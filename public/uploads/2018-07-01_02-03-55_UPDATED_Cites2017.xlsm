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53222"/>
  <mc:AlternateContent xmlns:mc="http://schemas.openxmlformats.org/markup-compatibility/2006">
    <mc:Choice Requires="x15">
      <x15ac:absPath xmlns:x15ac="http://schemas.microsoft.com/office/spreadsheetml/2010/11/ac" url="C:\IDE\xampp\htdocs\scholar\"/>
    </mc:Choice>
  </mc:AlternateContent>
  <bookViews>
    <workbookView xWindow="960" yWindow="0" windowWidth="15345" windowHeight="4545" activeTab="3"/>
  </bookViews>
  <sheets>
    <sheet name="Cites" sheetId="1" r:id="rId1"/>
    <sheet name="Top Faculty" sheetId="2" r:id="rId2"/>
    <sheet name="Sorting" sheetId="3" r:id="rId3"/>
    <sheet name="Current Schools" sheetId="4" r:id="rId4"/>
  </sheets>
  <calcPr calcId="162913"/>
</workbook>
</file>

<file path=xl/calcChain.xml><?xml version="1.0" encoding="utf-8"?>
<calcChain xmlns="http://schemas.openxmlformats.org/spreadsheetml/2006/main">
  <c r="P685" i="1" l="1"/>
  <c r="Q685" i="1" s="1"/>
  <c r="L654" i="1" l="1"/>
  <c r="L549" i="1" l="1"/>
  <c r="L405" i="1" l="1"/>
  <c r="L313" i="1"/>
  <c r="P313" i="1" s="1"/>
  <c r="Q313" i="1" s="1"/>
  <c r="L651" i="1"/>
  <c r="P651" i="1" s="1"/>
  <c r="Q651" i="1" s="1"/>
  <c r="L72" i="1"/>
  <c r="P72" i="1" s="1"/>
  <c r="Q72" i="1" s="1"/>
  <c r="L1072" i="1"/>
  <c r="P1072" i="1" s="1"/>
  <c r="Q1072" i="1" s="1"/>
  <c r="L15" i="1"/>
  <c r="P15" i="1" s="1"/>
  <c r="Q15" i="1" s="1"/>
  <c r="L158" i="1"/>
  <c r="P158" i="1" s="1"/>
  <c r="Q158" i="1" s="1"/>
  <c r="L1047" i="1"/>
  <c r="P1047" i="1" s="1"/>
  <c r="Q1047" i="1" s="1"/>
  <c r="L347" i="1"/>
  <c r="P347" i="1" s="1"/>
  <c r="Q347" i="1" s="1"/>
  <c r="L133" i="1"/>
  <c r="P133" i="1" s="1"/>
  <c r="Q133" i="1" s="1"/>
  <c r="L64" i="1"/>
  <c r="P64" i="1" s="1"/>
  <c r="Q64" i="1" s="1"/>
  <c r="L379" i="1"/>
  <c r="P379" i="1" s="1"/>
  <c r="Q379" i="1" s="1"/>
  <c r="L174" i="1"/>
  <c r="P174" i="1" s="1"/>
  <c r="Q174" i="1" s="1"/>
  <c r="L262" i="1"/>
  <c r="P262" i="1" s="1"/>
  <c r="Q262" i="1" s="1"/>
  <c r="L418" i="1"/>
  <c r="P418" i="1" s="1"/>
  <c r="Q418" i="1" s="1"/>
  <c r="L1058" i="1"/>
  <c r="P1058" i="1" s="1"/>
  <c r="Q1058" i="1" s="1"/>
  <c r="L750" i="1"/>
  <c r="P750" i="1" s="1"/>
  <c r="Q750" i="1" s="1"/>
  <c r="L362" i="1"/>
  <c r="P362" i="1" s="1"/>
  <c r="Q362" i="1" s="1"/>
  <c r="L193" i="1"/>
  <c r="P193" i="1" s="1"/>
  <c r="Q193" i="1" s="1"/>
  <c r="L75" i="1"/>
  <c r="P75" i="1" s="1"/>
  <c r="Q75" i="1" s="1"/>
  <c r="L157" i="1"/>
  <c r="P157" i="1" s="1"/>
  <c r="Q157" i="1" s="1"/>
  <c r="L1071" i="1"/>
  <c r="P1071" i="1" s="1"/>
  <c r="Q1071" i="1" s="1"/>
  <c r="L397" i="1"/>
  <c r="P397" i="1" s="1"/>
  <c r="Q397" i="1" s="1"/>
  <c r="L656" i="1"/>
  <c r="P656" i="1" s="1"/>
  <c r="Q656" i="1" s="1"/>
  <c r="L370" i="1"/>
  <c r="P370" i="1" s="1"/>
  <c r="Q370" i="1" s="1"/>
  <c r="L385" i="1"/>
  <c r="P385" i="1" s="1"/>
  <c r="Q385" i="1" s="1"/>
  <c r="L378" i="1"/>
  <c r="P378" i="1" s="1"/>
  <c r="Q378" i="1" s="1"/>
  <c r="L606" i="1"/>
  <c r="P606" i="1" s="1"/>
  <c r="Q606" i="1" s="1"/>
  <c r="L176" i="1"/>
  <c r="P176" i="1" s="1"/>
  <c r="Q176" i="1" s="1"/>
  <c r="L113" i="1"/>
  <c r="P113" i="1" s="1"/>
  <c r="Q113" i="1" s="1"/>
  <c r="L1065" i="1"/>
  <c r="P1065" i="1" s="1"/>
  <c r="Q1065" i="1" s="1"/>
  <c r="L409" i="1"/>
  <c r="P409" i="1" s="1"/>
  <c r="Q409" i="1" s="1"/>
  <c r="L871" i="1"/>
  <c r="P871" i="1" s="1"/>
  <c r="Q871" i="1" s="1"/>
  <c r="L274" i="1"/>
  <c r="P274" i="1" s="1"/>
  <c r="Q274" i="1" s="1"/>
  <c r="L401" i="1"/>
  <c r="P401" i="1" s="1"/>
  <c r="Q401" i="1" s="1"/>
  <c r="L223" i="1"/>
  <c r="P223" i="1" s="1"/>
  <c r="Q223" i="1" s="1"/>
  <c r="L1070" i="1"/>
  <c r="P1070" i="1" s="1"/>
  <c r="Q1070" i="1" s="1"/>
  <c r="L869" i="1"/>
  <c r="P869" i="1" s="1"/>
  <c r="Q869" i="1" s="1"/>
  <c r="L431" i="1"/>
  <c r="P431" i="1" s="1"/>
  <c r="Q431" i="1" s="1"/>
  <c r="L415" i="1"/>
  <c r="P415" i="1" s="1"/>
  <c r="Q415" i="1" s="1"/>
  <c r="L733" i="1"/>
  <c r="P733" i="1" s="1"/>
  <c r="Q733" i="1" s="1"/>
  <c r="L602" i="1"/>
  <c r="P602" i="1" s="1"/>
  <c r="Q602" i="1" s="1"/>
  <c r="L494" i="1"/>
  <c r="P494" i="1" s="1"/>
  <c r="Q494" i="1" s="1"/>
  <c r="L918" i="1"/>
  <c r="P918" i="1" s="1"/>
  <c r="Q918" i="1" s="1"/>
  <c r="L342" i="1"/>
  <c r="P342" i="1" s="1"/>
  <c r="Q342" i="1" s="1"/>
  <c r="L809" i="1"/>
  <c r="P809" i="1" s="1"/>
  <c r="Q809" i="1" s="1"/>
  <c r="L825" i="1"/>
  <c r="P825" i="1" s="1"/>
  <c r="Q825" i="1" s="1"/>
  <c r="L200" i="1"/>
  <c r="P200" i="1" s="1"/>
  <c r="Q200" i="1" s="1"/>
  <c r="L923" i="1"/>
  <c r="P923" i="1" s="1"/>
  <c r="Q923" i="1" s="1"/>
  <c r="L855" i="1"/>
  <c r="P855" i="1" s="1"/>
  <c r="Q855" i="1" s="1"/>
  <c r="L731" i="1"/>
  <c r="P731" i="1" s="1"/>
  <c r="Q731" i="1" s="1"/>
  <c r="L949" i="1"/>
  <c r="P949" i="1" s="1"/>
  <c r="Q949" i="1" s="1"/>
  <c r="L1076" i="1"/>
  <c r="P1076" i="1" s="1"/>
  <c r="Q1076" i="1" s="1"/>
  <c r="L1073" i="1"/>
  <c r="P1073" i="1" s="1"/>
  <c r="Q1073" i="1" s="1"/>
  <c r="L148" i="1"/>
  <c r="P148" i="1" s="1"/>
  <c r="Q148" i="1" s="1"/>
  <c r="L530" i="1"/>
  <c r="P530" i="1" s="1"/>
  <c r="Q530" i="1" s="1"/>
  <c r="L103" i="1"/>
  <c r="P103" i="1" s="1"/>
  <c r="Q103" i="1" s="1"/>
  <c r="L380" i="1"/>
  <c r="P380" i="1" s="1"/>
  <c r="Q380" i="1" s="1"/>
  <c r="L272" i="1"/>
  <c r="P272" i="1" s="1"/>
  <c r="Q272" i="1" s="1"/>
  <c r="L550" i="1"/>
  <c r="P550" i="1" s="1"/>
  <c r="Q550" i="1" s="1"/>
  <c r="L657" i="1"/>
  <c r="P657" i="1" s="1"/>
  <c r="Q657" i="1" s="1"/>
  <c r="L601" i="1"/>
  <c r="P601" i="1" s="1"/>
  <c r="Q601" i="1" s="1"/>
  <c r="L206" i="1"/>
  <c r="P206" i="1" s="1"/>
  <c r="Q206" i="1" s="1"/>
  <c r="L832" i="1"/>
  <c r="P832" i="1" s="1"/>
  <c r="Q832" i="1" s="1"/>
  <c r="L94" i="1"/>
  <c r="P94" i="1" s="1"/>
  <c r="Q94" i="1" s="1"/>
  <c r="L478" i="1"/>
  <c r="P478" i="1" s="1"/>
  <c r="Q478" i="1" s="1"/>
  <c r="L650" i="1"/>
  <c r="P650" i="1" s="1"/>
  <c r="Q650" i="1" s="1"/>
  <c r="L455" i="1"/>
  <c r="P455" i="1" s="1"/>
  <c r="Q455" i="1" s="1"/>
  <c r="L268" i="1"/>
  <c r="P268" i="1" s="1"/>
  <c r="Q268" i="1" s="1"/>
  <c r="L88" i="1"/>
  <c r="P88" i="1" s="1"/>
  <c r="Q88" i="1" s="1"/>
  <c r="L621" i="1"/>
  <c r="P621" i="1" s="1"/>
  <c r="Q621" i="1" s="1"/>
  <c r="L389" i="1"/>
  <c r="P389" i="1" s="1"/>
  <c r="Q389" i="1" s="1"/>
  <c r="L992" i="1"/>
  <c r="P992" i="1" s="1"/>
  <c r="Q992" i="1" s="1"/>
  <c r="L181" i="1"/>
  <c r="P181" i="1" s="1"/>
  <c r="Q181" i="1" s="1"/>
  <c r="L106" i="1"/>
  <c r="P106" i="1" s="1"/>
  <c r="Q106" i="1" s="1"/>
  <c r="L913" i="1"/>
  <c r="P913" i="1" s="1"/>
  <c r="Q913" i="1" s="1"/>
  <c r="L528" i="1"/>
  <c r="P528" i="1" s="1"/>
  <c r="Q528" i="1" s="1"/>
  <c r="L526" i="1"/>
  <c r="P526" i="1" s="1"/>
  <c r="Q526" i="1" s="1"/>
  <c r="L808" i="1"/>
  <c r="P808" i="1" s="1"/>
  <c r="Q808" i="1" s="1"/>
  <c r="L395" i="1"/>
  <c r="P395" i="1" s="1"/>
  <c r="Q395" i="1" s="1"/>
  <c r="L303" i="1"/>
  <c r="P303" i="1" s="1"/>
  <c r="Q303" i="1" s="1"/>
  <c r="L447" i="1"/>
  <c r="P447" i="1" s="1"/>
  <c r="Q447" i="1" s="1"/>
  <c r="L534" i="1"/>
  <c r="P534" i="1" s="1"/>
  <c r="Q534" i="1" s="1"/>
  <c r="L469" i="1"/>
  <c r="P469" i="1" s="1"/>
  <c r="Q469" i="1" s="1"/>
  <c r="L727" i="1"/>
  <c r="P727" i="1" s="1"/>
  <c r="Q727" i="1" s="1"/>
  <c r="L22" i="1"/>
  <c r="P22" i="1" s="1"/>
  <c r="Q22" i="1" s="1"/>
  <c r="L607" i="1"/>
  <c r="P607" i="1" s="1"/>
  <c r="Q607" i="1" s="1"/>
  <c r="L599" i="1"/>
  <c r="P599" i="1" s="1"/>
  <c r="Q599" i="1" s="1"/>
  <c r="L960" i="1"/>
  <c r="P960" i="1" s="1"/>
  <c r="Q960" i="1" s="1"/>
  <c r="L773" i="1"/>
  <c r="P773" i="1" s="1"/>
  <c r="Q773" i="1" s="1"/>
  <c r="L546" i="1"/>
  <c r="P546" i="1" s="1"/>
  <c r="Q546" i="1" s="1"/>
  <c r="L1077" i="1"/>
  <c r="P1077" i="1" s="1"/>
  <c r="Q1077" i="1" s="1"/>
  <c r="L776" i="1"/>
  <c r="P776" i="1" s="1"/>
  <c r="Q776" i="1" s="1"/>
  <c r="L645" i="1"/>
  <c r="P645" i="1" s="1"/>
  <c r="Q645" i="1" s="1"/>
  <c r="L276" i="1"/>
  <c r="P276" i="1" s="1"/>
  <c r="Q276" i="1" s="1"/>
  <c r="L381" i="1"/>
  <c r="P381" i="1" s="1"/>
  <c r="Q381" i="1" s="1"/>
  <c r="L817" i="1"/>
  <c r="P817" i="1" s="1"/>
  <c r="Q817" i="1" s="1"/>
  <c r="L858" i="1"/>
  <c r="P858" i="1" s="1"/>
  <c r="Q858" i="1" s="1"/>
  <c r="L539" i="1"/>
  <c r="P539" i="1" s="1"/>
  <c r="Q539" i="1" s="1"/>
  <c r="L846" i="1"/>
  <c r="P846" i="1" s="1"/>
  <c r="Q846" i="1" s="1"/>
  <c r="L636" i="1"/>
  <c r="P636" i="1" s="1"/>
  <c r="Q636" i="1" s="1"/>
  <c r="L739" i="1"/>
  <c r="P739" i="1" s="1"/>
  <c r="Q739" i="1" s="1"/>
  <c r="L604" i="1"/>
  <c r="P604" i="1" s="1"/>
  <c r="Q604" i="1" s="1"/>
  <c r="L879" i="1"/>
  <c r="P879" i="1" s="1"/>
  <c r="Q879" i="1" s="1"/>
  <c r="L860" i="1"/>
  <c r="P860" i="1" s="1"/>
  <c r="Q860" i="1" s="1"/>
  <c r="L1049" i="1"/>
  <c r="P1049" i="1" s="1"/>
  <c r="Q1049" i="1" s="1"/>
  <c r="L219" i="1"/>
  <c r="P219" i="1" s="1"/>
  <c r="Q219" i="1" s="1"/>
  <c r="L845" i="1"/>
  <c r="P845" i="1" s="1"/>
  <c r="Q845" i="1" s="1"/>
  <c r="L1046" i="1"/>
  <c r="P1046" i="1" s="1"/>
  <c r="Q1046" i="1" s="1"/>
  <c r="L718" i="1"/>
  <c r="P718" i="1" s="1"/>
  <c r="Q718" i="1" s="1"/>
  <c r="L98" i="1"/>
  <c r="P98" i="1" s="1"/>
  <c r="Q98" i="1" s="1"/>
  <c r="L1069" i="1"/>
  <c r="P1069" i="1" s="1"/>
  <c r="Q1069" i="1" s="1"/>
  <c r="L1052" i="1"/>
  <c r="P1052" i="1" s="1"/>
  <c r="Q1052" i="1" s="1"/>
  <c r="L325" i="1"/>
  <c r="P325" i="1" s="1"/>
  <c r="Q325" i="1" s="1"/>
  <c r="L614" i="1"/>
  <c r="P614" i="1" s="1"/>
  <c r="Q614" i="1" s="1"/>
  <c r="L581" i="1"/>
  <c r="P581" i="1" s="1"/>
  <c r="Q581" i="1" s="1"/>
  <c r="L755" i="1"/>
  <c r="P755" i="1" s="1"/>
  <c r="Q755" i="1" s="1"/>
  <c r="L212" i="1"/>
  <c r="P212" i="1" s="1"/>
  <c r="Q212" i="1" s="1"/>
  <c r="L828" i="1"/>
  <c r="P828" i="1" s="1"/>
  <c r="Q828" i="1" s="1"/>
  <c r="L318" i="1"/>
  <c r="P318" i="1" s="1"/>
  <c r="Q318" i="1" s="1"/>
  <c r="L587" i="1"/>
  <c r="P587" i="1" s="1"/>
  <c r="Q587" i="1" s="1"/>
  <c r="L1057" i="1"/>
  <c r="P1057" i="1" s="1"/>
  <c r="Q1057" i="1" s="1"/>
  <c r="L284" i="1"/>
  <c r="P284" i="1" s="1"/>
  <c r="Q284" i="1" s="1"/>
  <c r="L580" i="1"/>
  <c r="P580" i="1" s="1"/>
  <c r="Q580" i="1" s="1"/>
  <c r="L221" i="1"/>
  <c r="P221" i="1" s="1"/>
  <c r="Q221" i="1" s="1"/>
  <c r="L280" i="1"/>
  <c r="P280" i="1" s="1"/>
  <c r="Q280" i="1" s="1"/>
  <c r="L84" i="1"/>
  <c r="P84" i="1" s="1"/>
  <c r="Q84" i="1" s="1"/>
  <c r="L472" i="1"/>
  <c r="P472" i="1" s="1"/>
  <c r="Q472" i="1" s="1"/>
  <c r="L384" i="1"/>
  <c r="P384" i="1" s="1"/>
  <c r="Q384" i="1" s="1"/>
  <c r="L337" i="1"/>
  <c r="P337" i="1" s="1"/>
  <c r="Q337" i="1" s="1"/>
  <c r="L1045" i="1"/>
  <c r="P1045" i="1" s="1"/>
  <c r="Q1045" i="1" s="1"/>
  <c r="L889" i="1"/>
  <c r="P889" i="1" s="1"/>
  <c r="Q889" i="1" s="1"/>
  <c r="L684" i="1"/>
  <c r="P684" i="1" s="1"/>
  <c r="Q684" i="1" s="1"/>
  <c r="L348" i="1"/>
  <c r="P348" i="1" s="1"/>
  <c r="Q348" i="1" s="1"/>
  <c r="L112" i="1"/>
  <c r="P112" i="1" s="1"/>
  <c r="Q112" i="1" s="1"/>
  <c r="L383" i="1"/>
  <c r="P383" i="1" s="1"/>
  <c r="Q383" i="1" s="1"/>
  <c r="L293" i="1"/>
  <c r="P293" i="1" s="1"/>
  <c r="Q293" i="1" s="1"/>
  <c r="L1035" i="1"/>
  <c r="P1035" i="1" s="1"/>
  <c r="Q1035" i="1" s="1"/>
  <c r="L823" i="1"/>
  <c r="P823" i="1" s="1"/>
  <c r="Q823" i="1" s="1"/>
  <c r="L801" i="1"/>
  <c r="P801" i="1" s="1"/>
  <c r="Q801" i="1" s="1"/>
  <c r="L771" i="1"/>
  <c r="P771" i="1" s="1"/>
  <c r="Q771" i="1" s="1"/>
  <c r="L537" i="1"/>
  <c r="P537" i="1" s="1"/>
  <c r="Q537" i="1" s="1"/>
  <c r="L7" i="1"/>
  <c r="P7" i="1" s="1"/>
  <c r="Q7" i="1" s="1"/>
  <c r="L321" i="1"/>
  <c r="P321" i="1" s="1"/>
  <c r="Q321" i="1" s="1"/>
  <c r="L27" i="1"/>
  <c r="P27" i="1" s="1"/>
  <c r="Q27" i="1" s="1"/>
  <c r="L443" i="1"/>
  <c r="P443" i="1" s="1"/>
  <c r="Q443" i="1" s="1"/>
  <c r="L917" i="1"/>
  <c r="P917" i="1" s="1"/>
  <c r="Q917" i="1" s="1"/>
  <c r="L772" i="1"/>
  <c r="P772" i="1" s="1"/>
  <c r="Q772" i="1" s="1"/>
  <c r="L628" i="1"/>
  <c r="P628" i="1" s="1"/>
  <c r="Q628" i="1" s="1"/>
  <c r="L428" i="1"/>
  <c r="P428" i="1" s="1"/>
  <c r="Q428" i="1" s="1"/>
  <c r="L108" i="1"/>
  <c r="P108" i="1" s="1"/>
  <c r="Q108" i="1" s="1"/>
  <c r="L391" i="1"/>
  <c r="P391" i="1" s="1"/>
  <c r="Q391" i="1" s="1"/>
  <c r="L404" i="1"/>
  <c r="P404" i="1" s="1"/>
  <c r="Q404" i="1" s="1"/>
  <c r="L324" i="1"/>
  <c r="P324" i="1" s="1"/>
  <c r="Q324" i="1" s="1"/>
  <c r="L630" i="1"/>
  <c r="P630" i="1" s="1"/>
  <c r="Q630" i="1" s="1"/>
  <c r="L969" i="1"/>
  <c r="P969" i="1" s="1"/>
  <c r="Q969" i="1" s="1"/>
  <c r="L63" i="1"/>
  <c r="P63" i="1" s="1"/>
  <c r="Q63" i="1" s="1"/>
  <c r="L653" i="1"/>
  <c r="P653" i="1" s="1"/>
  <c r="Q653" i="1" s="1"/>
  <c r="L132" i="1"/>
  <c r="P132" i="1" s="1"/>
  <c r="Q132" i="1" s="1"/>
  <c r="L652" i="1"/>
  <c r="P652" i="1" s="1"/>
  <c r="Q652" i="1" s="1"/>
  <c r="L538" i="1"/>
  <c r="P538" i="1" s="1"/>
  <c r="Q538" i="1" s="1"/>
  <c r="L975" i="1"/>
  <c r="P975" i="1" s="1"/>
  <c r="Q975" i="1" s="1"/>
  <c r="L151" i="1"/>
  <c r="P151" i="1" s="1"/>
  <c r="Q151" i="1" s="1"/>
  <c r="L863" i="1"/>
  <c r="P863" i="1" s="1"/>
  <c r="Q863" i="1" s="1"/>
  <c r="L944" i="1"/>
  <c r="P944" i="1" s="1"/>
  <c r="Q944" i="1" s="1"/>
  <c r="L974" i="1"/>
  <c r="P974" i="1" s="1"/>
  <c r="Q974" i="1" s="1"/>
  <c r="L468" i="1"/>
  <c r="P468" i="1" s="1"/>
  <c r="Q468" i="1" s="1"/>
  <c r="L811" i="1"/>
  <c r="P811" i="1" s="1"/>
  <c r="Q811" i="1" s="1"/>
  <c r="L238" i="1"/>
  <c r="P238" i="1" s="1"/>
  <c r="Q238" i="1" s="1"/>
  <c r="L1068" i="1"/>
  <c r="P1068" i="1" s="1"/>
  <c r="Q1068" i="1" s="1"/>
  <c r="L126" i="1"/>
  <c r="P126" i="1" s="1"/>
  <c r="Q126" i="1" s="1"/>
  <c r="L532" i="1"/>
  <c r="P532" i="1" s="1"/>
  <c r="Q532" i="1" s="1"/>
  <c r="L1048" i="1"/>
  <c r="P1048" i="1" s="1"/>
  <c r="Q1048" i="1" s="1"/>
  <c r="L235" i="1"/>
  <c r="P235" i="1" s="1"/>
  <c r="Q235" i="1" s="1"/>
  <c r="L730" i="1"/>
  <c r="P730" i="1" s="1"/>
  <c r="Q730" i="1" s="1"/>
  <c r="L723" i="1"/>
  <c r="P723" i="1" s="1"/>
  <c r="Q723" i="1" s="1"/>
  <c r="L216" i="1"/>
  <c r="P216" i="1" s="1"/>
  <c r="Q216" i="1" s="1"/>
  <c r="L237" i="1"/>
  <c r="P237" i="1" s="1"/>
  <c r="Q237" i="1" s="1"/>
  <c r="L629" i="1"/>
  <c r="P629" i="1" s="1"/>
  <c r="Q629" i="1" s="1"/>
  <c r="L5" i="1"/>
  <c r="P5" i="1" s="1"/>
  <c r="Q5" i="1" s="1"/>
  <c r="L402" i="1"/>
  <c r="P402" i="1" s="1"/>
  <c r="Q402" i="1" s="1"/>
  <c r="L527" i="1"/>
  <c r="P527" i="1" s="1"/>
  <c r="Q527" i="1" s="1"/>
  <c r="L643" i="1"/>
  <c r="P643" i="1" s="1"/>
  <c r="Q643" i="1" s="1"/>
  <c r="L490" i="1"/>
  <c r="P490" i="1" s="1"/>
  <c r="Q490" i="1" s="1"/>
  <c r="L50" i="1"/>
  <c r="P50" i="1" s="1"/>
  <c r="Q50" i="1" s="1"/>
  <c r="L1055" i="1"/>
  <c r="P1055" i="1" s="1"/>
  <c r="Q1055" i="1" s="1"/>
  <c r="L603" i="1"/>
  <c r="P603" i="1" s="1"/>
  <c r="Q603" i="1" s="1"/>
  <c r="L826" i="1"/>
  <c r="P826" i="1" s="1"/>
  <c r="Q826" i="1" s="1"/>
  <c r="L60" i="1"/>
  <c r="P60" i="1" s="1"/>
  <c r="Q60" i="1" s="1"/>
  <c r="L326" i="1"/>
  <c r="P326" i="1" s="1"/>
  <c r="Q326" i="1" s="1"/>
  <c r="L525" i="1"/>
  <c r="P525" i="1" s="1"/>
  <c r="Q525" i="1" s="1"/>
  <c r="L317" i="1"/>
  <c r="P317" i="1" s="1"/>
  <c r="Q317" i="1" s="1"/>
  <c r="L413" i="1"/>
  <c r="P413" i="1" s="1"/>
  <c r="Q413" i="1" s="1"/>
  <c r="L194" i="1"/>
  <c r="P194" i="1" s="1"/>
  <c r="Q194" i="1" s="1"/>
  <c r="L260" i="1"/>
  <c r="P260" i="1" s="1"/>
  <c r="Q260" i="1" s="1"/>
  <c r="L104" i="1"/>
  <c r="P104" i="1" s="1"/>
  <c r="Q104" i="1" s="1"/>
  <c r="L535" i="1"/>
  <c r="P535" i="1" s="1"/>
  <c r="Q535" i="1" s="1"/>
  <c r="L608" i="1"/>
  <c r="P608" i="1" s="1"/>
  <c r="Q608" i="1" s="1"/>
  <c r="L451" i="1"/>
  <c r="P451" i="1" s="1"/>
  <c r="Q451" i="1" s="1"/>
  <c r="L782" i="1"/>
  <c r="P782" i="1" s="1"/>
  <c r="Q782" i="1" s="1"/>
  <c r="L152" i="1"/>
  <c r="P152" i="1" s="1"/>
  <c r="Q152" i="1" s="1"/>
  <c r="L277" i="1"/>
  <c r="P277" i="1" s="1"/>
  <c r="Q277" i="1" s="1"/>
  <c r="L105" i="1"/>
  <c r="P105" i="1" s="1"/>
  <c r="Q105" i="1" s="1"/>
  <c r="L486" i="1"/>
  <c r="P486" i="1" s="1"/>
  <c r="Q486" i="1" s="1"/>
  <c r="L573" i="1"/>
  <c r="P573" i="1" s="1"/>
  <c r="Q573" i="1" s="1"/>
  <c r="L988" i="1"/>
  <c r="P988" i="1" s="1"/>
  <c r="Q988" i="1" s="1"/>
  <c r="L552" i="1"/>
  <c r="P552" i="1" s="1"/>
  <c r="Q552" i="1" s="1"/>
  <c r="L854" i="1"/>
  <c r="P854" i="1" s="1"/>
  <c r="Q854" i="1" s="1"/>
  <c r="L2" i="1"/>
  <c r="P2" i="1" s="1"/>
  <c r="Q2" i="1" s="1"/>
  <c r="L382" i="1"/>
  <c r="P382" i="1" s="1"/>
  <c r="Q382" i="1" s="1"/>
  <c r="L319" i="1"/>
  <c r="P319" i="1" s="1"/>
  <c r="Q319" i="1" s="1"/>
  <c r="L290" i="1"/>
  <c r="P290" i="1" s="1"/>
  <c r="Q290" i="1" s="1"/>
  <c r="L47" i="1"/>
  <c r="P47" i="1" s="1"/>
  <c r="Q47" i="1" s="1"/>
  <c r="L865" i="1"/>
  <c r="P865" i="1" s="1"/>
  <c r="Q865" i="1" s="1"/>
  <c r="L43" i="1"/>
  <c r="P43" i="1" s="1"/>
  <c r="Q43" i="1" s="1"/>
  <c r="L885" i="1"/>
  <c r="P885" i="1" s="1"/>
  <c r="Q885" i="1" s="1"/>
  <c r="L734" i="1"/>
  <c r="P734" i="1" s="1"/>
  <c r="Q734" i="1" s="1"/>
  <c r="L777" i="1"/>
  <c r="P777" i="1" s="1"/>
  <c r="Q777" i="1" s="1"/>
  <c r="L323" i="1"/>
  <c r="P323" i="1" s="1"/>
  <c r="Q323" i="1" s="1"/>
  <c r="L18" i="1"/>
  <c r="P18" i="1" s="1"/>
  <c r="Q18" i="1" s="1"/>
  <c r="L936" i="1"/>
  <c r="P936" i="1" s="1"/>
  <c r="Q936" i="1" s="1"/>
  <c r="L529" i="1"/>
  <c r="P529" i="1" s="1"/>
  <c r="Q529" i="1" s="1"/>
  <c r="L154" i="1"/>
  <c r="P154" i="1" s="1"/>
  <c r="Q154" i="1" s="1"/>
  <c r="L719" i="1"/>
  <c r="P719" i="1" s="1"/>
  <c r="Q719" i="1" s="1"/>
  <c r="L489" i="1"/>
  <c r="P489" i="1" s="1"/>
  <c r="Q489" i="1" s="1"/>
  <c r="L615" i="1"/>
  <c r="P615" i="1" s="1"/>
  <c r="Q615" i="1" s="1"/>
  <c r="L287" i="1"/>
  <c r="P287" i="1" s="1"/>
  <c r="Q287" i="1" s="1"/>
  <c r="L792" i="1"/>
  <c r="P792" i="1" s="1"/>
  <c r="Q792" i="1" s="1"/>
  <c r="L1050" i="1"/>
  <c r="P1050" i="1" s="1"/>
  <c r="Q1050" i="1" s="1"/>
  <c r="L751" i="1"/>
  <c r="P751" i="1" s="1"/>
  <c r="Q751" i="1" s="1"/>
  <c r="L460" i="1"/>
  <c r="P460" i="1" s="1"/>
  <c r="Q460" i="1" s="1"/>
  <c r="L853" i="1"/>
  <c r="P853" i="1" s="1"/>
  <c r="Q853" i="1" s="1"/>
  <c r="L567" i="1"/>
  <c r="P567" i="1" s="1"/>
  <c r="Q567" i="1" s="1"/>
  <c r="L737" i="1"/>
  <c r="P737" i="1" s="1"/>
  <c r="Q737" i="1" s="1"/>
  <c r="L110" i="1"/>
  <c r="P110" i="1" s="1"/>
  <c r="Q110" i="1" s="1"/>
  <c r="L432" i="1"/>
  <c r="P432" i="1" s="1"/>
  <c r="Q432" i="1" s="1"/>
  <c r="L416" i="1"/>
  <c r="P416" i="1" s="1"/>
  <c r="Q416" i="1" s="1"/>
  <c r="L963" i="1"/>
  <c r="P963" i="1" s="1"/>
  <c r="Q963" i="1" s="1"/>
  <c r="L605" i="1"/>
  <c r="P605" i="1" s="1"/>
  <c r="Q605" i="1" s="1"/>
  <c r="L322" i="1"/>
  <c r="P322" i="1" s="1"/>
  <c r="Q322" i="1" s="1"/>
  <c r="L1017" i="1"/>
  <c r="P1017" i="1" s="1"/>
  <c r="Q1017" i="1" s="1"/>
  <c r="L824" i="1"/>
  <c r="P824" i="1" s="1"/>
  <c r="Q824" i="1" s="1"/>
  <c r="L758" i="1"/>
  <c r="P758" i="1" s="1"/>
  <c r="Q758" i="1" s="1"/>
  <c r="L945" i="1"/>
  <c r="P945" i="1" s="1"/>
  <c r="Q945" i="1" s="1"/>
  <c r="L1074" i="1"/>
  <c r="P1074" i="1" s="1"/>
  <c r="Q1074" i="1" s="1"/>
  <c r="L330" i="1"/>
  <c r="P330" i="1" s="1"/>
  <c r="Q330" i="1" s="1"/>
  <c r="L862" i="1"/>
  <c r="P862" i="1" s="1"/>
  <c r="Q862" i="1" s="1"/>
  <c r="L979" i="1"/>
  <c r="P979" i="1" s="1"/>
  <c r="Q979" i="1" s="1"/>
  <c r="L648" i="1"/>
  <c r="P648" i="1" s="1"/>
  <c r="Q648" i="1" s="1"/>
  <c r="L735" i="1"/>
  <c r="P735" i="1" s="1"/>
  <c r="Q735" i="1" s="1"/>
  <c r="L257" i="1"/>
  <c r="P257" i="1" s="1"/>
  <c r="Q257" i="1" s="1"/>
  <c r="L134" i="1"/>
  <c r="P134" i="1" s="1"/>
  <c r="Q134" i="1" s="1"/>
  <c r="L631" i="1"/>
  <c r="P631" i="1" s="1"/>
  <c r="Q631" i="1" s="1"/>
  <c r="L390" i="1"/>
  <c r="P390" i="1" s="1"/>
  <c r="Q390" i="1" s="1"/>
  <c r="L466" i="1"/>
  <c r="P466" i="1" s="1"/>
  <c r="Q466" i="1" s="1"/>
  <c r="L343" i="1"/>
  <c r="P343" i="1" s="1"/>
  <c r="Q343" i="1" s="1"/>
  <c r="L265" i="1"/>
  <c r="P265" i="1" s="1"/>
  <c r="Q265" i="1" s="1"/>
  <c r="L818" i="1"/>
  <c r="P818" i="1" s="1"/>
  <c r="Q818" i="1" s="1"/>
  <c r="L398" i="1"/>
  <c r="P398" i="1" s="1"/>
  <c r="Q398" i="1" s="1"/>
  <c r="L427" i="1"/>
  <c r="P427" i="1" s="1"/>
  <c r="Q427" i="1" s="1"/>
  <c r="L577" i="1"/>
  <c r="P577" i="1" s="1"/>
  <c r="Q577" i="1" s="1"/>
  <c r="L522" i="1"/>
  <c r="P522" i="1" s="1"/>
  <c r="Q522" i="1" s="1"/>
  <c r="L893" i="1"/>
  <c r="P893" i="1" s="1"/>
  <c r="Q893" i="1" s="1"/>
  <c r="L647" i="1"/>
  <c r="P647" i="1" s="1"/>
  <c r="Q647" i="1" s="1"/>
  <c r="L1062" i="1"/>
  <c r="P1062" i="1" s="1"/>
  <c r="Q1062" i="1" s="1"/>
  <c r="L919" i="1"/>
  <c r="P919" i="1" s="1"/>
  <c r="Q919" i="1" s="1"/>
  <c r="L888" i="1"/>
  <c r="P888" i="1" s="1"/>
  <c r="Q888" i="1" s="1"/>
  <c r="L229" i="1"/>
  <c r="P229" i="1" s="1"/>
  <c r="Q229" i="1" s="1"/>
  <c r="L588" i="1"/>
  <c r="P588" i="1" s="1"/>
  <c r="Q588" i="1" s="1"/>
  <c r="L178" i="1"/>
  <c r="P178" i="1" s="1"/>
  <c r="Q178" i="1" s="1"/>
  <c r="L139" i="1"/>
  <c r="P139" i="1" s="1"/>
  <c r="Q139" i="1" s="1"/>
  <c r="L912" i="1"/>
  <c r="P912" i="1" s="1"/>
  <c r="Q912" i="1" s="1"/>
  <c r="L78" i="1"/>
  <c r="P78" i="1" s="1"/>
  <c r="Q78" i="1" s="1"/>
  <c r="L928" i="1"/>
  <c r="P928" i="1" s="1"/>
  <c r="Q928" i="1" s="1"/>
  <c r="L316" i="1"/>
  <c r="P316" i="1" s="1"/>
  <c r="Q316" i="1" s="1"/>
  <c r="L102" i="1"/>
  <c r="P102" i="1" s="1"/>
  <c r="Q102" i="1" s="1"/>
  <c r="L911" i="1"/>
  <c r="P911" i="1" s="1"/>
  <c r="Q911" i="1" s="1"/>
  <c r="L368" i="1"/>
  <c r="P368" i="1" s="1"/>
  <c r="Q368" i="1" s="1"/>
  <c r="L726" i="1"/>
  <c r="P726" i="1" s="1"/>
  <c r="Q726" i="1" s="1"/>
  <c r="L914" i="1"/>
  <c r="P914" i="1" s="1"/>
  <c r="Q914" i="1" s="1"/>
  <c r="L252" i="1"/>
  <c r="P252" i="1" s="1"/>
  <c r="Q252" i="1" s="1"/>
  <c r="L38" i="1"/>
  <c r="P38" i="1" s="1"/>
  <c r="Q38" i="1" s="1"/>
  <c r="L725" i="1"/>
  <c r="P725" i="1" s="1"/>
  <c r="Q725" i="1" s="1"/>
  <c r="L915" i="1"/>
  <c r="P915" i="1" s="1"/>
  <c r="Q915" i="1" s="1"/>
  <c r="L548" i="1"/>
  <c r="P548" i="1" s="1"/>
  <c r="Q548" i="1" s="1"/>
  <c r="L101" i="1"/>
  <c r="P101" i="1" s="1"/>
  <c r="Q101" i="1" s="1"/>
  <c r="L768" i="1"/>
  <c r="P768" i="1" s="1"/>
  <c r="Q768" i="1" s="1"/>
  <c r="L90" i="1"/>
  <c r="P90" i="1" s="1"/>
  <c r="Q90" i="1" s="1"/>
  <c r="L994" i="1"/>
  <c r="P994" i="1" s="1"/>
  <c r="Q994" i="1" s="1"/>
  <c r="L921" i="1"/>
  <c r="P921" i="1" s="1"/>
  <c r="Q921" i="1" s="1"/>
  <c r="L192" i="1"/>
  <c r="P192" i="1" s="1"/>
  <c r="Q192" i="1" s="1"/>
  <c r="L344" i="1"/>
  <c r="P344" i="1" s="1"/>
  <c r="Q344" i="1" s="1"/>
  <c r="L294" i="1"/>
  <c r="P294" i="1" s="1"/>
  <c r="Q294" i="1" s="1"/>
  <c r="L320" i="1"/>
  <c r="P320" i="1" s="1"/>
  <c r="Q320" i="1" s="1"/>
  <c r="L541" i="1"/>
  <c r="P541" i="1" s="1"/>
  <c r="Q541" i="1" s="1"/>
  <c r="L789" i="1"/>
  <c r="P789" i="1" s="1"/>
  <c r="Q789" i="1" s="1"/>
  <c r="L253" i="1"/>
  <c r="P253" i="1" s="1"/>
  <c r="Q253" i="1" s="1"/>
  <c r="L732" i="1"/>
  <c r="P732" i="1" s="1"/>
  <c r="Q732" i="1" s="1"/>
  <c r="L82" i="1"/>
  <c r="P82" i="1" s="1"/>
  <c r="Q82" i="1" s="1"/>
  <c r="L763" i="1"/>
  <c r="P763" i="1" s="1"/>
  <c r="Q763" i="1" s="1"/>
  <c r="L933" i="1"/>
  <c r="P933" i="1" s="1"/>
  <c r="Q933" i="1" s="1"/>
  <c r="L406" i="1"/>
  <c r="P406" i="1" s="1"/>
  <c r="Q406" i="1" s="1"/>
  <c r="L938" i="1"/>
  <c r="P938" i="1" s="1"/>
  <c r="Q938" i="1" s="1"/>
  <c r="L225" i="1"/>
  <c r="P225" i="1" s="1"/>
  <c r="Q225" i="1" s="1"/>
  <c r="L547" i="1"/>
  <c r="P547" i="1" s="1"/>
  <c r="Q547" i="1" s="1"/>
  <c r="L1067" i="1"/>
  <c r="P1067" i="1" s="1"/>
  <c r="Q1067" i="1" s="1"/>
  <c r="L122" i="1"/>
  <c r="P122" i="1" s="1"/>
  <c r="Q122" i="1" s="1"/>
  <c r="L203" i="1"/>
  <c r="P203" i="1" s="1"/>
  <c r="Q203" i="1" s="1"/>
  <c r="L377" i="1"/>
  <c r="P377" i="1" s="1"/>
  <c r="Q377" i="1" s="1"/>
  <c r="L543" i="1"/>
  <c r="P543" i="1" s="1"/>
  <c r="Q543" i="1" s="1"/>
  <c r="L987" i="1"/>
  <c r="P987" i="1" s="1"/>
  <c r="Q987" i="1" s="1"/>
  <c r="L411" i="1"/>
  <c r="P411" i="1" s="1"/>
  <c r="Q411" i="1" s="1"/>
  <c r="L481" i="1"/>
  <c r="P481" i="1" s="1"/>
  <c r="Q481" i="1" s="1"/>
  <c r="L971" i="1"/>
  <c r="P971" i="1" s="1"/>
  <c r="Q971" i="1" s="1"/>
  <c r="L425" i="1"/>
  <c r="P425" i="1" s="1"/>
  <c r="Q425" i="1" s="1"/>
  <c r="L831" i="1"/>
  <c r="P831" i="1" s="1"/>
  <c r="Q831" i="1" s="1"/>
  <c r="L56" i="1"/>
  <c r="P56" i="1" s="1"/>
  <c r="Q56" i="1" s="1"/>
  <c r="L876" i="1"/>
  <c r="P876" i="1" s="1"/>
  <c r="Q876" i="1" s="1"/>
  <c r="L545" i="1"/>
  <c r="P545" i="1" s="1"/>
  <c r="Q545" i="1" s="1"/>
  <c r="L292" i="1"/>
  <c r="P292" i="1" s="1"/>
  <c r="Q292" i="1" s="1"/>
  <c r="L531" i="1"/>
  <c r="P531" i="1" s="1"/>
  <c r="Q531" i="1" s="1"/>
  <c r="L579" i="1"/>
  <c r="P579" i="1" s="1"/>
  <c r="Q579" i="1" s="1"/>
  <c r="L929" i="1"/>
  <c r="P929" i="1" s="1"/>
  <c r="Q929" i="1" s="1"/>
  <c r="L386" i="1"/>
  <c r="P386" i="1" s="1"/>
  <c r="Q386" i="1" s="1"/>
  <c r="L927" i="1"/>
  <c r="P927" i="1" s="1"/>
  <c r="Q927" i="1" s="1"/>
  <c r="L485" i="1"/>
  <c r="P485" i="1" s="1"/>
  <c r="Q485" i="1" s="1"/>
  <c r="L569" i="1"/>
  <c r="P569" i="1" s="1"/>
  <c r="Q569" i="1" s="1"/>
  <c r="L544" i="1"/>
  <c r="P544" i="1" s="1"/>
  <c r="Q544" i="1" s="1"/>
  <c r="L394" i="1"/>
  <c r="P394" i="1" s="1"/>
  <c r="Q394" i="1" s="1"/>
  <c r="L388" i="1"/>
  <c r="P388" i="1" s="1"/>
  <c r="Q388" i="1" s="1"/>
  <c r="L872" i="1"/>
  <c r="P872" i="1" s="1"/>
  <c r="Q872" i="1" s="1"/>
  <c r="L585" i="1"/>
  <c r="P585" i="1" s="1"/>
  <c r="Q585" i="1" s="1"/>
  <c r="L140" i="1"/>
  <c r="P140" i="1" s="1"/>
  <c r="Q140" i="1" s="1"/>
  <c r="L281" i="1"/>
  <c r="P281" i="1" s="1"/>
  <c r="Q281" i="1" s="1"/>
  <c r="L867" i="1"/>
  <c r="P867" i="1" s="1"/>
  <c r="Q867" i="1" s="1"/>
  <c r="L492" i="1"/>
  <c r="P492" i="1" s="1"/>
  <c r="Q492" i="1" s="1"/>
  <c r="L767" i="1"/>
  <c r="P767" i="1" s="1"/>
  <c r="Q767" i="1" s="1"/>
  <c r="L107" i="1"/>
  <c r="P107" i="1" s="1"/>
  <c r="Q107" i="1" s="1"/>
  <c r="L366" i="1"/>
  <c r="P366" i="1" s="1"/>
  <c r="Q366" i="1" s="1"/>
  <c r="L724" i="1"/>
  <c r="P724" i="1" s="1"/>
  <c r="Q724" i="1" s="1"/>
  <c r="L556" i="1"/>
  <c r="P556" i="1" s="1"/>
  <c r="Q556" i="1" s="1"/>
  <c r="L282" i="1"/>
  <c r="P282" i="1" s="1"/>
  <c r="Q282" i="1" s="1"/>
  <c r="L962" i="1"/>
  <c r="P962" i="1" s="1"/>
  <c r="Q962" i="1" s="1"/>
  <c r="L279" i="1"/>
  <c r="P279" i="1" s="1"/>
  <c r="Q279" i="1" s="1"/>
  <c r="L873" i="1"/>
  <c r="P873" i="1" s="1"/>
  <c r="Q873" i="1" s="1"/>
  <c r="L1005" i="1"/>
  <c r="P1005" i="1" s="1"/>
  <c r="Q1005" i="1" s="1"/>
  <c r="L533" i="1"/>
  <c r="P533" i="1" s="1"/>
  <c r="Q533" i="1" s="1"/>
  <c r="L1041" i="1"/>
  <c r="P1041" i="1" s="1"/>
  <c r="Q1041" i="1" s="1"/>
  <c r="L501" i="1"/>
  <c r="P501" i="1" s="1"/>
  <c r="Q501" i="1" s="1"/>
  <c r="L524" i="1"/>
  <c r="P524" i="1" s="1"/>
  <c r="Q524" i="1" s="1"/>
  <c r="L827" i="1"/>
  <c r="P827" i="1" s="1"/>
  <c r="Q827" i="1" s="1"/>
  <c r="L864" i="1"/>
  <c r="P864" i="1" s="1"/>
  <c r="Q864" i="1" s="1"/>
  <c r="L722" i="1"/>
  <c r="P722" i="1" s="1"/>
  <c r="Q722" i="1" s="1"/>
  <c r="L600" i="1"/>
  <c r="P600" i="1" s="1"/>
  <c r="Q600" i="1" s="1"/>
  <c r="L361" i="1"/>
  <c r="P361" i="1" s="1"/>
  <c r="Q361" i="1" s="1"/>
  <c r="L453" i="1"/>
  <c r="P453" i="1" s="1"/>
  <c r="Q453" i="1" s="1"/>
  <c r="L970" i="1"/>
  <c r="P970" i="1" s="1"/>
  <c r="Q970" i="1" s="1"/>
  <c r="L536" i="1"/>
  <c r="P536" i="1" s="1"/>
  <c r="Q536" i="1" s="1"/>
  <c r="L371" i="1"/>
  <c r="P371" i="1" s="1"/>
  <c r="Q371" i="1" s="1"/>
  <c r="L137" i="1"/>
  <c r="P137" i="1" s="1"/>
  <c r="Q137" i="1" s="1"/>
  <c r="L1003" i="1"/>
  <c r="P1003" i="1" s="1"/>
  <c r="Q1003" i="1" s="1"/>
  <c r="L254" i="1"/>
  <c r="P254" i="1" s="1"/>
  <c r="Q254" i="1" s="1"/>
  <c r="L540" i="1"/>
  <c r="P540" i="1" s="1"/>
  <c r="Q540" i="1" s="1"/>
  <c r="L367" i="1"/>
  <c r="P367" i="1" s="1"/>
  <c r="Q367" i="1" s="1"/>
  <c r="P981" i="1"/>
  <c r="Q981" i="1" s="1"/>
  <c r="P1032" i="1"/>
  <c r="Q1032" i="1" s="1"/>
  <c r="P553" i="1"/>
  <c r="Q553" i="1" s="1"/>
  <c r="P1027" i="1"/>
  <c r="Q1027" i="1" s="1"/>
  <c r="P33" i="1"/>
  <c r="Q33" i="1" s="1"/>
  <c r="P520" i="1"/>
  <c r="Q520" i="1" s="1"/>
  <c r="P882" i="1"/>
  <c r="Q882" i="1" s="1"/>
  <c r="P8" i="1"/>
  <c r="Q8" i="1" s="1"/>
  <c r="P1026" i="1"/>
  <c r="Q1026" i="1" s="1"/>
  <c r="P244" i="1"/>
  <c r="Q244" i="1" s="1"/>
  <c r="P910" i="1"/>
  <c r="Q910" i="1" s="1"/>
  <c r="P149" i="1"/>
  <c r="Q149" i="1" s="1"/>
  <c r="P295" i="1"/>
  <c r="Q295" i="1" s="1"/>
  <c r="P23" i="1"/>
  <c r="Q23" i="1" s="1"/>
  <c r="P48" i="1"/>
  <c r="Q48" i="1" s="1"/>
  <c r="P820" i="1"/>
  <c r="Q820" i="1" s="1"/>
  <c r="P666" i="1"/>
  <c r="Q666" i="1" s="1"/>
  <c r="P622" i="1"/>
  <c r="Q622" i="1" s="1"/>
  <c r="P1023" i="1"/>
  <c r="Q1023" i="1" s="1"/>
  <c r="P895" i="1"/>
  <c r="Q895" i="1" s="1"/>
  <c r="P423" i="1"/>
  <c r="Q423" i="1" s="1"/>
  <c r="P352" i="1"/>
  <c r="Q352" i="1" s="1"/>
  <c r="P25" i="1"/>
  <c r="Q25" i="1" s="1"/>
  <c r="P655" i="1"/>
  <c r="Q655" i="1" s="1"/>
  <c r="P1063" i="1"/>
  <c r="Q1063" i="1" s="1"/>
  <c r="P167" i="1"/>
  <c r="Q167" i="1" s="1"/>
  <c r="P551" i="1"/>
  <c r="Q551" i="1" s="1"/>
  <c r="P96" i="1"/>
  <c r="Q96" i="1" s="1"/>
  <c r="P364" i="1"/>
  <c r="Q364" i="1" s="1"/>
  <c r="P798" i="1"/>
  <c r="Q798" i="1" s="1"/>
  <c r="P812" i="1"/>
  <c r="Q812" i="1" s="1"/>
  <c r="P584" i="1"/>
  <c r="Q584" i="1" s="1"/>
  <c r="P210" i="1"/>
  <c r="Q210" i="1" s="1"/>
  <c r="P775" i="1"/>
  <c r="Q775" i="1" s="1"/>
  <c r="P790" i="1"/>
  <c r="Q790" i="1" s="1"/>
  <c r="P291" i="1"/>
  <c r="Q291" i="1" s="1"/>
  <c r="P1013" i="1"/>
  <c r="Q1013" i="1" s="1"/>
  <c r="P713" i="1"/>
  <c r="Q713" i="1" s="1"/>
  <c r="P748" i="1"/>
  <c r="Q748" i="1" s="1"/>
  <c r="P840" i="1"/>
  <c r="Q840" i="1" s="1"/>
  <c r="P555" i="1"/>
  <c r="Q555" i="1" s="1"/>
  <c r="P147" i="1"/>
  <c r="Q147" i="1" s="1"/>
  <c r="P21" i="1"/>
  <c r="Q21" i="1" s="1"/>
  <c r="P357" i="1"/>
  <c r="Q357" i="1" s="1"/>
  <c r="P482" i="1"/>
  <c r="Q482" i="1" s="1"/>
  <c r="P34" i="1"/>
  <c r="Q34" i="1" s="1"/>
  <c r="P901" i="1"/>
  <c r="Q901" i="1" s="1"/>
  <c r="P191" i="1"/>
  <c r="Q191" i="1" s="1"/>
  <c r="P819" i="1"/>
  <c r="Q819" i="1" s="1"/>
  <c r="P810" i="1"/>
  <c r="Q810" i="1" s="1"/>
  <c r="P753" i="1"/>
  <c r="Q753" i="1" s="1"/>
  <c r="P634" i="1"/>
  <c r="Q634" i="1" s="1"/>
  <c r="P805" i="1"/>
  <c r="Q805" i="1" s="1"/>
  <c r="P576" i="1"/>
  <c r="Q576" i="1" s="1"/>
  <c r="P843" i="1"/>
  <c r="Q843" i="1" s="1"/>
  <c r="P261" i="1"/>
  <c r="Q261" i="1" s="1"/>
  <c r="P875" i="1"/>
  <c r="Q875" i="1" s="1"/>
  <c r="P743" i="1"/>
  <c r="Q743" i="1" s="1"/>
  <c r="P766" i="1"/>
  <c r="Q766" i="1" s="1"/>
  <c r="P764" i="1"/>
  <c r="Q764" i="1" s="1"/>
  <c r="P972" i="1"/>
  <c r="Q972" i="1" s="1"/>
  <c r="P942" i="1"/>
  <c r="Q942" i="1" s="1"/>
  <c r="P592" i="1"/>
  <c r="Q592" i="1" s="1"/>
  <c r="P715" i="1"/>
  <c r="Q715" i="1" s="1"/>
  <c r="P185" i="1"/>
  <c r="Q185" i="1" s="1"/>
  <c r="P993" i="1"/>
  <c r="Q993" i="1" s="1"/>
  <c r="P829" i="1"/>
  <c r="Q829" i="1" s="1"/>
  <c r="P677" i="1"/>
  <c r="Q677" i="1" s="1"/>
  <c r="P142" i="1"/>
  <c r="Q142" i="1" s="1"/>
  <c r="P340" i="1"/>
  <c r="Q340" i="1" s="1"/>
  <c r="P306" i="1"/>
  <c r="Q306" i="1" s="1"/>
  <c r="P46" i="1"/>
  <c r="Q46" i="1" s="1"/>
  <c r="P495" i="1"/>
  <c r="Q495" i="1" s="1"/>
  <c r="P804" i="1"/>
  <c r="Q804" i="1" s="1"/>
  <c r="P699" i="1"/>
  <c r="Q699" i="1" s="1"/>
  <c r="P24" i="1"/>
  <c r="Q24" i="1" s="1"/>
  <c r="P358" i="1"/>
  <c r="Q358" i="1" s="1"/>
  <c r="P66" i="1"/>
  <c r="Q66" i="1" s="1"/>
  <c r="P16" i="1"/>
  <c r="Q16" i="1" s="1"/>
  <c r="P877" i="1"/>
  <c r="Q877" i="1" s="1"/>
  <c r="P836" i="1"/>
  <c r="Q836" i="1" s="1"/>
  <c r="P709" i="1"/>
  <c r="Q709" i="1" s="1"/>
  <c r="P159" i="1"/>
  <c r="Q159" i="1" s="1"/>
  <c r="P304" i="1"/>
  <c r="Q304" i="1" s="1"/>
  <c r="P187" i="1"/>
  <c r="Q187" i="1" s="1"/>
  <c r="P477" i="1"/>
  <c r="Q477" i="1" s="1"/>
  <c r="P991" i="1"/>
  <c r="Q991" i="1" s="1"/>
  <c r="P55" i="1"/>
  <c r="Q55" i="1" s="1"/>
  <c r="P1054" i="1"/>
  <c r="Q1054" i="1" s="1"/>
  <c r="P787" i="1"/>
  <c r="Q787" i="1" s="1"/>
  <c r="P523" i="1"/>
  <c r="Q523" i="1" s="1"/>
  <c r="P711" i="1"/>
  <c r="Q711" i="1" s="1"/>
  <c r="P1019" i="1"/>
  <c r="Q1019" i="1" s="1"/>
  <c r="P234" i="1"/>
  <c r="Q234" i="1" s="1"/>
  <c r="P887" i="1"/>
  <c r="Q887" i="1" s="1"/>
  <c r="P165" i="1"/>
  <c r="Q165" i="1" s="1"/>
  <c r="P1021" i="1"/>
  <c r="Q1021" i="1" s="1"/>
  <c r="P339" i="1"/>
  <c r="Q339" i="1" s="1"/>
  <c r="P308" i="1"/>
  <c r="Q308" i="1" s="1"/>
  <c r="P954" i="1"/>
  <c r="Q954" i="1" s="1"/>
  <c r="P70" i="1"/>
  <c r="Q70" i="1" s="1"/>
  <c r="P931" i="1"/>
  <c r="Q931" i="1" s="1"/>
  <c r="P571" i="1"/>
  <c r="Q571" i="1" s="1"/>
  <c r="P844" i="1"/>
  <c r="Q844" i="1" s="1"/>
  <c r="P435" i="1"/>
  <c r="Q435" i="1" s="1"/>
  <c r="P1024" i="1"/>
  <c r="Q1024" i="1" s="1"/>
  <c r="P691" i="1"/>
  <c r="Q691" i="1" s="1"/>
  <c r="P127" i="1"/>
  <c r="Q127" i="1" s="1"/>
  <c r="P644" i="1"/>
  <c r="Q644" i="1" s="1"/>
  <c r="P659" i="1"/>
  <c r="Q659" i="1" s="1"/>
  <c r="P300" i="1"/>
  <c r="Q300" i="1" s="1"/>
  <c r="P310" i="1"/>
  <c r="Q310" i="1" s="1"/>
  <c r="P179" i="1"/>
  <c r="Q179" i="1" s="1"/>
  <c r="P188" i="1"/>
  <c r="Q188" i="1" s="1"/>
  <c r="P746" i="1"/>
  <c r="Q746" i="1" s="1"/>
  <c r="P1066" i="1"/>
  <c r="Q1066" i="1" s="1"/>
  <c r="P311" i="1"/>
  <c r="Q311" i="1" s="1"/>
  <c r="P837" i="1"/>
  <c r="Q837" i="1" s="1"/>
  <c r="P403" i="1"/>
  <c r="Q403" i="1" s="1"/>
  <c r="P637" i="1"/>
  <c r="Q637" i="1" s="1"/>
  <c r="P77" i="1"/>
  <c r="Q77" i="1" s="1"/>
  <c r="P712" i="1"/>
  <c r="Q712" i="1" s="1"/>
  <c r="P483" i="1"/>
  <c r="Q483" i="1" s="1"/>
  <c r="P454" i="1"/>
  <c r="Q454" i="1" s="1"/>
  <c r="P208" i="1"/>
  <c r="Q208" i="1" s="1"/>
  <c r="P498" i="1"/>
  <c r="Q498" i="1" s="1"/>
  <c r="P705" i="1"/>
  <c r="Q705" i="1" s="1"/>
  <c r="P1042" i="1"/>
  <c r="Q1042" i="1" s="1"/>
  <c r="P278" i="1"/>
  <c r="Q278" i="1" s="1"/>
  <c r="P512" i="1"/>
  <c r="Q512" i="1" s="1"/>
  <c r="P445" i="1"/>
  <c r="Q445" i="1" s="1"/>
  <c r="P204" i="1"/>
  <c r="Q204" i="1" s="1"/>
  <c r="P497" i="1"/>
  <c r="Q497" i="1" s="1"/>
  <c r="P1014" i="1"/>
  <c r="Q1014" i="1" s="1"/>
  <c r="P363" i="1"/>
  <c r="Q363" i="1" s="1"/>
  <c r="P267" i="1"/>
  <c r="Q267" i="1" s="1"/>
  <c r="P729" i="1"/>
  <c r="Q729" i="1" s="1"/>
  <c r="P692" i="1"/>
  <c r="Q692" i="1" s="1"/>
  <c r="P509" i="1"/>
  <c r="Q509" i="1" s="1"/>
  <c r="P627" i="1"/>
  <c r="Q627" i="1" s="1"/>
  <c r="P673" i="1"/>
  <c r="Q673" i="1" s="1"/>
  <c r="P598" i="1"/>
  <c r="Q598" i="1" s="1"/>
  <c r="P674" i="1"/>
  <c r="Q674" i="1" s="1"/>
  <c r="P116" i="1"/>
  <c r="Q116" i="1" s="1"/>
  <c r="P228" i="1"/>
  <c r="Q228" i="1" s="1"/>
  <c r="P123" i="1"/>
  <c r="Q123" i="1" s="1"/>
  <c r="P950" i="1"/>
  <c r="Q950" i="1" s="1"/>
  <c r="P1061" i="1"/>
  <c r="Q1061" i="1" s="1"/>
  <c r="P686" i="1"/>
  <c r="Q686" i="1" s="1"/>
  <c r="P660" i="1"/>
  <c r="Q660" i="1" s="1"/>
  <c r="P11" i="1"/>
  <c r="Q11" i="1" s="1"/>
  <c r="P934" i="1"/>
  <c r="Q934" i="1" s="1"/>
  <c r="P1034" i="1"/>
  <c r="Q1034" i="1" s="1"/>
  <c r="P959" i="1"/>
  <c r="Q959" i="1" s="1"/>
  <c r="P697" i="1"/>
  <c r="Q697" i="1" s="1"/>
  <c r="P762" i="1"/>
  <c r="Q762" i="1" s="1"/>
  <c r="P759" i="1"/>
  <c r="Q759" i="1" s="1"/>
  <c r="P1020" i="1"/>
  <c r="Q1020" i="1" s="1"/>
  <c r="P109" i="1"/>
  <c r="Q109" i="1" s="1"/>
  <c r="P682" i="1"/>
  <c r="Q682" i="1" s="1"/>
  <c r="P170" i="1"/>
  <c r="Q170" i="1" s="1"/>
  <c r="P1011" i="1"/>
  <c r="Q1011" i="1" s="1"/>
  <c r="P511" i="1"/>
  <c r="Q511" i="1" s="1"/>
  <c r="P111" i="1"/>
  <c r="Q111" i="1" s="1"/>
  <c r="P800" i="1"/>
  <c r="Q800" i="1" s="1"/>
  <c r="P835" i="1"/>
  <c r="Q835" i="1" s="1"/>
  <c r="P779" i="1"/>
  <c r="Q779" i="1" s="1"/>
  <c r="P897" i="1"/>
  <c r="Q897" i="1" s="1"/>
  <c r="P131" i="1"/>
  <c r="Q131" i="1" s="1"/>
  <c r="P658" i="1"/>
  <c r="Q658" i="1" s="1"/>
  <c r="P1056" i="1"/>
  <c r="Q1056" i="1" s="1"/>
  <c r="P39" i="1"/>
  <c r="Q39" i="1" s="1"/>
  <c r="P1040" i="1"/>
  <c r="Q1040" i="1" s="1"/>
  <c r="P558" i="1"/>
  <c r="Q558" i="1" s="1"/>
  <c r="P833" i="1"/>
  <c r="Q833" i="1" s="1"/>
  <c r="P3" i="1"/>
  <c r="Q3" i="1" s="1"/>
  <c r="P696" i="1"/>
  <c r="Q696" i="1" s="1"/>
  <c r="P967" i="1"/>
  <c r="Q967" i="1" s="1"/>
  <c r="P852" i="1"/>
  <c r="Q852" i="1" s="1"/>
  <c r="P1075" i="1"/>
  <c r="Q1075" i="1" s="1"/>
  <c r="P624" i="1"/>
  <c r="Q624" i="1" s="1"/>
  <c r="P784" i="1"/>
  <c r="Q784" i="1" s="1"/>
  <c r="P450" i="1"/>
  <c r="Q450" i="1" s="1"/>
  <c r="P285" i="1"/>
  <c r="Q285" i="1" s="1"/>
  <c r="P510" i="1"/>
  <c r="Q510" i="1" s="1"/>
  <c r="P59" i="1"/>
  <c r="Q59" i="1" s="1"/>
  <c r="P121" i="1"/>
  <c r="Q121" i="1" s="1"/>
  <c r="P1031" i="1"/>
  <c r="Q1031" i="1" s="1"/>
  <c r="P97" i="1"/>
  <c r="Q97" i="1" s="1"/>
  <c r="P689" i="1"/>
  <c r="Q689" i="1" s="1"/>
  <c r="P646" i="1"/>
  <c r="Q646" i="1" s="1"/>
  <c r="P802" i="1"/>
  <c r="Q802" i="1" s="1"/>
  <c r="P676" i="1"/>
  <c r="Q676" i="1" s="1"/>
  <c r="P859" i="1"/>
  <c r="Q859" i="1" s="1"/>
  <c r="P201" i="1"/>
  <c r="Q201" i="1" s="1"/>
  <c r="P926" i="1"/>
  <c r="Q926" i="1" s="1"/>
  <c r="P81" i="1"/>
  <c r="Q81" i="1" s="1"/>
  <c r="P1038" i="1"/>
  <c r="Q1038" i="1" s="1"/>
  <c r="P749" i="1"/>
  <c r="Q749" i="1" s="1"/>
  <c r="P1059" i="1"/>
  <c r="Q1059" i="1" s="1"/>
  <c r="P894" i="1"/>
  <c r="Q894" i="1" s="1"/>
  <c r="P815" i="1"/>
  <c r="Q815" i="1" s="1"/>
  <c r="P218" i="1"/>
  <c r="Q218" i="1" s="1"/>
  <c r="P37" i="1"/>
  <c r="Q37" i="1" s="1"/>
  <c r="P623" i="1"/>
  <c r="Q623" i="1" s="1"/>
  <c r="P714" i="1"/>
  <c r="Q714" i="1" s="1"/>
  <c r="P1022" i="1"/>
  <c r="Q1022" i="1" s="1"/>
  <c r="P289" i="1"/>
  <c r="Q289" i="1" s="1"/>
  <c r="P783" i="1"/>
  <c r="Q783" i="1" s="1"/>
  <c r="P633" i="1"/>
  <c r="Q633" i="1" s="1"/>
  <c r="P297" i="1"/>
  <c r="Q297" i="1" s="1"/>
  <c r="P26" i="1"/>
  <c r="Q26" i="1" s="1"/>
  <c r="P376" i="1"/>
  <c r="Q376" i="1" s="1"/>
  <c r="P373" i="1"/>
  <c r="Q373" i="1" s="1"/>
  <c r="P129" i="1"/>
  <c r="Q129" i="1" s="1"/>
  <c r="P701" i="1"/>
  <c r="Q701" i="1" s="1"/>
  <c r="P998" i="1"/>
  <c r="Q998" i="1" s="1"/>
  <c r="P721" i="1"/>
  <c r="Q721" i="1" s="1"/>
  <c r="P617" i="1"/>
  <c r="Q617" i="1" s="1"/>
  <c r="P125" i="1"/>
  <c r="Q125" i="1" s="1"/>
  <c r="P248" i="1"/>
  <c r="Q248" i="1" s="1"/>
  <c r="P168" i="1"/>
  <c r="Q168" i="1" s="1"/>
  <c r="P249" i="1"/>
  <c r="Q249" i="1" s="1"/>
  <c r="P695" i="1"/>
  <c r="Q695" i="1" s="1"/>
  <c r="P935" i="1"/>
  <c r="Q935" i="1" s="1"/>
  <c r="P952" i="1"/>
  <c r="Q952" i="1" s="1"/>
  <c r="P578" i="1"/>
  <c r="Q578" i="1" s="1"/>
  <c r="P124" i="1"/>
  <c r="Q124" i="1" s="1"/>
  <c r="P476" i="1"/>
  <c r="Q476" i="1" s="1"/>
  <c r="P856" i="1"/>
  <c r="Q856" i="1" s="1"/>
  <c r="P977" i="1"/>
  <c r="Q977" i="1" s="1"/>
  <c r="P756" i="1"/>
  <c r="Q756" i="1" s="1"/>
  <c r="P61" i="1"/>
  <c r="Q61" i="1" s="1"/>
  <c r="P941" i="1"/>
  <c r="Q941" i="1" s="1"/>
  <c r="P299" i="1"/>
  <c r="Q299" i="1" s="1"/>
  <c r="P309" i="1"/>
  <c r="Q309" i="1" s="1"/>
  <c r="P258" i="1"/>
  <c r="Q258" i="1" s="1"/>
  <c r="P679" i="1"/>
  <c r="Q679" i="1" s="1"/>
  <c r="P516" i="1"/>
  <c r="Q516" i="1" s="1"/>
  <c r="P199" i="1"/>
  <c r="Q199" i="1" s="1"/>
  <c r="P902" i="1"/>
  <c r="Q902" i="1" s="1"/>
  <c r="P597" i="1"/>
  <c r="Q597" i="1" s="1"/>
  <c r="P13" i="1"/>
  <c r="Q13" i="1" s="1"/>
  <c r="P120" i="1"/>
  <c r="Q120" i="1" s="1"/>
  <c r="P515" i="1"/>
  <c r="Q515" i="1" s="1"/>
  <c r="P458" i="1"/>
  <c r="Q458" i="1" s="1"/>
  <c r="P58" i="1"/>
  <c r="Q58" i="1" s="1"/>
  <c r="P797" i="1"/>
  <c r="Q797" i="1" s="1"/>
  <c r="P29" i="1"/>
  <c r="Q29" i="1" s="1"/>
  <c r="P565" i="1"/>
  <c r="Q565" i="1" s="1"/>
  <c r="P986" i="1"/>
  <c r="Q986" i="1" s="1"/>
  <c r="P184" i="1"/>
  <c r="Q184" i="1" s="1"/>
  <c r="P847" i="1"/>
  <c r="Q847" i="1" s="1"/>
  <c r="P40" i="1"/>
  <c r="Q40" i="1" s="1"/>
  <c r="P392" i="1"/>
  <c r="Q392" i="1" s="1"/>
  <c r="P173" i="1"/>
  <c r="Q173" i="1" s="1"/>
  <c r="P570" i="1"/>
  <c r="Q570" i="1" s="1"/>
  <c r="P408" i="1"/>
  <c r="Q408" i="1" s="1"/>
  <c r="P788" i="1"/>
  <c r="Q788" i="1" s="1"/>
  <c r="P430" i="1"/>
  <c r="Q430" i="1" s="1"/>
  <c r="P420" i="1"/>
  <c r="Q420" i="1" s="1"/>
  <c r="P182" i="1"/>
  <c r="Q182" i="1" s="1"/>
  <c r="P568" i="1"/>
  <c r="Q568" i="1" s="1"/>
  <c r="P464" i="1"/>
  <c r="Q464" i="1" s="1"/>
  <c r="P793" i="1"/>
  <c r="Q793" i="1" s="1"/>
  <c r="P741" i="1"/>
  <c r="Q741" i="1" s="1"/>
  <c r="P436" i="1"/>
  <c r="Q436" i="1" s="1"/>
  <c r="P1007" i="1"/>
  <c r="Q1007" i="1" s="1"/>
  <c r="P421" i="1"/>
  <c r="Q421" i="1" s="1"/>
  <c r="P554" i="1"/>
  <c r="Q554" i="1" s="1"/>
  <c r="P760" i="1"/>
  <c r="Q760" i="1" s="1"/>
  <c r="P795" i="1"/>
  <c r="Q795" i="1" s="1"/>
  <c r="P909" i="1"/>
  <c r="Q909" i="1" s="1"/>
  <c r="P372" i="1"/>
  <c r="Q372" i="1" s="1"/>
  <c r="P513" i="1"/>
  <c r="Q513" i="1" s="1"/>
  <c r="P449" i="1"/>
  <c r="Q449" i="1" s="1"/>
  <c r="P908" i="1"/>
  <c r="Q908" i="1" s="1"/>
  <c r="P814" i="1"/>
  <c r="Q814" i="1" s="1"/>
  <c r="P440" i="1"/>
  <c r="Q440" i="1" s="1"/>
  <c r="P52" i="1"/>
  <c r="Q52" i="1" s="1"/>
  <c r="P961" i="1"/>
  <c r="Q961" i="1" s="1"/>
  <c r="P183" i="1"/>
  <c r="Q183" i="1" s="1"/>
  <c r="P205" i="1"/>
  <c r="Q205" i="1" s="1"/>
  <c r="P400" i="1"/>
  <c r="Q400" i="1" s="1"/>
  <c r="P822" i="1"/>
  <c r="Q822" i="1" s="1"/>
  <c r="P951" i="1"/>
  <c r="Q951" i="1" s="1"/>
  <c r="P475" i="1"/>
  <c r="Q475" i="1" s="1"/>
  <c r="P740" i="1"/>
  <c r="Q740" i="1" s="1"/>
  <c r="P736" i="1"/>
  <c r="Q736" i="1" s="1"/>
  <c r="P175" i="1"/>
  <c r="Q175" i="1" s="1"/>
  <c r="P884" i="1"/>
  <c r="Q884" i="1" s="1"/>
  <c r="P302" i="1"/>
  <c r="Q302" i="1" s="1"/>
  <c r="P207" i="1"/>
  <c r="Q207" i="1" s="1"/>
  <c r="P437" i="1"/>
  <c r="Q437" i="1" s="1"/>
  <c r="P136" i="1"/>
  <c r="Q136" i="1" s="1"/>
  <c r="P964" i="1"/>
  <c r="Q964" i="1" s="1"/>
  <c r="P953" i="1"/>
  <c r="Q953" i="1" s="1"/>
  <c r="P439" i="1"/>
  <c r="Q439" i="1" s="1"/>
  <c r="P365" i="1"/>
  <c r="Q365" i="1" s="1"/>
  <c r="P613" i="1"/>
  <c r="Q613" i="1" s="1"/>
  <c r="P197" i="1"/>
  <c r="Q197" i="1" s="1"/>
  <c r="P338" i="1"/>
  <c r="Q338" i="1" s="1"/>
  <c r="P765" i="1"/>
  <c r="Q765" i="1" s="1"/>
  <c r="P186" i="1"/>
  <c r="Q186" i="1" s="1"/>
  <c r="P54" i="1"/>
  <c r="Q54" i="1" s="1"/>
  <c r="P264" i="1"/>
  <c r="Q264" i="1" s="1"/>
  <c r="P667" i="1"/>
  <c r="Q667" i="1" s="1"/>
  <c r="P1001" i="1"/>
  <c r="Q1001" i="1" s="1"/>
  <c r="P898" i="1"/>
  <c r="Q898" i="1" s="1"/>
  <c r="P68" i="1"/>
  <c r="Q68" i="1" s="1"/>
  <c r="P240" i="1"/>
  <c r="Q240" i="1" s="1"/>
  <c r="P791" i="1"/>
  <c r="Q791" i="1" s="1"/>
  <c r="P868" i="1"/>
  <c r="Q868" i="1" s="1"/>
  <c r="P241" i="1"/>
  <c r="Q241" i="1" s="1"/>
  <c r="P369" i="1"/>
  <c r="Q369" i="1" s="1"/>
  <c r="P422" i="1"/>
  <c r="Q422" i="1" s="1"/>
  <c r="P560" i="1"/>
  <c r="Q560" i="1" s="1"/>
  <c r="P1012" i="1"/>
  <c r="Q1012" i="1" s="1"/>
  <c r="P459" i="1"/>
  <c r="Q459" i="1" s="1"/>
  <c r="P519" i="1"/>
  <c r="Q519" i="1" s="1"/>
  <c r="P255" i="1"/>
  <c r="Q255" i="1" s="1"/>
  <c r="P256" i="1"/>
  <c r="Q256" i="1" s="1"/>
  <c r="P892" i="1"/>
  <c r="Q892" i="1" s="1"/>
  <c r="P95" i="1"/>
  <c r="Q95" i="1" s="1"/>
  <c r="P816" i="1"/>
  <c r="Q816" i="1" s="1"/>
  <c r="P638" i="1"/>
  <c r="Q638" i="1" s="1"/>
  <c r="P978" i="1"/>
  <c r="Q978" i="1" s="1"/>
  <c r="P1037" i="1"/>
  <c r="Q1037" i="1" s="1"/>
  <c r="P939" i="1"/>
  <c r="Q939" i="1" s="1"/>
  <c r="P813" i="1"/>
  <c r="Q813" i="1" s="1"/>
  <c r="P417" i="1"/>
  <c r="Q417" i="1" s="1"/>
  <c r="P146" i="1"/>
  <c r="Q146" i="1" s="1"/>
  <c r="P841" i="1"/>
  <c r="Q841" i="1" s="1"/>
  <c r="P671" i="1"/>
  <c r="Q671" i="1" s="1"/>
  <c r="P710" i="1"/>
  <c r="Q710" i="1" s="1"/>
  <c r="P774" i="1"/>
  <c r="Q774" i="1" s="1"/>
  <c r="P396" i="1"/>
  <c r="Q396" i="1" s="1"/>
  <c r="P196" i="1"/>
  <c r="Q196" i="1" s="1"/>
  <c r="P414" i="1"/>
  <c r="Q414" i="1" s="1"/>
  <c r="P834" i="1"/>
  <c r="Q834" i="1" s="1"/>
  <c r="P626" i="1"/>
  <c r="Q626" i="1" s="1"/>
  <c r="P700" i="1"/>
  <c r="Q700" i="1" s="1"/>
  <c r="P298" i="1"/>
  <c r="Q298" i="1" s="1"/>
  <c r="P922" i="1"/>
  <c r="Q922" i="1" s="1"/>
  <c r="P335" i="1"/>
  <c r="Q335" i="1" s="1"/>
  <c r="P625" i="1"/>
  <c r="Q625" i="1" s="1"/>
  <c r="P566" i="1"/>
  <c r="Q566" i="1" s="1"/>
  <c r="P866" i="1"/>
  <c r="Q866" i="1" s="1"/>
  <c r="P346" i="1"/>
  <c r="Q346" i="1" s="1"/>
  <c r="P499" i="1"/>
  <c r="Q499" i="1" s="1"/>
  <c r="P220" i="1"/>
  <c r="Q220" i="1" s="1"/>
  <c r="P457" i="1"/>
  <c r="Q457" i="1" s="1"/>
  <c r="P706" i="1"/>
  <c r="Q706" i="1" s="1"/>
  <c r="P968" i="1"/>
  <c r="Q968" i="1" s="1"/>
  <c r="P329" i="1"/>
  <c r="Q329" i="1" s="1"/>
  <c r="P177" i="1"/>
  <c r="Q177" i="1" s="1"/>
  <c r="P231" i="1"/>
  <c r="Q231" i="1" s="1"/>
  <c r="P973" i="1"/>
  <c r="Q973" i="1" s="1"/>
  <c r="P353" i="1"/>
  <c r="Q353" i="1" s="1"/>
  <c r="P1006" i="1"/>
  <c r="Q1006" i="1" s="1"/>
  <c r="P239" i="1"/>
  <c r="Q239" i="1" s="1"/>
  <c r="P874" i="1"/>
  <c r="Q874" i="1" s="1"/>
  <c r="P849" i="1"/>
  <c r="Q849" i="1" s="1"/>
  <c r="P465" i="1"/>
  <c r="Q465" i="1" s="1"/>
  <c r="P360" i="1"/>
  <c r="Q360" i="1" s="1"/>
  <c r="P349" i="1"/>
  <c r="Q349" i="1" s="1"/>
  <c r="P74" i="1"/>
  <c r="Q74" i="1" s="1"/>
  <c r="P690" i="1"/>
  <c r="Q690" i="1" s="1"/>
  <c r="P283" i="1"/>
  <c r="Q283" i="1" s="1"/>
  <c r="P35" i="1"/>
  <c r="Q35" i="1" s="1"/>
  <c r="P86" i="1"/>
  <c r="Q86" i="1" s="1"/>
  <c r="P128" i="1"/>
  <c r="Q128" i="1" s="1"/>
  <c r="P115" i="1"/>
  <c r="Q115" i="1" s="1"/>
  <c r="P683" i="1"/>
  <c r="Q683" i="1" s="1"/>
  <c r="P924" i="1"/>
  <c r="Q924" i="1" s="1"/>
  <c r="P331" i="1"/>
  <c r="Q331" i="1" s="1"/>
  <c r="P1015" i="1"/>
  <c r="Q1015" i="1" s="1"/>
  <c r="P502" i="1"/>
  <c r="Q502" i="1" s="1"/>
  <c r="P215" i="1"/>
  <c r="Q215" i="1" s="1"/>
  <c r="P572" i="1"/>
  <c r="Q572" i="1" s="1"/>
  <c r="P89" i="1"/>
  <c r="Q89" i="1" s="1"/>
  <c r="P462" i="1"/>
  <c r="Q462" i="1" s="1"/>
  <c r="P288" i="1"/>
  <c r="Q288" i="1" s="1"/>
  <c r="P202" i="1"/>
  <c r="Q202" i="1" s="1"/>
  <c r="P442" i="1"/>
  <c r="Q442" i="1" s="1"/>
  <c r="P150" i="1"/>
  <c r="Q150" i="1" s="1"/>
  <c r="P470" i="1"/>
  <c r="Q470" i="1" s="1"/>
  <c r="P693" i="1"/>
  <c r="Q693" i="1" s="1"/>
  <c r="P211" i="1"/>
  <c r="Q211" i="1" s="1"/>
  <c r="P118" i="1"/>
  <c r="Q118" i="1" s="1"/>
  <c r="P616" i="1"/>
  <c r="Q616" i="1" s="1"/>
  <c r="P688" i="1"/>
  <c r="Q688" i="1" s="1"/>
  <c r="P1016" i="1"/>
  <c r="Q1016" i="1" s="1"/>
  <c r="P821" i="1"/>
  <c r="Q821" i="1" s="1"/>
  <c r="P1051" i="1"/>
  <c r="Q1051" i="1" s="1"/>
  <c r="P946" i="1"/>
  <c r="Q946" i="1" s="1"/>
  <c r="P399" i="1"/>
  <c r="Q399" i="1" s="1"/>
  <c r="P920" i="1"/>
  <c r="Q920" i="1" s="1"/>
  <c r="P717" i="1"/>
  <c r="Q717" i="1" s="1"/>
  <c r="P575" i="1"/>
  <c r="Q575" i="1" s="1"/>
  <c r="P957" i="1"/>
  <c r="Q957" i="1" s="1"/>
  <c r="P356" i="1"/>
  <c r="Q356" i="1" s="1"/>
  <c r="P668" i="1"/>
  <c r="Q668" i="1" s="1"/>
  <c r="P57" i="1"/>
  <c r="Q57" i="1" s="1"/>
  <c r="P217" i="1"/>
  <c r="Q217" i="1" s="1"/>
  <c r="P562" i="1"/>
  <c r="Q562" i="1" s="1"/>
  <c r="P883" i="1"/>
  <c r="Q883" i="1" s="1"/>
  <c r="P745" i="1"/>
  <c r="Q745" i="1" s="1"/>
  <c r="P1039" i="1"/>
  <c r="Q1039" i="1" s="1"/>
  <c r="P350" i="1"/>
  <c r="Q350" i="1" s="1"/>
  <c r="P236" i="1"/>
  <c r="Q236" i="1" s="1"/>
  <c r="P669" i="1"/>
  <c r="Q669" i="1" s="1"/>
  <c r="P100" i="1"/>
  <c r="Q100" i="1" s="1"/>
  <c r="P20" i="1"/>
  <c r="Q20" i="1" s="1"/>
  <c r="P769" i="1"/>
  <c r="Q769" i="1" s="1"/>
  <c r="P80" i="1"/>
  <c r="Q80" i="1" s="1"/>
  <c r="P250" i="1"/>
  <c r="Q250" i="1" s="1"/>
  <c r="P698" i="1"/>
  <c r="Q698" i="1" s="1"/>
  <c r="P641" i="1"/>
  <c r="Q641" i="1" s="1"/>
  <c r="P905" i="1"/>
  <c r="Q905" i="1" s="1"/>
  <c r="P190" i="1"/>
  <c r="Q190" i="1" s="1"/>
  <c r="P312" i="1"/>
  <c r="Q312" i="1" s="1"/>
  <c r="P675" i="1"/>
  <c r="Q675" i="1" s="1"/>
  <c r="P266" i="1"/>
  <c r="Q266" i="1" s="1"/>
  <c r="P880" i="1"/>
  <c r="Q880" i="1" s="1"/>
  <c r="P738" i="1"/>
  <c r="Q738" i="1" s="1"/>
  <c r="P610" i="1"/>
  <c r="Q610" i="1" s="1"/>
  <c r="P728" i="1"/>
  <c r="Q728" i="1" s="1"/>
  <c r="P301" i="1"/>
  <c r="Q301" i="1" s="1"/>
  <c r="P521" i="1"/>
  <c r="Q521" i="1" s="1"/>
  <c r="P574" i="1"/>
  <c r="Q574" i="1" s="1"/>
  <c r="P1025" i="1"/>
  <c r="Q1025" i="1" s="1"/>
  <c r="P448" i="1"/>
  <c r="Q448" i="1" s="1"/>
  <c r="P85" i="1"/>
  <c r="Q85" i="1" s="1"/>
  <c r="P434" i="1"/>
  <c r="Q434" i="1" s="1"/>
  <c r="P632" i="1"/>
  <c r="Q632" i="1" s="1"/>
  <c r="P830" i="1"/>
  <c r="Q830" i="1" s="1"/>
  <c r="P997" i="1"/>
  <c r="Q997" i="1" s="1"/>
  <c r="P222" i="1"/>
  <c r="Q222" i="1" s="1"/>
  <c r="P896" i="1"/>
  <c r="Q896" i="1" s="1"/>
  <c r="P503" i="1"/>
  <c r="Q503" i="1" s="1"/>
  <c r="P31" i="1"/>
  <c r="Q31" i="1" s="1"/>
  <c r="P586" i="1"/>
  <c r="Q586" i="1" s="1"/>
  <c r="P678" i="1"/>
  <c r="Q678" i="1" s="1"/>
  <c r="P903" i="1"/>
  <c r="Q903" i="1" s="1"/>
  <c r="P166" i="1"/>
  <c r="Q166" i="1" s="1"/>
  <c r="P419" i="1"/>
  <c r="Q419" i="1" s="1"/>
  <c r="P226" i="1"/>
  <c r="Q226" i="1" s="1"/>
  <c r="P487" i="1"/>
  <c r="Q487" i="1" s="1"/>
  <c r="P702" i="1"/>
  <c r="Q702" i="1" s="1"/>
  <c r="P639" i="1"/>
  <c r="Q639" i="1" s="1"/>
  <c r="P589" i="1"/>
  <c r="Q589" i="1" s="1"/>
  <c r="P273" i="1"/>
  <c r="Q273" i="1" s="1"/>
  <c r="P433" i="1"/>
  <c r="Q433" i="1" s="1"/>
  <c r="P635" i="1"/>
  <c r="Q635" i="1" s="1"/>
  <c r="P904" i="1"/>
  <c r="Q904" i="1" s="1"/>
  <c r="P307" i="1"/>
  <c r="Q307" i="1" s="1"/>
  <c r="P609" i="1"/>
  <c r="Q609" i="1" s="1"/>
  <c r="P948" i="1"/>
  <c r="Q948" i="1" s="1"/>
  <c r="P209" i="1"/>
  <c r="Q209" i="1" s="1"/>
  <c r="P479" i="1"/>
  <c r="Q479" i="1" s="1"/>
  <c r="P958" i="1"/>
  <c r="Q958" i="1" s="1"/>
  <c r="P28" i="1"/>
  <c r="Q28" i="1" s="1"/>
  <c r="P590" i="1"/>
  <c r="Q590" i="1" s="1"/>
  <c r="P806" i="1"/>
  <c r="Q806" i="1" s="1"/>
  <c r="P508" i="1"/>
  <c r="Q508" i="1" s="1"/>
  <c r="P73" i="1"/>
  <c r="Q73" i="1" s="1"/>
  <c r="P620" i="1"/>
  <c r="Q620" i="1" s="1"/>
  <c r="P155" i="1"/>
  <c r="Q155" i="1" s="1"/>
  <c r="P618" i="1"/>
  <c r="Q618" i="1" s="1"/>
  <c r="P984" i="1"/>
  <c r="Q984" i="1" s="1"/>
  <c r="P171" i="1"/>
  <c r="Q171" i="1" s="1"/>
  <c r="P891" i="1"/>
  <c r="Q891" i="1" s="1"/>
  <c r="P505" i="1"/>
  <c r="Q505" i="1" s="1"/>
  <c r="P990" i="1"/>
  <c r="Q990" i="1" s="1"/>
  <c r="P45" i="1"/>
  <c r="Q45" i="1" s="1"/>
  <c r="P786" i="1"/>
  <c r="Q786" i="1" s="1"/>
  <c r="P890" i="1"/>
  <c r="Q890" i="1" s="1"/>
  <c r="P672" i="1"/>
  <c r="Q672" i="1" s="1"/>
  <c r="P744" i="1"/>
  <c r="Q744" i="1" s="1"/>
  <c r="P983" i="1"/>
  <c r="Q983" i="1" s="1"/>
  <c r="P594" i="1"/>
  <c r="Q594" i="1" s="1"/>
  <c r="P947" i="1"/>
  <c r="Q947" i="1" s="1"/>
  <c r="P506" i="1"/>
  <c r="Q506" i="1" s="1"/>
  <c r="P996" i="1"/>
  <c r="Q996" i="1" s="1"/>
  <c r="P1010" i="1"/>
  <c r="Q1010" i="1" s="1"/>
  <c r="P593" i="1"/>
  <c r="Q593" i="1" s="1"/>
  <c r="P754" i="1"/>
  <c r="Q754" i="1" s="1"/>
  <c r="P517" i="1"/>
  <c r="Q517" i="1" s="1"/>
  <c r="P780" i="1"/>
  <c r="Q780" i="1" s="1"/>
  <c r="P1018" i="1"/>
  <c r="Q1018" i="1" s="1"/>
  <c r="P907" i="1"/>
  <c r="Q907" i="1" s="1"/>
  <c r="P886" i="1"/>
  <c r="Q886" i="1" s="1"/>
  <c r="P251" i="1"/>
  <c r="Q251" i="1" s="1"/>
  <c r="P1029" i="1"/>
  <c r="Q1029" i="1" s="1"/>
  <c r="P117" i="1"/>
  <c r="Q117" i="1" s="1"/>
  <c r="P1043" i="1"/>
  <c r="Q1043" i="1" s="1"/>
  <c r="P51" i="1"/>
  <c r="Q51" i="1" s="1"/>
  <c r="P925" i="1"/>
  <c r="Q925" i="1" s="1"/>
  <c r="P41" i="1"/>
  <c r="Q41" i="1" s="1"/>
  <c r="P141" i="1"/>
  <c r="Q141" i="1" s="1"/>
  <c r="P982" i="1"/>
  <c r="Q982" i="1" s="1"/>
  <c r="P42" i="1"/>
  <c r="Q42" i="1" s="1"/>
  <c r="P76" i="1"/>
  <c r="Q76" i="1" s="1"/>
  <c r="P591" i="1"/>
  <c r="Q591" i="1" s="1"/>
  <c r="P900" i="1"/>
  <c r="Q900" i="1" s="1"/>
  <c r="P270" i="1"/>
  <c r="Q270" i="1" s="1"/>
  <c r="P770" i="1"/>
  <c r="Q770" i="1" s="1"/>
  <c r="P1044" i="1"/>
  <c r="Q1044" i="1" s="1"/>
  <c r="P563" i="1"/>
  <c r="Q563" i="1" s="1"/>
  <c r="P374" i="1"/>
  <c r="Q374" i="1" s="1"/>
  <c r="P62" i="1"/>
  <c r="Q62" i="1" s="1"/>
  <c r="P1053" i="1"/>
  <c r="Q1053" i="1" s="1"/>
  <c r="P375" i="1"/>
  <c r="Q375" i="1" s="1"/>
  <c r="P916" i="1"/>
  <c r="Q916" i="1" s="1"/>
  <c r="P441" i="1"/>
  <c r="Q441" i="1" s="1"/>
  <c r="P227" i="1"/>
  <c r="Q227" i="1" s="1"/>
  <c r="P69" i="1"/>
  <c r="Q69" i="1" s="1"/>
  <c r="P848" i="1"/>
  <c r="Q848" i="1" s="1"/>
  <c r="P1060" i="1"/>
  <c r="Q1060" i="1" s="1"/>
  <c r="P757" i="1"/>
  <c r="Q757" i="1" s="1"/>
  <c r="P327" i="1"/>
  <c r="Q327" i="1" s="1"/>
  <c r="P704" i="1"/>
  <c r="Q704" i="1" s="1"/>
  <c r="P138" i="1"/>
  <c r="Q138" i="1" s="1"/>
  <c r="P67" i="1"/>
  <c r="Q67" i="1" s="1"/>
  <c r="P172" i="1"/>
  <c r="Q172" i="1" s="1"/>
  <c r="P976" i="1"/>
  <c r="Q976" i="1" s="1"/>
  <c r="P966" i="1"/>
  <c r="Q966" i="1" s="1"/>
  <c r="P662" i="1"/>
  <c r="Q662" i="1" s="1"/>
  <c r="P169" i="1"/>
  <c r="Q169" i="1" s="1"/>
  <c r="P507" i="1"/>
  <c r="Q507" i="1" s="1"/>
  <c r="P467" i="1"/>
  <c r="Q467" i="1" s="1"/>
  <c r="P595" i="1"/>
  <c r="Q595" i="1" s="1"/>
  <c r="P232" i="1"/>
  <c r="Q232" i="1" s="1"/>
  <c r="P446" i="1"/>
  <c r="Q446" i="1" s="1"/>
  <c r="P119" i="1"/>
  <c r="Q119" i="1" s="1"/>
  <c r="P796" i="1"/>
  <c r="Q796" i="1" s="1"/>
  <c r="P135" i="1"/>
  <c r="Q135" i="1" s="1"/>
  <c r="P461" i="1"/>
  <c r="Q461" i="1" s="1"/>
  <c r="P224" i="1"/>
  <c r="Q224" i="1" s="1"/>
  <c r="P305" i="1"/>
  <c r="Q305" i="1" s="1"/>
  <c r="P6" i="1"/>
  <c r="Q6" i="1" s="1"/>
  <c r="P180" i="1"/>
  <c r="Q180" i="1" s="1"/>
  <c r="P263" i="1"/>
  <c r="Q263" i="1" s="1"/>
  <c r="P315" i="1"/>
  <c r="Q315" i="1" s="1"/>
  <c r="P496" i="1"/>
  <c r="Q496" i="1" s="1"/>
  <c r="P271" i="1"/>
  <c r="Q271" i="1" s="1"/>
  <c r="P12" i="1"/>
  <c r="Q12" i="1" s="1"/>
  <c r="P851" i="1"/>
  <c r="Q851" i="1" s="1"/>
  <c r="P870" i="1"/>
  <c r="Q870" i="1" s="1"/>
  <c r="P130" i="1"/>
  <c r="Q130" i="1" s="1"/>
  <c r="P471" i="1"/>
  <c r="Q471" i="1" s="1"/>
  <c r="P162" i="1"/>
  <c r="Q162" i="1" s="1"/>
  <c r="P214" i="1"/>
  <c r="Q214" i="1" s="1"/>
  <c r="P92" i="1"/>
  <c r="Q92" i="1" s="1"/>
  <c r="P1009" i="1"/>
  <c r="Q1009" i="1" s="1"/>
  <c r="P881" i="1"/>
  <c r="Q881" i="1" s="1"/>
  <c r="P785" i="1"/>
  <c r="Q785" i="1" s="1"/>
  <c r="P424" i="1"/>
  <c r="Q424" i="1" s="1"/>
  <c r="P930" i="1"/>
  <c r="Q930" i="1" s="1"/>
  <c r="P861" i="1"/>
  <c r="Q861" i="1" s="1"/>
  <c r="P583" i="1"/>
  <c r="Q583" i="1" s="1"/>
  <c r="P663" i="1"/>
  <c r="Q663" i="1" s="1"/>
  <c r="P703" i="1"/>
  <c r="Q703" i="1" s="1"/>
  <c r="P488" i="1"/>
  <c r="Q488" i="1" s="1"/>
  <c r="P259" i="1"/>
  <c r="Q259" i="1" s="1"/>
  <c r="P681" i="1"/>
  <c r="Q681" i="1" s="1"/>
  <c r="P480" i="1"/>
  <c r="Q480" i="1" s="1"/>
  <c r="P164" i="1"/>
  <c r="Q164" i="1" s="1"/>
  <c r="P794" i="1"/>
  <c r="Q794" i="1" s="1"/>
  <c r="P680" i="1"/>
  <c r="Q680" i="1" s="1"/>
  <c r="P49" i="1"/>
  <c r="Q49" i="1" s="1"/>
  <c r="P44" i="1"/>
  <c r="Q44" i="1" s="1"/>
  <c r="P1000" i="1"/>
  <c r="Q1000" i="1" s="1"/>
  <c r="P1030" i="1"/>
  <c r="Q1030" i="1" s="1"/>
  <c r="P153" i="1"/>
  <c r="Q153" i="1" s="1"/>
  <c r="P694" i="1"/>
  <c r="Q694" i="1" s="1"/>
  <c r="P985" i="1"/>
  <c r="Q985" i="1" s="1"/>
  <c r="P940" i="1"/>
  <c r="Q940" i="1" s="1"/>
  <c r="P233" i="1"/>
  <c r="Q233" i="1" s="1"/>
  <c r="P145" i="1"/>
  <c r="Q145" i="1" s="1"/>
  <c r="P275" i="1"/>
  <c r="Q275" i="1" s="1"/>
  <c r="P426" i="1"/>
  <c r="Q426" i="1" s="1"/>
  <c r="P410" i="1"/>
  <c r="Q410" i="1" s="1"/>
  <c r="P642" i="1"/>
  <c r="Q642" i="1" s="1"/>
  <c r="P1028" i="1"/>
  <c r="Q1028" i="1" s="1"/>
  <c r="P247" i="1"/>
  <c r="Q247" i="1" s="1"/>
  <c r="P716" i="1"/>
  <c r="Q716" i="1" s="1"/>
  <c r="P71" i="1"/>
  <c r="Q71" i="1" s="1"/>
  <c r="P839" i="1"/>
  <c r="Q839" i="1" s="1"/>
  <c r="P143" i="1"/>
  <c r="Q143" i="1" s="1"/>
  <c r="P14" i="1"/>
  <c r="Q14" i="1" s="1"/>
  <c r="P906" i="1"/>
  <c r="Q906" i="1" s="1"/>
  <c r="P1008" i="1"/>
  <c r="Q1008" i="1" s="1"/>
  <c r="P242" i="1"/>
  <c r="Q242" i="1" s="1"/>
  <c r="P345" i="1"/>
  <c r="Q345" i="1" s="1"/>
  <c r="P582" i="1"/>
  <c r="Q582" i="1" s="1"/>
  <c r="P980" i="1"/>
  <c r="Q980" i="1" s="1"/>
  <c r="P53" i="1"/>
  <c r="Q53" i="1" s="1"/>
  <c r="P752" i="1"/>
  <c r="Q752" i="1" s="1"/>
  <c r="P463" i="1"/>
  <c r="Q463" i="1" s="1"/>
  <c r="P720" i="1"/>
  <c r="Q720" i="1" s="1"/>
  <c r="P246" i="1"/>
  <c r="Q246" i="1" s="1"/>
  <c r="P484" i="1"/>
  <c r="Q484" i="1" s="1"/>
  <c r="P965" i="1"/>
  <c r="Q965" i="1" s="1"/>
  <c r="P387" i="1"/>
  <c r="Q387" i="1" s="1"/>
  <c r="P429" i="1"/>
  <c r="Q429" i="1" s="1"/>
  <c r="P500" i="1"/>
  <c r="Q500" i="1" s="1"/>
  <c r="P473" i="1"/>
  <c r="Q473" i="1" s="1"/>
  <c r="P807" i="1"/>
  <c r="Q807" i="1" s="1"/>
  <c r="P943" i="1"/>
  <c r="Q943" i="1" s="1"/>
  <c r="P32" i="1"/>
  <c r="Q32" i="1" s="1"/>
  <c r="P359" i="1"/>
  <c r="Q359" i="1" s="1"/>
  <c r="P989" i="1"/>
  <c r="Q989" i="1" s="1"/>
  <c r="P842" i="1"/>
  <c r="Q842" i="1" s="1"/>
  <c r="P91" i="1"/>
  <c r="Q91" i="1" s="1"/>
  <c r="P407" i="1"/>
  <c r="Q407" i="1" s="1"/>
  <c r="P444" i="1"/>
  <c r="Q444" i="1" s="1"/>
  <c r="P1036" i="1"/>
  <c r="Q1036" i="1" s="1"/>
  <c r="P493" i="1"/>
  <c r="Q493" i="1" s="1"/>
  <c r="P670" i="1"/>
  <c r="Q670" i="1" s="1"/>
  <c r="P504" i="1"/>
  <c r="Q504" i="1" s="1"/>
  <c r="P742" i="1"/>
  <c r="Q742" i="1" s="1"/>
  <c r="P649" i="1"/>
  <c r="Q649" i="1" s="1"/>
  <c r="P412" i="1"/>
  <c r="Q412" i="1" s="1"/>
  <c r="P341" i="1"/>
  <c r="Q341" i="1" s="1"/>
  <c r="P213" i="1"/>
  <c r="Q213" i="1" s="1"/>
  <c r="P747" i="1"/>
  <c r="Q747" i="1" s="1"/>
  <c r="P351" i="1"/>
  <c r="Q351" i="1" s="1"/>
  <c r="P4" i="1"/>
  <c r="Q4" i="1" s="1"/>
  <c r="P640" i="1"/>
  <c r="Q640" i="1" s="1"/>
  <c r="P286" i="1"/>
  <c r="Q286" i="1" s="1"/>
  <c r="P1004" i="1"/>
  <c r="Q1004" i="1" s="1"/>
  <c r="P332" i="1"/>
  <c r="Q332" i="1" s="1"/>
  <c r="P296" i="1"/>
  <c r="Q296" i="1" s="1"/>
  <c r="P163" i="1"/>
  <c r="Q163" i="1" s="1"/>
  <c r="P65" i="1"/>
  <c r="Q65" i="1" s="1"/>
  <c r="P557" i="1"/>
  <c r="Q557" i="1" s="1"/>
  <c r="P707" i="1"/>
  <c r="Q707" i="1" s="1"/>
  <c r="P9" i="1"/>
  <c r="Q9" i="1" s="1"/>
  <c r="P999" i="1"/>
  <c r="Q999" i="1" s="1"/>
  <c r="P456" i="1"/>
  <c r="Q456" i="1" s="1"/>
  <c r="P761" i="1"/>
  <c r="Q761" i="1" s="1"/>
  <c r="P10" i="1"/>
  <c r="Q10" i="1" s="1"/>
  <c r="P314" i="1"/>
  <c r="Q314" i="1" s="1"/>
  <c r="P160" i="1"/>
  <c r="Q160" i="1" s="1"/>
  <c r="P564" i="1"/>
  <c r="Q564" i="1" s="1"/>
  <c r="P144" i="1"/>
  <c r="Q144" i="1" s="1"/>
  <c r="P878" i="1"/>
  <c r="Q878" i="1" s="1"/>
  <c r="P474" i="1"/>
  <c r="Q474" i="1" s="1"/>
  <c r="P518" i="1"/>
  <c r="Q518" i="1" s="1"/>
  <c r="P355" i="1"/>
  <c r="Q355" i="1" s="1"/>
  <c r="P781" i="1"/>
  <c r="Q781" i="1" s="1"/>
  <c r="P36" i="1"/>
  <c r="Q36" i="1" s="1"/>
  <c r="P333" i="1"/>
  <c r="Q333" i="1" s="1"/>
  <c r="P612" i="1"/>
  <c r="Q612" i="1" s="1"/>
  <c r="P932" i="1"/>
  <c r="Q932" i="1" s="1"/>
  <c r="P195" i="1"/>
  <c r="Q195" i="1" s="1"/>
  <c r="P93" i="1"/>
  <c r="Q93" i="1" s="1"/>
  <c r="P19" i="1"/>
  <c r="Q19" i="1" s="1"/>
  <c r="P198" i="1"/>
  <c r="Q198" i="1" s="1"/>
  <c r="P937" i="1"/>
  <c r="Q937" i="1" s="1"/>
  <c r="P161" i="1"/>
  <c r="Q161" i="1" s="1"/>
  <c r="P778" i="1"/>
  <c r="Q778" i="1" s="1"/>
  <c r="P354" i="1"/>
  <c r="Q354" i="1" s="1"/>
  <c r="P114" i="1"/>
  <c r="Q114" i="1" s="1"/>
  <c r="P99" i="1"/>
  <c r="Q99" i="1" s="1"/>
  <c r="P1064" i="1"/>
  <c r="Q1064" i="1" s="1"/>
  <c r="P611" i="1"/>
  <c r="Q611" i="1" s="1"/>
  <c r="P79" i="1"/>
  <c r="Q79" i="1" s="1"/>
  <c r="P393" i="1"/>
  <c r="Q393" i="1" s="1"/>
  <c r="P269" i="1"/>
  <c r="Q269" i="1" s="1"/>
  <c r="P156" i="1"/>
  <c r="Q156" i="1" s="1"/>
  <c r="P799" i="1"/>
  <c r="Q799" i="1" s="1"/>
  <c r="P559" i="1"/>
  <c r="Q559" i="1" s="1"/>
  <c r="P838" i="1"/>
  <c r="Q838" i="1" s="1"/>
  <c r="P30" i="1"/>
  <c r="Q30" i="1" s="1"/>
  <c r="P1033" i="1"/>
  <c r="Q1033" i="1" s="1"/>
  <c r="P596" i="1"/>
  <c r="Q596" i="1" s="1"/>
  <c r="P243" i="1"/>
  <c r="Q243" i="1" s="1"/>
  <c r="P956" i="1"/>
  <c r="Q956" i="1" s="1"/>
  <c r="P561" i="1"/>
  <c r="Q561" i="1" s="1"/>
  <c r="P664" i="1"/>
  <c r="Q664" i="1" s="1"/>
  <c r="P189" i="1"/>
  <c r="Q189" i="1" s="1"/>
  <c r="P245" i="1"/>
  <c r="Q245" i="1" s="1"/>
  <c r="P87" i="1"/>
  <c r="Q87" i="1" s="1"/>
  <c r="P857" i="1"/>
  <c r="Q857" i="1" s="1"/>
  <c r="P336" i="1"/>
  <c r="Q336" i="1" s="1"/>
  <c r="P83" i="1"/>
  <c r="Q83" i="1" s="1"/>
  <c r="P995" i="1"/>
  <c r="Q995" i="1" s="1"/>
  <c r="P328" i="1"/>
  <c r="Q328" i="1" s="1"/>
  <c r="P661" i="1"/>
  <c r="Q661" i="1" s="1"/>
  <c r="P619" i="1"/>
  <c r="Q619" i="1" s="1"/>
  <c r="P687" i="1"/>
  <c r="Q687" i="1" s="1"/>
  <c r="P230" i="1"/>
  <c r="Q230" i="1" s="1"/>
  <c r="P491" i="1"/>
  <c r="Q491" i="1" s="1"/>
  <c r="P438" i="1"/>
  <c r="Q438" i="1" s="1"/>
  <c r="P955" i="1"/>
  <c r="Q955" i="1" s="1"/>
  <c r="P452" i="1"/>
  <c r="Q452" i="1" s="1"/>
  <c r="P850" i="1"/>
  <c r="Q850" i="1" s="1"/>
  <c r="P803" i="1"/>
  <c r="Q803" i="1" s="1"/>
  <c r="P899" i="1"/>
  <c r="Q899" i="1" s="1"/>
  <c r="P514" i="1"/>
  <c r="Q514" i="1" s="1"/>
  <c r="P1002" i="1"/>
  <c r="Q1002" i="1" s="1"/>
  <c r="P708" i="1"/>
  <c r="Q708" i="1" s="1"/>
  <c r="P334" i="1"/>
  <c r="Q334" i="1" s="1"/>
  <c r="P665" i="1"/>
  <c r="Q665" i="1" s="1"/>
  <c r="P405" i="1"/>
  <c r="Q405" i="1" s="1"/>
  <c r="P654" i="1"/>
  <c r="Q654" i="1" s="1"/>
  <c r="P549" i="1"/>
  <c r="Q549" i="1" s="1"/>
  <c r="P542" i="1"/>
  <c r="Q542" i="1" s="1"/>
  <c r="L17" i="1" l="1"/>
  <c r="P17" i="1" s="1"/>
  <c r="Q17" i="1" s="1"/>
</calcChain>
</file>

<file path=xl/sharedStrings.xml><?xml version="1.0" encoding="utf-8"?>
<sst xmlns="http://schemas.openxmlformats.org/spreadsheetml/2006/main" count="15841" uniqueCount="5150">
  <si>
    <t>Name</t>
  </si>
  <si>
    <t>Year</t>
  </si>
  <si>
    <t>Cites2017</t>
  </si>
  <si>
    <t>%Cites2017</t>
  </si>
  <si>
    <t>%Rank</t>
  </si>
  <si>
    <t>H-Index</t>
  </si>
  <si>
    <t>%RankH</t>
  </si>
  <si>
    <t>GoogleScholar</t>
  </si>
  <si>
    <t>CurrentSchool</t>
  </si>
  <si>
    <t>Position</t>
  </si>
  <si>
    <t>RegFaculty</t>
  </si>
  <si>
    <t>PhDYear</t>
  </si>
  <si>
    <t>NonPhD</t>
  </si>
  <si>
    <t>PhDSchool</t>
  </si>
  <si>
    <t>Gender</t>
  </si>
  <si>
    <t>Years</t>
  </si>
  <si>
    <t>First</t>
  </si>
  <si>
    <t>Middle</t>
  </si>
  <si>
    <t>Last</t>
  </si>
  <si>
    <t>Interests</t>
  </si>
  <si>
    <t>ResearchGate</t>
  </si>
  <si>
    <t>Academia.edu</t>
  </si>
  <si>
    <t>LinkedIn</t>
  </si>
  <si>
    <t>Twitter</t>
  </si>
  <si>
    <t>Personal</t>
  </si>
  <si>
    <t>Texas Southern University</t>
  </si>
  <si>
    <t>Professor</t>
  </si>
  <si>
    <t>University of Tennessee</t>
  </si>
  <si>
    <t>M</t>
  </si>
  <si>
    <t>Glenn</t>
  </si>
  <si>
    <t>S.</t>
  </si>
  <si>
    <t>Johnson</t>
  </si>
  <si>
    <t>Environmental Justice, Environmental Policy, Emergency Response and Community Preparedness</t>
  </si>
  <si>
    <t>Neil Brenner</t>
  </si>
  <si>
    <t>Harvard University</t>
  </si>
  <si>
    <t>University of Chicago</t>
  </si>
  <si>
    <t>Neil</t>
  </si>
  <si>
    <t>Brenner</t>
  </si>
  <si>
    <t>Urban Theory, Urban Governance</t>
  </si>
  <si>
    <t>Faranak Miraftab</t>
  </si>
  <si>
    <t>University of Illinois, Urbana-Champaign</t>
  </si>
  <si>
    <t>UC Berkeley</t>
  </si>
  <si>
    <t>F</t>
  </si>
  <si>
    <t>Faranak</t>
  </si>
  <si>
    <t>Miraftab</t>
  </si>
  <si>
    <t>Globalization and Transnational Linkages, Community Development in Developing Nations, Housing and Gender Issues in International Planning</t>
  </si>
  <si>
    <t>Mintesnot Woldeamanuel</t>
  </si>
  <si>
    <t>California State University, Northridge</t>
  </si>
  <si>
    <t>Hokkaido University</t>
  </si>
  <si>
    <t>Mintesnot</t>
  </si>
  <si>
    <t>Woldeamanuel</t>
  </si>
  <si>
    <t>Urban Transportation Planning, Urban Land Use Planning, Travel Behavior, Community Development, and Sustainability</t>
  </si>
  <si>
    <t>Jacob Wagner</t>
  </si>
  <si>
    <t>University of Missouri-Kansas</t>
  </si>
  <si>
    <t>Associate Professor</t>
  </si>
  <si>
    <t>University of New Orleans</t>
  </si>
  <si>
    <t>Jacob</t>
  </si>
  <si>
    <t>Wagner</t>
  </si>
  <si>
    <t>Community Development, Historic Preservation, Planning History, Planning Theory</t>
  </si>
  <si>
    <t>University of Maryland</t>
  </si>
  <si>
    <t>University of Oregon</t>
  </si>
  <si>
    <t>Gerrit</t>
  </si>
  <si>
    <t>J.</t>
  </si>
  <si>
    <t>Knaap</t>
  </si>
  <si>
    <t>Land Use/Growth Management, Metropolitan/ Regional Planning, Urban and Regional Economics.</t>
  </si>
  <si>
    <t>Alex Schwartz</t>
  </si>
  <si>
    <t xml:space="preserve">The New School for Social Research </t>
  </si>
  <si>
    <t>Rutgers University</t>
  </si>
  <si>
    <t>Alex</t>
  </si>
  <si>
    <t>Schwartz</t>
  </si>
  <si>
    <t>Housing and Community Development</t>
  </si>
  <si>
    <t>Weiping Wu</t>
  </si>
  <si>
    <t>Columbia University</t>
  </si>
  <si>
    <t>Weiping</t>
  </si>
  <si>
    <t>Wu</t>
  </si>
  <si>
    <t>Comparative Urban Development, Urban Economic Policy, China</t>
  </si>
  <si>
    <t>Lan Deng</t>
  </si>
  <si>
    <t>University of Michigan</t>
  </si>
  <si>
    <t>Lan</t>
  </si>
  <si>
    <t>Deng</t>
  </si>
  <si>
    <t>Urban Economics and Urban Policies, Real Estate Development and Finance, Land Use Economics and Policies, Housing Economics and Policy</t>
  </si>
  <si>
    <t>Michael Boswell</t>
  </si>
  <si>
    <t>California Polytechnic State University, San Luis Obispo</t>
  </si>
  <si>
    <t>Florida State University</t>
  </si>
  <si>
    <t>Michael</t>
  </si>
  <si>
    <t>Boswell</t>
  </si>
  <si>
    <t>Environmental Planning, Hazard Mitigation, Planning Theory, Climate Action Planning, Sustainability</t>
  </si>
  <si>
    <t>University at Buffalo, The State University of New York</t>
  </si>
  <si>
    <t>UCLA</t>
  </si>
  <si>
    <t>Daniel</t>
  </si>
  <si>
    <t>B.</t>
  </si>
  <si>
    <t>Hess</t>
  </si>
  <si>
    <t>Transportation Planning and Policy, Planning History, Transportation, Land Use and Urban Form, Urban Design</t>
  </si>
  <si>
    <t>Darrick Hamilton</t>
  </si>
  <si>
    <t>UNC</t>
  </si>
  <si>
    <t>Darrick</t>
  </si>
  <si>
    <t>Hamilton</t>
  </si>
  <si>
    <t>Econometrics, Racial Disparities</t>
  </si>
  <si>
    <t>Ohio State University</t>
  </si>
  <si>
    <t>Maria</t>
  </si>
  <si>
    <t>Manta</t>
  </si>
  <si>
    <t>Conroy</t>
  </si>
  <si>
    <t>Sustainability, Negotiation and Conflict Management, Environmental Planning, Citizen Participation</t>
  </si>
  <si>
    <t>Damian Pitt</t>
  </si>
  <si>
    <t>Virginia Commonwealth University</t>
  </si>
  <si>
    <t>Assistant Professor</t>
  </si>
  <si>
    <t>Virginia Tech</t>
  </si>
  <si>
    <t>Damian</t>
  </si>
  <si>
    <t>Pitt</t>
  </si>
  <si>
    <t>Land Use and Environmental Planning; Sustainable Urban Development, Energy and Climate Policy</t>
  </si>
  <si>
    <t>Daniel Schneider</t>
  </si>
  <si>
    <t>University of Wisconsin, Madison</t>
  </si>
  <si>
    <t>Schneider</t>
  </si>
  <si>
    <t>Environmental Planning and Policy, Ecological Factors in Planning, Watershed Planning, Environmental History</t>
  </si>
  <si>
    <t>University of Alberta</t>
  </si>
  <si>
    <t>Sandeep</t>
  </si>
  <si>
    <t>Kumar</t>
  </si>
  <si>
    <t>Agrawal</t>
  </si>
  <si>
    <t>Urban Design, Design Review, Ethnic Enclaves, Multiculturalism and Planning Policies, Immigration and Settlement</t>
  </si>
  <si>
    <t>University of Minnesota</t>
  </si>
  <si>
    <t>UC Davis</t>
  </si>
  <si>
    <t>Cao</t>
  </si>
  <si>
    <t>Randall Crane</t>
  </si>
  <si>
    <t>MIT</t>
  </si>
  <si>
    <t>Randall</t>
  </si>
  <si>
    <t>Crane</t>
  </si>
  <si>
    <t>Urban Development, Environmental Policy, Housing, Governance</t>
  </si>
  <si>
    <t>Richard Shearmur</t>
  </si>
  <si>
    <t>McGill University</t>
  </si>
  <si>
    <t>Montreal University</t>
  </si>
  <si>
    <t>Richard</t>
  </si>
  <si>
    <t>Shearmur</t>
  </si>
  <si>
    <t>Economic Geography, Spatial Analysis, Urban &amp; Regional Economic Development, Property Development, Innovation.</t>
  </si>
  <si>
    <t>Martha Feldman</t>
  </si>
  <si>
    <t>UC Irvine</t>
  </si>
  <si>
    <t>Stanford University</t>
  </si>
  <si>
    <t>Martha</t>
  </si>
  <si>
    <t>Feldman</t>
  </si>
  <si>
    <t>Organization Theory, Organizational Change, Public Management, Qualitative Research Methods</t>
  </si>
  <si>
    <t>Deirdre Pfeiffer</t>
  </si>
  <si>
    <t>Arizona State University</t>
  </si>
  <si>
    <t>Deirdre</t>
  </si>
  <si>
    <t>Pfeiffer</t>
  </si>
  <si>
    <t>Public Participation, Quaolitative Analysis, Urban Housing Analysis</t>
  </si>
  <si>
    <t>Jesse Saginor</t>
  </si>
  <si>
    <t>Florida Atlantic University</t>
  </si>
  <si>
    <t>Cleveland State University</t>
  </si>
  <si>
    <t>Jesse</t>
  </si>
  <si>
    <t>Saginor</t>
  </si>
  <si>
    <t>Economic Development, Housing, Market Analysis, Real Estate Development, Urban Redevelopment.</t>
  </si>
  <si>
    <t>Andrew Rumbach</t>
  </si>
  <si>
    <t>University of Colorado, Denver</t>
  </si>
  <si>
    <t>Cornell University</t>
  </si>
  <si>
    <t>Andrew</t>
  </si>
  <si>
    <t>Rumbach</t>
  </si>
  <si>
    <t>Urbanization &amp; Disaster Risk in South Asia, Vulnerability of low-income Communities to Hydrologic Hazards &amp; Climate Change, Connection between Urban Planning and Geographies of Risk</t>
  </si>
  <si>
    <t>Michael Drescher</t>
  </si>
  <si>
    <t>University of Waterloo, Ontario</t>
  </si>
  <si>
    <t>Wageningen University</t>
  </si>
  <si>
    <t>Drescher</t>
  </si>
  <si>
    <t>forestry dynamics, environmental planning, simulation and forecasting, coupled human-natural systems in urbanizing regions</t>
  </si>
  <si>
    <t>Texas A&amp;M University</t>
  </si>
  <si>
    <t>University of Georgia</t>
  </si>
  <si>
    <t>Walter</t>
  </si>
  <si>
    <t>G.</t>
  </si>
  <si>
    <t>Peacock</t>
  </si>
  <si>
    <t>Sustainability, Natural Disaster Management, Quantitative Methods, Community Impact Assessment</t>
  </si>
  <si>
    <t>Chanam Lee</t>
  </si>
  <si>
    <t>University of Washington</t>
  </si>
  <si>
    <t>Chanam</t>
  </si>
  <si>
    <t>Lee</t>
  </si>
  <si>
    <t>Active Living</t>
  </si>
  <si>
    <t>David Geltner</t>
  </si>
  <si>
    <t>David</t>
  </si>
  <si>
    <t>Geltner</t>
  </si>
  <si>
    <t>Real Estate Finance, Real Estate Investment</t>
  </si>
  <si>
    <t>Robert Olshansky</t>
  </si>
  <si>
    <t>Robert</t>
  </si>
  <si>
    <t>Olshansky</t>
  </si>
  <si>
    <t>Natural Hazards and Disaster Planning, Land Use Planning/Growth Management, Environmental Policy, Planning Practice</t>
  </si>
  <si>
    <t>Nebiyou Tilahun</t>
  </si>
  <si>
    <t>University of Illinois, Chicago</t>
  </si>
  <si>
    <t>Nebiyou</t>
  </si>
  <si>
    <t>Tilahun</t>
  </si>
  <si>
    <t>Transportation Planning, Travel Behavior, Social Aspects of Transportation</t>
  </si>
  <si>
    <t>Vikas Mehta</t>
  </si>
  <si>
    <t>University of Cincinnati</t>
  </si>
  <si>
    <t>University of Maryland-College Park</t>
  </si>
  <si>
    <t>Vikas</t>
  </si>
  <si>
    <t>Mehta</t>
  </si>
  <si>
    <t>Urban Design, Relationship between Built Environment and Social Behavior, Public Space, Neighborhood design</t>
  </si>
  <si>
    <t>Lisa Schweitzer</t>
  </si>
  <si>
    <t>USC</t>
  </si>
  <si>
    <t>Lisa</t>
  </si>
  <si>
    <t>Schweitzer</t>
  </si>
  <si>
    <t>Transportation Planning and Policy, Environmental Planning</t>
  </si>
  <si>
    <t>Lawrence Susskind</t>
  </si>
  <si>
    <t>Lawrence</t>
  </si>
  <si>
    <t>Susskind</t>
  </si>
  <si>
    <t>Environmental Policy, Negotiation, Public Dispute Resolution</t>
  </si>
  <si>
    <t>Anuradha Mukherji</t>
  </si>
  <si>
    <t>East Carolina University</t>
  </si>
  <si>
    <t>Anuradha</t>
  </si>
  <si>
    <t>Mukherji</t>
  </si>
  <si>
    <t>Housing, Hazard Mitigation and Recovery, Disaster Planning and Management, International Development</t>
  </si>
  <si>
    <t>James</t>
  </si>
  <si>
    <t>A.</t>
  </si>
  <si>
    <t>Lagro</t>
  </si>
  <si>
    <t>Sustainability of the Built Environment, Smart Growth Implementation, Climate Change Mitigation and Adaption, Urban Open Space Systems, Pedestrian Circulation Systems, Site Analysis and Planning, Landscape Ecology</t>
  </si>
  <si>
    <t>Michael Manville</t>
  </si>
  <si>
    <t>Manville</t>
  </si>
  <si>
    <t>Transportation and Land Use, Local Public Finance, Politics of Policy Implementation</t>
  </si>
  <si>
    <t>Miami University</t>
  </si>
  <si>
    <t>Purdue University</t>
  </si>
  <si>
    <t>Amelie</t>
  </si>
  <si>
    <t>Y.</t>
  </si>
  <si>
    <t>Davis</t>
  </si>
  <si>
    <t>Urban Planning, Land Use Land Cover Change, Environmental Planning</t>
  </si>
  <si>
    <t>Nisha Botchwey</t>
  </si>
  <si>
    <t>Georgia Tech</t>
  </si>
  <si>
    <t>University of Pennsylvania</t>
  </si>
  <si>
    <t>Nisha</t>
  </si>
  <si>
    <t>Botchwey</t>
  </si>
  <si>
    <t>Community Development, Public Health, Environmental and Health Impacts</t>
  </si>
  <si>
    <t>Frank Goetzke</t>
  </si>
  <si>
    <t>University of Louisville</t>
  </si>
  <si>
    <t>West Virginia University</t>
  </si>
  <si>
    <t>Frank</t>
  </si>
  <si>
    <t>Goetzke</t>
  </si>
  <si>
    <t>Transportation Policy and Planning, Urban Economics</t>
  </si>
  <si>
    <t>Kathe Newman</t>
  </si>
  <si>
    <t>CUNY</t>
  </si>
  <si>
    <t>Kathe</t>
  </si>
  <si>
    <t>Newman</t>
  </si>
  <si>
    <t>Urban Politics, Urban Revitalization, Community Development</t>
  </si>
  <si>
    <t>Clinton</t>
  </si>
  <si>
    <t>Andrews</t>
  </si>
  <si>
    <t>Environmental Planning, Energy Policy, Planning Methods</t>
  </si>
  <si>
    <t>Mary</t>
  </si>
  <si>
    <t>M.</t>
  </si>
  <si>
    <t>Edwards</t>
  </si>
  <si>
    <t>Fiscal Impact Analysis, Public Finance, Planning Methods.</t>
  </si>
  <si>
    <t>Rachel Meltzer</t>
  </si>
  <si>
    <t>NYU</t>
  </si>
  <si>
    <t>Rachel</t>
  </si>
  <si>
    <t>Meltzer</t>
  </si>
  <si>
    <t>Economic Development, Quantitative Methods, Housing</t>
  </si>
  <si>
    <t>Shalini Misra</t>
  </si>
  <si>
    <t>Shalini</t>
  </si>
  <si>
    <t>Misra</t>
  </si>
  <si>
    <t>Todd BenDor</t>
  </si>
  <si>
    <t>Todd</t>
  </si>
  <si>
    <t>BenDor</t>
  </si>
  <si>
    <t>Environmental Planning, Land Use Dynamics, Environmental Markets, Spatial Analysis, System Dynamics</t>
  </si>
  <si>
    <t>Jinhua Zhao</t>
  </si>
  <si>
    <t>Jinhua</t>
  </si>
  <si>
    <t>Zhao</t>
  </si>
  <si>
    <t>Urban Development &amp; Planning in China, Urban Transportation Systems in China, Transportation Economics, Public Transportaiton Management</t>
  </si>
  <si>
    <t>Paul Hess</t>
  </si>
  <si>
    <t>University of Toronto</t>
  </si>
  <si>
    <t>Paul</t>
  </si>
  <si>
    <t>History of Planning, Travel Behavior, Urban Form Analysis</t>
  </si>
  <si>
    <t>T.William Lester</t>
  </si>
  <si>
    <t>T.William</t>
  </si>
  <si>
    <t>Lester</t>
  </si>
  <si>
    <t>Economic Development, Labor Economics, Urban Politics</t>
  </si>
  <si>
    <t>Ward Lyles</t>
  </si>
  <si>
    <t>University of Kansas</t>
  </si>
  <si>
    <t>University of North Carolina, Chapel Hill</t>
  </si>
  <si>
    <t>Ward</t>
  </si>
  <si>
    <t>Lyles</t>
  </si>
  <si>
    <t>Alfonso Morales</t>
  </si>
  <si>
    <t>Northwestern University</t>
  </si>
  <si>
    <t>Alfonso</t>
  </si>
  <si>
    <t>Morales</t>
  </si>
  <si>
    <t>Markets and Food Systems, Community Development, Social, Political and Economic Contexts of Planning Processes, Qualitative Methods</t>
  </si>
  <si>
    <t>Jordi Honey-Rosés</t>
  </si>
  <si>
    <t>University of British Columbia</t>
  </si>
  <si>
    <t>Jordi</t>
  </si>
  <si>
    <t>Honey-Rosés</t>
  </si>
  <si>
    <t>Ecological Planning, Water Resources.</t>
  </si>
  <si>
    <t>Kleit</t>
  </si>
  <si>
    <t>Public and Affordable Housing, Social Networks, Poverty, Community Development.</t>
  </si>
  <si>
    <t>June</t>
  </si>
  <si>
    <t>Manning</t>
  </si>
  <si>
    <t>Thomas</t>
  </si>
  <si>
    <t>Planning History, Urban Redevelopment, Neighborhood Planning, Social Equity in Planning</t>
  </si>
  <si>
    <t>Chatman</t>
  </si>
  <si>
    <t>Transportation, Land Use, Economic Development, Smart Growth</t>
  </si>
  <si>
    <t>Reid Ewing</t>
  </si>
  <si>
    <t>University of Utah</t>
  </si>
  <si>
    <t>Reid</t>
  </si>
  <si>
    <t>Ewing</t>
  </si>
  <si>
    <t>Elizabeth Currid-Halkett</t>
  </si>
  <si>
    <t>Elizabeth</t>
  </si>
  <si>
    <t>Currid-Halkett</t>
  </si>
  <si>
    <t>Northern Arizona University</t>
  </si>
  <si>
    <t>Alan</t>
  </si>
  <si>
    <t>Lew</t>
  </si>
  <si>
    <t>Urban Planning, Tourism Planning, GIS, Land Use Law</t>
  </si>
  <si>
    <t>Nikhil Kaza</t>
  </si>
  <si>
    <t>Nikhil</t>
  </si>
  <si>
    <t>Kaza</t>
  </si>
  <si>
    <t>Plans, Land Use Planning, Planning Support Systems, Complex Systems, Decision Theory.</t>
  </si>
  <si>
    <t>Clemson University</t>
  </si>
  <si>
    <t>Eric</t>
  </si>
  <si>
    <t>Morris</t>
  </si>
  <si>
    <t>Transportation Planning, Policy, Economics, Equity and History, Transportation and Land Use, Transportation and the Environment, Travel Behavior, Regional Economics and Economic Geography, Cities, Planning and Well-Being.</t>
  </si>
  <si>
    <t>Earthea Nance</t>
  </si>
  <si>
    <t>Earthea</t>
  </si>
  <si>
    <t>Nance</t>
  </si>
  <si>
    <t>Infrastructure, Environment, and Development in Post-Disaster Areas; Developing Countries; and Communities of Color and Poverty</t>
  </si>
  <si>
    <t>Raktim Mitra</t>
  </si>
  <si>
    <t>Ryerson University</t>
  </si>
  <si>
    <t>Raktim</t>
  </si>
  <si>
    <t>Mitra</t>
  </si>
  <si>
    <t>Built Environment &amp; Travel Behavior, Active Transportation &amp; Physical Activity, Children’s Mobility, Urban Design, Urban Growth &amp; Travel in Space-Time.</t>
  </si>
  <si>
    <t>Karl Kim</t>
  </si>
  <si>
    <t>University of Hawaii</t>
  </si>
  <si>
    <t>Karl</t>
  </si>
  <si>
    <t>Kim</t>
  </si>
  <si>
    <t>Planning Theory, Planning Methods, Transportation and Infrastructure Planning, Tourism Planning, and Disaster Management</t>
  </si>
  <si>
    <t>Meghan Gough</t>
  </si>
  <si>
    <t>Meghan</t>
  </si>
  <si>
    <t>Gough</t>
  </si>
  <si>
    <t>Planning Theory and Processes, Citizen Participation, Sustainable Development, Regional Cooperation</t>
  </si>
  <si>
    <t>Evelyn Blumenberg</t>
  </si>
  <si>
    <t>Evelyn</t>
  </si>
  <si>
    <t>Blumenberg</t>
  </si>
  <si>
    <t>Urban Poverty and Low Wage Labor Markets, Social Policy and Planning, Social Economic Inequality, Gender and Planning</t>
  </si>
  <si>
    <t>Julian Agyeman</t>
  </si>
  <si>
    <t>Tufts University</t>
  </si>
  <si>
    <t>University of London</t>
  </si>
  <si>
    <t>Julian</t>
  </si>
  <si>
    <t>Agyeman</t>
  </si>
  <si>
    <t>Sustainable Communities, Environmental Justice, Environmental Education</t>
  </si>
  <si>
    <t>Jennifer Dill</t>
  </si>
  <si>
    <t>Portland State University</t>
  </si>
  <si>
    <t>Jennifer</t>
  </si>
  <si>
    <t>Dill</t>
  </si>
  <si>
    <t>Transportation, Infrastructure/Public Services, Environmental Planning, Land Use/Growth Management</t>
  </si>
  <si>
    <t>Noreen McDonald</t>
  </si>
  <si>
    <t>Noreen</t>
  </si>
  <si>
    <t>McDonald</t>
  </si>
  <si>
    <t>Transportation Policy, Physical Activity, Transportation &amp; Land Use, School Travel, School Siting</t>
  </si>
  <si>
    <t>Jeffrey Lowe</t>
  </si>
  <si>
    <t>Jeffrey</t>
  </si>
  <si>
    <t>Lowe</t>
  </si>
  <si>
    <t>Community Development.</t>
  </si>
  <si>
    <t>Gulsah Akar</t>
  </si>
  <si>
    <t>Gulsah</t>
  </si>
  <si>
    <t>Akar</t>
  </si>
  <si>
    <t>Transportation, Energy, Public Health</t>
  </si>
  <si>
    <t>Eastern Washington</t>
  </si>
  <si>
    <t>Petra Doan</t>
  </si>
  <si>
    <t>Petra</t>
  </si>
  <si>
    <t>Doan</t>
  </si>
  <si>
    <t>Gender Studies and Planning, International Development, Infrastructure/Public Services, Metropolitan/Regional Planning and Rural Development</t>
  </si>
  <si>
    <t>Matin Katirai</t>
  </si>
  <si>
    <t>West Chester University</t>
  </si>
  <si>
    <t>Matin</t>
  </si>
  <si>
    <t>Katirai</t>
  </si>
  <si>
    <t>Urban Planning, Business GIS, Public Health, Transportation</t>
  </si>
  <si>
    <t>Jay Mittal</t>
  </si>
  <si>
    <t>Auburn University</t>
  </si>
  <si>
    <t>Jay</t>
  </si>
  <si>
    <t>Mittal</t>
  </si>
  <si>
    <t>GIS, Urban Economics, Real Estate Development</t>
  </si>
  <si>
    <t>Carlton Basmajian</t>
  </si>
  <si>
    <t>Iowa State University</t>
  </si>
  <si>
    <t>Carlton</t>
  </si>
  <si>
    <t>Basmajian</t>
  </si>
  <si>
    <t>Regional Planning, Planning History, Suburbia, Land Use</t>
  </si>
  <si>
    <t>Bumsoo Lee</t>
  </si>
  <si>
    <t>Bumsoo</t>
  </si>
  <si>
    <t>Urban Spatial Structure, Metropolitan Development, Urban Land Use, Travel Behavior and Transportation Planning, Regional Economic Analysis and Modeling</t>
  </si>
  <si>
    <t>Marlon Boarnet</t>
  </si>
  <si>
    <t>Princeton University</t>
  </si>
  <si>
    <t>Marlon</t>
  </si>
  <si>
    <t>Boarnet</t>
  </si>
  <si>
    <t>Transportation Planning, Economic Development, Urban Economics</t>
  </si>
  <si>
    <t>Andrew Mondschein</t>
  </si>
  <si>
    <t>University of Virginia</t>
  </si>
  <si>
    <t>Mondschein</t>
  </si>
  <si>
    <t>Gary Pivo</t>
  </si>
  <si>
    <t>University of Arizona</t>
  </si>
  <si>
    <t>Gary</t>
  </si>
  <si>
    <t>Pivo</t>
  </si>
  <si>
    <t>Infrastructure/Public Services, Land Use/Growth Management, Metropolitan Planning, Regional Planning</t>
  </si>
  <si>
    <t>Michael Storper</t>
  </si>
  <si>
    <t>Storper</t>
  </si>
  <si>
    <t>International Development and Planning, Urban and Regional Economics, Political Economy, Trade and Location Patterns and Labor Markets</t>
  </si>
  <si>
    <t>Bernadette Hanlon</t>
  </si>
  <si>
    <t>University of Maryland, Baltimore County</t>
  </si>
  <si>
    <t>Bernadette</t>
  </si>
  <si>
    <t>Hanlon</t>
  </si>
  <si>
    <t>Suburbs and Housing</t>
  </si>
  <si>
    <t>Justin Hollander</t>
  </si>
  <si>
    <t>Justin</t>
  </si>
  <si>
    <t>Hollander</t>
  </si>
  <si>
    <t>Urban Planning</t>
  </si>
  <si>
    <t>Megan Ryerson</t>
  </si>
  <si>
    <t>Megan</t>
  </si>
  <si>
    <t>Ryerson</t>
  </si>
  <si>
    <t>Transportation Planning, Freight and Air Planning.</t>
  </si>
  <si>
    <t>Bev Wilson</t>
  </si>
  <si>
    <t>Bev</t>
  </si>
  <si>
    <t>Wilson</t>
  </si>
  <si>
    <t>Land Use and Environmental Planning and Policy; Growth Management; Spatial Analysis; GIS, Sustainability; Urban Simulation Modeling</t>
  </si>
  <si>
    <t>Hiroyuki Iseki</t>
  </si>
  <si>
    <t>Hiroyuki</t>
  </si>
  <si>
    <t>Iseki</t>
  </si>
  <si>
    <t>Transportation Policy, Transportation and Land Use, Transportation Economics, Application of GIS to Planning and Policy Analysis, Urban Public Finance</t>
  </si>
  <si>
    <t>Lance Freeman</t>
  </si>
  <si>
    <t>Lance</t>
  </si>
  <si>
    <t>Freeman</t>
  </si>
  <si>
    <t>Housing, Affordable Housing, Gentrification, Neighbhorhood Revitalization</t>
  </si>
  <si>
    <t>Timothy</t>
  </si>
  <si>
    <t>F.</t>
  </si>
  <si>
    <t>Welch</t>
  </si>
  <si>
    <t>Larissa Larsen</t>
  </si>
  <si>
    <t>Larissa</t>
  </si>
  <si>
    <t>Larsen</t>
  </si>
  <si>
    <t>Landscape Planning, Neighborhood Design, Social and Natural Capital</t>
  </si>
  <si>
    <t>Yan Song</t>
  </si>
  <si>
    <t>Yan</t>
  </si>
  <si>
    <t>Song</t>
  </si>
  <si>
    <t>Land Use Planning &amp; Design, Spatial Analysis of Urban Form, Planning Support Systems, Urban Planning in China</t>
  </si>
  <si>
    <t>Christopher Coutts</t>
  </si>
  <si>
    <t>Christopher</t>
  </si>
  <si>
    <t>Coutts</t>
  </si>
  <si>
    <t>Community Health and Health Behavior</t>
  </si>
  <si>
    <t>Jason Corburn</t>
  </si>
  <si>
    <t>Jason</t>
  </si>
  <si>
    <t>Corburn</t>
  </si>
  <si>
    <t>Environmental Policy &amp; Planning; Environmental Health; Urban Environmental Justice; Social &amp; Spatial Epidemiology; Health Impact Assessment; Science &amp; Technology Studies; Social Theory; Environmental Dispute Resolution</t>
  </si>
  <si>
    <t>Elsie Harper-Anderson</t>
  </si>
  <si>
    <t>Elsie</t>
  </si>
  <si>
    <t>Harper-Anderson</t>
  </si>
  <si>
    <t>Workforce Development, Economic Development, and Social Program Evaluation</t>
  </si>
  <si>
    <t>Sungyop Kim</t>
  </si>
  <si>
    <t>Sungyop</t>
  </si>
  <si>
    <t>Transportation, Land Use, GIS</t>
  </si>
  <si>
    <t>Qisheng Pan</t>
  </si>
  <si>
    <t>Qisheng</t>
  </si>
  <si>
    <t>Pan</t>
  </si>
  <si>
    <t>Geographic Information Systems, Transportation, Land Use Planning, Economic Impact Analysis</t>
  </si>
  <si>
    <t>Hilary Nixon</t>
  </si>
  <si>
    <t>San Jose State University</t>
  </si>
  <si>
    <t>Hilary</t>
  </si>
  <si>
    <t>Nixon</t>
  </si>
  <si>
    <t>Environmental Planning and Policy, Industrial Ecology, Waste Management, and Applied Econometrics</t>
  </si>
  <si>
    <t>Eric Dumbaugh</t>
  </si>
  <si>
    <t>Dumbaugh</t>
  </si>
  <si>
    <t>Transportation Planning and Design</t>
  </si>
  <si>
    <t>Stacy Harwood</t>
  </si>
  <si>
    <t>Stacy</t>
  </si>
  <si>
    <t>Harwood</t>
  </si>
  <si>
    <t>Neighborhood Planning, Community Development in Immigrant Communities, Qualitative Methods, Social Inequality and Social Planning</t>
  </si>
  <si>
    <t>Joshua Drucker</t>
  </si>
  <si>
    <t>Joshua</t>
  </si>
  <si>
    <t>Drucker</t>
  </si>
  <si>
    <t>Economic Development Planning, Regional Development, Quantitative Methods, Science and Technology Policy</t>
  </si>
  <si>
    <t>Elizabeth Macdonald</t>
  </si>
  <si>
    <t>Macdonald</t>
  </si>
  <si>
    <t>Urban Design Theory, History of Urban Design and Urban Form, Public Space Design, and Environmental Behavior Research, Street Design</t>
  </si>
  <si>
    <t>Samina Raja</t>
  </si>
  <si>
    <t>Samina</t>
  </si>
  <si>
    <t>Raja</t>
  </si>
  <si>
    <t>International Development, Fiscal Impacts of Growth, Quantitative Methods, Community Food Security</t>
  </si>
  <si>
    <t>Deden Rukmana</t>
  </si>
  <si>
    <t>Savannah State University</t>
  </si>
  <si>
    <t>Deden</t>
  </si>
  <si>
    <t>Rukmana</t>
  </si>
  <si>
    <t>Housing and Community Development, Urban Planning, International Development and Planning, Homelessness and Poverty and Quantitative Methods.</t>
  </si>
  <si>
    <t>Leith Deacon</t>
  </si>
  <si>
    <t>The University of Western Ontario</t>
  </si>
  <si>
    <t>Leith</t>
  </si>
  <si>
    <t>Deacon</t>
  </si>
  <si>
    <t>Environmental Planning and Management, Environmental Justice, Qualitative Methodology</t>
  </si>
  <si>
    <t>W.</t>
  </si>
  <si>
    <t>Lake</t>
  </si>
  <si>
    <t>Community Development, Planning Theory, Race/ Ethnicity &amp; Planning</t>
  </si>
  <si>
    <t>Yingling Fan</t>
  </si>
  <si>
    <t>Yingling</t>
  </si>
  <si>
    <t>Fan</t>
  </si>
  <si>
    <t>Land Use/Growth Management, Transportation Planning and Policy, Time Geography, Urban Health</t>
  </si>
  <si>
    <t>Austin Troy</t>
  </si>
  <si>
    <t>Austin</t>
  </si>
  <si>
    <t>Troy</t>
  </si>
  <si>
    <t>Land Use Policy, Land Use Change Modeling and Simulation, GIS, Spatial Analysis, Remote Sensing, Environmental Planning.</t>
  </si>
  <si>
    <t>Sanda Kaufman</t>
  </si>
  <si>
    <t>Carnegie Mellon</t>
  </si>
  <si>
    <t>Sanda</t>
  </si>
  <si>
    <t>Kaufman</t>
  </si>
  <si>
    <t>Citizen Participation, Computer Applications, Quantitative Methods, Conflict Management</t>
  </si>
  <si>
    <t>Anne Whiston Spirn</t>
  </si>
  <si>
    <t>Anne</t>
  </si>
  <si>
    <t>Whiston</t>
  </si>
  <si>
    <t>Spirn</t>
  </si>
  <si>
    <t>Urban Landscape Planning and Design, Landscape History and Theory, Landscape Photography</t>
  </si>
  <si>
    <t>Kelli Larson</t>
  </si>
  <si>
    <t>Oregon State University</t>
  </si>
  <si>
    <t>Kelli</t>
  </si>
  <si>
    <t>Larson</t>
  </si>
  <si>
    <t>Water Resource Governance and Human-Environmental Interactions</t>
  </si>
  <si>
    <t>Bumjoon Kang</t>
  </si>
  <si>
    <t>Bumjoon</t>
  </si>
  <si>
    <t>Kang</t>
  </si>
  <si>
    <t>Public Health and Built Environment, Quantifying the Built Environment, and GIS Science</t>
  </si>
  <si>
    <t>Rebecca Retzlaff</t>
  </si>
  <si>
    <t>Rebecca</t>
  </si>
  <si>
    <t>Retzlaff</t>
  </si>
  <si>
    <t>Environmental Planning and Policy, Historic Preservation, Land Use Planning and Regulation, Growth Management</t>
  </si>
  <si>
    <t>Markus Moos</t>
  </si>
  <si>
    <t>Markus</t>
  </si>
  <si>
    <t>Moos</t>
  </si>
  <si>
    <t>housing markets, urban restructuring and sustainability, land use and real estate development</t>
  </si>
  <si>
    <t>Elizabeth Wentz</t>
  </si>
  <si>
    <t>Pennsylvania State University</t>
  </si>
  <si>
    <t>Wentz</t>
  </si>
  <si>
    <t>Geographic Information Systems, Application of GIS to Urban Environments, Urban Remote Sensing, Water Resource Management</t>
  </si>
  <si>
    <t>Kirk McClure</t>
  </si>
  <si>
    <t>Kirk</t>
  </si>
  <si>
    <t>McClure</t>
  </si>
  <si>
    <t>Housing Affordability, Community Development, Real Estate Development</t>
  </si>
  <si>
    <t>Nik Theodore</t>
  </si>
  <si>
    <t>Nik</t>
  </si>
  <si>
    <t>Theodore</t>
  </si>
  <si>
    <t>Economic Development, Labor Markets</t>
  </si>
  <si>
    <t>Paavo Monkkonen</t>
  </si>
  <si>
    <t>Paavo</t>
  </si>
  <si>
    <t>Monkkonen</t>
  </si>
  <si>
    <t>Housing Policy Analysis, the Role of Finance, Policy and Economic Restructuring in the Changing Spatial Structures of Cities, Housing Markets and Household Formation, and the Regularization of Informally Developed Neighborhoods.</t>
  </si>
  <si>
    <t>Teresa Caldeira</t>
  </si>
  <si>
    <t>Teresa</t>
  </si>
  <si>
    <t>Caldeira</t>
  </si>
  <si>
    <t>Andrew Greenlee</t>
  </si>
  <si>
    <t>Greenlee</t>
  </si>
  <si>
    <t>Housing Policy, Community Development, Inequality, Neighborhood Indicators</t>
  </si>
  <si>
    <t>Carolina</t>
  </si>
  <si>
    <t>K.</t>
  </si>
  <si>
    <t>Housing Policy and Affordable Housing, Urban Poverty and Inequality, Community Development, Land Tenure Rights, Sustainable Development.</t>
  </si>
  <si>
    <t>Subhrajit Guhathakurta</t>
  </si>
  <si>
    <t>Subhrajit</t>
  </si>
  <si>
    <t>Guhathakurta</t>
  </si>
  <si>
    <t>International Development and Planning; Urban Modeling and GIS; Computer Applications; Economic Development Planning; Environmental Planning</t>
  </si>
  <si>
    <t>Misun Hur</t>
  </si>
  <si>
    <t>Misun</t>
  </si>
  <si>
    <t>Hur</t>
  </si>
  <si>
    <t>Community Development, Urban Design, GIS &amp; Visualization Technology, Environmental Behavior</t>
  </si>
  <si>
    <t>Divya Chandrasekhar</t>
  </si>
  <si>
    <t>Divya</t>
  </si>
  <si>
    <t>Chandrasekhar</t>
  </si>
  <si>
    <t>Emergency Management Planning, Coastal Environmental Emergency Assessment &amp; Modeling</t>
  </si>
  <si>
    <t>Robert Goodspeed</t>
  </si>
  <si>
    <t>Goodspeed</t>
  </si>
  <si>
    <t>Marc Schlossberg</t>
  </si>
  <si>
    <t>Marc</t>
  </si>
  <si>
    <t>Schlossberg</t>
  </si>
  <si>
    <t>Geographic Information Systems, Social Planning, Transportation Planning</t>
  </si>
  <si>
    <t>Timothy McDaniels</t>
  </si>
  <si>
    <t>McDaniels</t>
  </si>
  <si>
    <t>Decision Analysis, Environmental Policy and Resource Management</t>
  </si>
  <si>
    <t>Michigan State University</t>
  </si>
  <si>
    <t>University of Massachusetts, Amherst</t>
  </si>
  <si>
    <t>Zenia</t>
  </si>
  <si>
    <t>Z.</t>
  </si>
  <si>
    <t>Kotval</t>
  </si>
  <si>
    <t>Local Economic Development, Industrial Development/Redevelopment Policy</t>
  </si>
  <si>
    <t>Jeremy Nemeth</t>
  </si>
  <si>
    <t>Jeremy</t>
  </si>
  <si>
    <t>Nemeth</t>
  </si>
  <si>
    <t>Urban Design and Public Policy, Politics of Public Space, Land Use Conflict.</t>
  </si>
  <si>
    <t>Brian Taylor</t>
  </si>
  <si>
    <t>Brian</t>
  </si>
  <si>
    <t>Taylor</t>
  </si>
  <si>
    <t>Transportation Policy, Planning and Finance, Transportation and Urban Form, Planning for Special Populations</t>
  </si>
  <si>
    <t>Peilei Fan</t>
  </si>
  <si>
    <t>Peilei</t>
  </si>
  <si>
    <t>High Tech Industrialization, Urbanization in Asia, Land Use, and Spatial Analysis</t>
  </si>
  <si>
    <t>Karen Umemoto</t>
  </si>
  <si>
    <t>Karen</t>
  </si>
  <si>
    <t>Umemoto</t>
  </si>
  <si>
    <t>Community Planning, Community-Based Development, Social Policy Planning, Race and Ethnic Relations</t>
  </si>
  <si>
    <t>Dowell Myers</t>
  </si>
  <si>
    <t>Dowell</t>
  </si>
  <si>
    <t>Myers</t>
  </si>
  <si>
    <t>Demography, Housing, Planning Theory, Race/Ethnicity and Planning, Land Use/Growth Management</t>
  </si>
  <si>
    <t>Elliott Sclar</t>
  </si>
  <si>
    <t>Elliott</t>
  </si>
  <si>
    <t>Sclar</t>
  </si>
  <si>
    <t>Economic Development, International Development, Transportation Planning</t>
  </si>
  <si>
    <t>Marina Alberti</t>
  </si>
  <si>
    <t>Marina</t>
  </si>
  <si>
    <t>Alberti</t>
  </si>
  <si>
    <t>Urban Ecology, Environmental Planning</t>
  </si>
  <si>
    <t>Maged Senbel</t>
  </si>
  <si>
    <t>Maged</t>
  </si>
  <si>
    <t>Senbel</t>
  </si>
  <si>
    <t>Urban Design</t>
  </si>
  <si>
    <t>Eva Kassens-Noor</t>
  </si>
  <si>
    <t>Eva</t>
  </si>
  <si>
    <t>Kassens-Noor</t>
  </si>
  <si>
    <t>Transportaiton Planning and Policy, Sustainable Citites and Regions</t>
  </si>
  <si>
    <t>Charisma Acey</t>
  </si>
  <si>
    <t>Charisma</t>
  </si>
  <si>
    <t>Acey</t>
  </si>
  <si>
    <t>International Development, Social Equity, Governance, Poverty</t>
  </si>
  <si>
    <t>Danilo Palazzo</t>
  </si>
  <si>
    <t>Istituto Universitario di Architettura di Venezia</t>
  </si>
  <si>
    <t>Danilo</t>
  </si>
  <si>
    <t>Palazzo</t>
  </si>
  <si>
    <t>Urban Design, Physical Planning</t>
  </si>
  <si>
    <t>Ann Forsyth</t>
  </si>
  <si>
    <t>Ann</t>
  </si>
  <si>
    <t>Forsyth</t>
  </si>
  <si>
    <t>Social Aspects of Physical Planning and Urban Design, Urban and Environmental Theory, Gender and Diversity, Research Methods, Professional Ethics, Planning and Design Education</t>
  </si>
  <si>
    <t>Joanna Ganning</t>
  </si>
  <si>
    <t>Joanna</t>
  </si>
  <si>
    <t>Ganning</t>
  </si>
  <si>
    <t>Regional and Community Economic Development: Urban-Rural Linkages, Urban and Rural Amenities, and the Economic Role of Universities in Regions</t>
  </si>
  <si>
    <t>Eran Ben-Joseph</t>
  </si>
  <si>
    <t>Eran</t>
  </si>
  <si>
    <t>Ben-Joseph</t>
  </si>
  <si>
    <t>Landscape Architecture, Site Planning and Design, Design Standards, Urban Simulation</t>
  </si>
  <si>
    <t>Ming-Han Li</t>
  </si>
  <si>
    <t>Ming-Han</t>
  </si>
  <si>
    <t>Li</t>
  </si>
  <si>
    <t>Storm Water Management, Soil Erosion.</t>
  </si>
  <si>
    <t>Asha</t>
  </si>
  <si>
    <t>Weinstein</t>
  </si>
  <si>
    <t>Transportation Planning and Finance, Planning History, and Communication Skills for Planners</t>
  </si>
  <si>
    <t>Michael Leaf</t>
  </si>
  <si>
    <t>Leaf</t>
  </si>
  <si>
    <t>International Development Comparative Urbanization</t>
  </si>
  <si>
    <t>Erick Guerra</t>
  </si>
  <si>
    <t>Erick</t>
  </si>
  <si>
    <t>Guerra</t>
  </si>
  <si>
    <t>Transportation Planning, International Transportation.</t>
  </si>
  <si>
    <t>Maria Rendon</t>
  </si>
  <si>
    <t>Rendon</t>
  </si>
  <si>
    <t>Urban Policy, Community Empowerment, Social Justice</t>
  </si>
  <si>
    <t>Sanchez</t>
  </si>
  <si>
    <t>Transportation, Land Use, Residential Location Behavior, and Questions of Social Equity in Planning; Technology</t>
  </si>
  <si>
    <t>Lesli Hoey</t>
  </si>
  <si>
    <t>Lesli</t>
  </si>
  <si>
    <t>Hoey</t>
  </si>
  <si>
    <t>Food Systems Planning, Planning in Developing Countries, Evaluation and Qualitative Planning Methods.</t>
  </si>
  <si>
    <t>Albert Saiz</t>
  </si>
  <si>
    <t>Albert</t>
  </si>
  <si>
    <t>Saiz</t>
  </si>
  <si>
    <t>Housing and Urban Economics.</t>
  </si>
  <si>
    <t>Willow Lung-Amam</t>
  </si>
  <si>
    <t>Willow</t>
  </si>
  <si>
    <t>Lung-Amam</t>
  </si>
  <si>
    <t>Bruce Stiftel</t>
  </si>
  <si>
    <t>Bruce</t>
  </si>
  <si>
    <t>Stiftel</t>
  </si>
  <si>
    <t>Planning Theory, Citizen Participation, Environmental Planning, Planning School Advancement</t>
  </si>
  <si>
    <t>Mildred Warner</t>
  </si>
  <si>
    <t>Mildred</t>
  </si>
  <si>
    <t>Warner</t>
  </si>
  <si>
    <t>Community Development, Economic Development, State &amp; Local Government Policy</t>
  </si>
  <si>
    <t>Paul Waddell</t>
  </si>
  <si>
    <t>University of Texas, Dallas</t>
  </si>
  <si>
    <t>Waddell</t>
  </si>
  <si>
    <t>Urban Economics, Economic Geography, Land Use, Transportation, Urban Simulation Modeling</t>
  </si>
  <si>
    <t>Eugenie</t>
  </si>
  <si>
    <t>L.</t>
  </si>
  <si>
    <t>Birch</t>
  </si>
  <si>
    <t>Planning History, Anchor Insitutions, Urban Development</t>
  </si>
  <si>
    <t>Paul Ong</t>
  </si>
  <si>
    <t>Ong</t>
  </si>
  <si>
    <t>Economic Development Planning, Race/ Ethnicity and Planning, Urban Labor Markets, Immigrants in the Urban Economy</t>
  </si>
  <si>
    <t>Himanshu Grover</t>
  </si>
  <si>
    <t>Himanshu</t>
  </si>
  <si>
    <t>Grover</t>
  </si>
  <si>
    <t>Environmental Planning, Comprehensive Plans, Sustainable Development and Climate Change</t>
  </si>
  <si>
    <t>Samuel</t>
  </si>
  <si>
    <t>D.</t>
  </si>
  <si>
    <t>Brody</t>
  </si>
  <si>
    <t>Aaron Golub</t>
  </si>
  <si>
    <t>Aaron</t>
  </si>
  <si>
    <t>Golub</t>
  </si>
  <si>
    <t>Urban Transportation Planning, Environmental and Social Impacts of Transportation, Environmental Justice, and International Transportation</t>
  </si>
  <si>
    <t>Bates</t>
  </si>
  <si>
    <t>Housing Policy and Planning, Community Development, Race and Poverty</t>
  </si>
  <si>
    <t>Ralph Buehler</t>
  </si>
  <si>
    <t>Ralph</t>
  </si>
  <si>
    <t>Buehler</t>
  </si>
  <si>
    <t>Transportation Policy and Planning, Land Use, Energy, and Regional Governance</t>
  </si>
  <si>
    <t>Bhuiyan Alam</t>
  </si>
  <si>
    <t>University of Toledo</t>
  </si>
  <si>
    <t>Bhuiyan</t>
  </si>
  <si>
    <t>Alam</t>
  </si>
  <si>
    <t>GIS Applications in Transportation, Environmental Planning, Urban and Regional Planning, Quantitative Methods/Spatial Statistics, Transportation Planning and Modeling, Regional Development</t>
  </si>
  <si>
    <t>Nina-Marie Lister</t>
  </si>
  <si>
    <t>Nina-Marie</t>
  </si>
  <si>
    <t>Lister</t>
  </si>
  <si>
    <t>Urban/ex-urban Parklands, Urban Ecology, Landscape &amp; Ecological Design, Landscape Urbanism; Edible Landscapes &amp; Food Security, Biodiversity Conservation</t>
  </si>
  <si>
    <t>Ahmed El-Geneidy</t>
  </si>
  <si>
    <t>Ahmed</t>
  </si>
  <si>
    <t>El-Geneidy</t>
  </si>
  <si>
    <t>Land Use and Transportation Planning, Public Transit Planning and Operations, Travel Behaviour, GIS Applications</t>
  </si>
  <si>
    <t>Madhav Badami</t>
  </si>
  <si>
    <t>Madhav</t>
  </si>
  <si>
    <t>Badami</t>
  </si>
  <si>
    <t>Environmental Policy and Planning, Sustainable Urban Transport, International Planning, Environment and Development</t>
  </si>
  <si>
    <t>Greg Schrock</t>
  </si>
  <si>
    <t>Greg</t>
  </si>
  <si>
    <t>Schrock</t>
  </si>
  <si>
    <t>Regional Economic Development, Labor Market and Workforce Development Policy</t>
  </si>
  <si>
    <t>Oklahoma State University</t>
  </si>
  <si>
    <t>Marcouiller</t>
  </si>
  <si>
    <t>Natural Amenity-Driven Development, Economics of Exurban Land Uses, Rural Resource Dependency, Integrative Tourism &amp; Recreation Planning, Regional Science</t>
  </si>
  <si>
    <t>Scott Spak</t>
  </si>
  <si>
    <t>University of Iowa</t>
  </si>
  <si>
    <t>Scott</t>
  </si>
  <si>
    <t>Spak</t>
  </si>
  <si>
    <t>Climate Change, Land Use, Air Quality, and Environmental Problems of Mega-Citites</t>
  </si>
  <si>
    <t>Mi Shih</t>
  </si>
  <si>
    <t>Mi</t>
  </si>
  <si>
    <t>Shih</t>
  </si>
  <si>
    <t>Processes of Urbanization in China and how they shape Chinese Cities, Local Places, and People’s Everyday Lives, Urban Redevelopment and its impact on Property and Civil Rights, Land Commodification, Urban Expansion and Rural Land Conversion in Peri-urban Areas, and Grassroots Participation and Urban Planning.</t>
  </si>
  <si>
    <t>Arquero</t>
  </si>
  <si>
    <t>de</t>
  </si>
  <si>
    <t>Interdisciplinary Design with a Focus on Multi-scalar Landscape and Urban Strategies; Techniques of Visualization and Representation</t>
  </si>
  <si>
    <t>University of Pittsburgh</t>
  </si>
  <si>
    <t>George</t>
  </si>
  <si>
    <t>O.</t>
  </si>
  <si>
    <t>Rogers</t>
  </si>
  <si>
    <t>Environmental Planning, Impact Assessment, Natural Resources Planning, Quantitative Methods</t>
  </si>
  <si>
    <t>Wegeningen University</t>
  </si>
  <si>
    <t>Kristof</t>
  </si>
  <si>
    <t>Van</t>
  </si>
  <si>
    <t>Assche</t>
  </si>
  <si>
    <t>Comparative Planning &amp; International Development, Environmental Governance &amp; Planning, Governance of Transition &amp; Innovation.</t>
  </si>
  <si>
    <t>Mukesh Kumar</t>
  </si>
  <si>
    <t>Jackson State University</t>
  </si>
  <si>
    <t>Mukesh</t>
  </si>
  <si>
    <t>Economic Development</t>
  </si>
  <si>
    <t>Harley</t>
  </si>
  <si>
    <t>Etienne</t>
  </si>
  <si>
    <t>Urban Community Development, Inner-city Revitalization, Neighborhood Change, Urban Poverty and Qualitative Research Issues in Planning</t>
  </si>
  <si>
    <t>Mark Purcell</t>
  </si>
  <si>
    <t>Mark</t>
  </si>
  <si>
    <t>Purcell</t>
  </si>
  <si>
    <t>Urban Democracy, Urban Social Movements</t>
  </si>
  <si>
    <t>Mikelbank</t>
  </si>
  <si>
    <t>Quantitative Spatial Analysis, Urban Geographic Information Systems, Urban Geography, Economic Geography.</t>
  </si>
  <si>
    <t>Harvey</t>
  </si>
  <si>
    <t>Jacobs</t>
  </si>
  <si>
    <t>Property Rights, Land Use Policy Alternatives, Smart Growth, Urban Sprawl and Peri-Urban Land Management, Social Content of Land Use and Environmental Policy</t>
  </si>
  <si>
    <t>Mai Nguyen</t>
  </si>
  <si>
    <t>Mai</t>
  </si>
  <si>
    <t>Nguyen</t>
  </si>
  <si>
    <t>Housing and Community Development, Housing Policy</t>
  </si>
  <si>
    <t>Andrea Sarzynski</t>
  </si>
  <si>
    <t>University of Delaware</t>
  </si>
  <si>
    <t>George Washington University</t>
  </si>
  <si>
    <t>Andrea</t>
  </si>
  <si>
    <t>Sarzynski</t>
  </si>
  <si>
    <t>Laura Lawson</t>
  </si>
  <si>
    <t>Rutgers University, School of Environmental &amp; Biological Sciences</t>
  </si>
  <si>
    <t>University of California, Berkeley</t>
  </si>
  <si>
    <t>Laura</t>
  </si>
  <si>
    <t>Lawson</t>
  </si>
  <si>
    <t>Urban Open Space, Community Gardening, Social Factors in Design</t>
  </si>
  <si>
    <t>University of Sao Paolo, Brazil</t>
  </si>
  <si>
    <t>Vicente</t>
  </si>
  <si>
    <t>del</t>
  </si>
  <si>
    <t>Rio</t>
  </si>
  <si>
    <t>Urban Design, Environment-Behavior Studies, Revitalization, International Planning</t>
  </si>
  <si>
    <t>Ryan Gibson</t>
  </si>
  <si>
    <t>University of Guelph</t>
  </si>
  <si>
    <t>Ryan</t>
  </si>
  <si>
    <t>Gibson</t>
  </si>
  <si>
    <t>Bram Noble</t>
  </si>
  <si>
    <t>University of Saskatchewan</t>
  </si>
  <si>
    <t>Bram</t>
  </si>
  <si>
    <t>Noble</t>
  </si>
  <si>
    <t>Yunmi Park</t>
  </si>
  <si>
    <t>Yunmi</t>
  </si>
  <si>
    <t>Park</t>
  </si>
  <si>
    <t>Justin Steil</t>
  </si>
  <si>
    <t>Steil</t>
  </si>
  <si>
    <t>Evelyn Pinkerton</t>
  </si>
  <si>
    <t>Simon Fraser University</t>
  </si>
  <si>
    <t>Pinkerton</t>
  </si>
  <si>
    <t>Zoe Hamstead</t>
  </si>
  <si>
    <t>Zoe</t>
  </si>
  <si>
    <t>Hamstead</t>
  </si>
  <si>
    <t>Evangeline Linkous</t>
  </si>
  <si>
    <t>University of South Florida</t>
  </si>
  <si>
    <t>Evangeline</t>
  </si>
  <si>
    <t>Linkous</t>
  </si>
  <si>
    <t>Rosie Tighe</t>
  </si>
  <si>
    <t>University of Texas, Austin</t>
  </si>
  <si>
    <t>Rosie</t>
  </si>
  <si>
    <t>Tighe</t>
  </si>
  <si>
    <t>Todd Schenk</t>
  </si>
  <si>
    <t>Schenk</t>
  </si>
  <si>
    <t>Jaclene Begley</t>
  </si>
  <si>
    <t>Jaclene</t>
  </si>
  <si>
    <t>Begley</t>
  </si>
  <si>
    <t>Urban Policy, Public Policy, Quantitative Methods</t>
  </si>
  <si>
    <t>John Pomeroy</t>
  </si>
  <si>
    <t>John</t>
  </si>
  <si>
    <t>Pomeroy</t>
  </si>
  <si>
    <t>Philip Ashton</t>
  </si>
  <si>
    <t>Philip</t>
  </si>
  <si>
    <t>Ashton</t>
  </si>
  <si>
    <t>Financial Restructuring and Central City Markets, Neighborhood Development and Change, Affordable Housing Development and Preservation; Comparative Urban Policy; Normative Ethical Theory in Policy</t>
  </si>
  <si>
    <t>Maggie Cowell</t>
  </si>
  <si>
    <t>Maggie</t>
  </si>
  <si>
    <t>Cowell</t>
  </si>
  <si>
    <t>Maria Martinez-Cosio</t>
  </si>
  <si>
    <t>University of Texas, Arlington</t>
  </si>
  <si>
    <t>UC San Diego</t>
  </si>
  <si>
    <t>Martinez-Cosio</t>
  </si>
  <si>
    <t>Urban Sociology, Race and Ethnic Relations, Urban Politics, Urban Ethnography</t>
  </si>
  <si>
    <t>Campbell</t>
  </si>
  <si>
    <t>Planning Theory &amp; History, Quantitative Methods, Regional Economic Development, Environmental Economics, Comparative Urbanization</t>
  </si>
  <si>
    <t>Darrel Ramsey-Musolf</t>
  </si>
  <si>
    <t>University of Massachusetts-Amherst</t>
  </si>
  <si>
    <t>Darrel</t>
  </si>
  <si>
    <t>Ramsey-Musolf</t>
  </si>
  <si>
    <t>Research focuses on urban morphology, regionalism, and planning research and practice. Teaches planning studio, housing policy, and land-use/growth management.</t>
  </si>
  <si>
    <t>Kathryn Frank</t>
  </si>
  <si>
    <t>University of Florida</t>
  </si>
  <si>
    <t>Kathryn</t>
  </si>
  <si>
    <t>Ecosystem management, regional sustainability, Collaborative planning and policy making, alternative dispute resolution, water resources and aquatic/coastal ecosystems, children and youth participation in planning</t>
  </si>
  <si>
    <t>Jeremy Merrill</t>
  </si>
  <si>
    <t>Merrill</t>
  </si>
  <si>
    <t>Westfield State University</t>
  </si>
  <si>
    <t>Southern Illinois University</t>
  </si>
  <si>
    <t>Bristow</t>
  </si>
  <si>
    <t>Jason Cao</t>
  </si>
  <si>
    <t>Andres Sevtsuk</t>
  </si>
  <si>
    <t>Andres</t>
  </si>
  <si>
    <t>Sevtsuk</t>
  </si>
  <si>
    <t>Jesse LeCavalier</t>
  </si>
  <si>
    <t>New Jersey Institute of Technology</t>
  </si>
  <si>
    <t>LeCavalier</t>
  </si>
  <si>
    <t>Edelman</t>
  </si>
  <si>
    <t>Urban Environmental Management, Energy Policy Planning, Development Planning and Management</t>
  </si>
  <si>
    <t>Alec Aitken</t>
  </si>
  <si>
    <t>Alec</t>
  </si>
  <si>
    <t>Aitken</t>
  </si>
  <si>
    <t>Genevieve Giuliano</t>
  </si>
  <si>
    <t>Genevieve</t>
  </si>
  <si>
    <t>Giuliano</t>
  </si>
  <si>
    <t>Transportation Planning and Policy, Urban/Regional Economics, Land Use/Growth Management</t>
  </si>
  <si>
    <t>Keith Bartholomew</t>
  </si>
  <si>
    <t>Keith</t>
  </si>
  <si>
    <t>Bartholomew</t>
  </si>
  <si>
    <t>Environmental Planning, Land Use/Growth Management, Planning Law, Metropolitan/ Regional Planning</t>
  </si>
  <si>
    <t>York University</t>
  </si>
  <si>
    <t>E.</t>
  </si>
  <si>
    <t>Ned Hill</t>
  </si>
  <si>
    <t>Ned</t>
  </si>
  <si>
    <t>Hill</t>
  </si>
  <si>
    <t>Marc Doussard</t>
  </si>
  <si>
    <t>Doussard</t>
  </si>
  <si>
    <t>Economic Development, Regional Development Theory, Research Design.</t>
  </si>
  <si>
    <t>Youqin Huang</t>
  </si>
  <si>
    <t>State University of New York at Albany</t>
  </si>
  <si>
    <t>Youqin</t>
  </si>
  <si>
    <t>Huang</t>
  </si>
  <si>
    <t>Tom Narins</t>
  </si>
  <si>
    <t>Tom</t>
  </si>
  <si>
    <t>Narins</t>
  </si>
  <si>
    <t>Florent Joerin</t>
  </si>
  <si>
    <t>Universite Laval</t>
  </si>
  <si>
    <t>Florent</t>
  </si>
  <si>
    <t>Joerin</t>
  </si>
  <si>
    <t>Jason Knouft</t>
  </si>
  <si>
    <t>Saint Louis University</t>
  </si>
  <si>
    <t>Knouft</t>
  </si>
  <si>
    <t>Genevieve Cloutier</t>
  </si>
  <si>
    <t>Cloutier</t>
  </si>
  <si>
    <t>David Miller</t>
  </si>
  <si>
    <t>Miller</t>
  </si>
  <si>
    <t>Comparative Regional Governance, Public Administration and Finance.</t>
  </si>
  <si>
    <t>Samia Kirchner</t>
  </si>
  <si>
    <t>Morgan State University</t>
  </si>
  <si>
    <t>Samia</t>
  </si>
  <si>
    <t>Kirchner</t>
  </si>
  <si>
    <t>Jesus</t>
  </si>
  <si>
    <t>Lara</t>
  </si>
  <si>
    <t>Sustainable Urban Design, Social and Cultural Factors in Design, Community Planning, University-Community Partnerships.</t>
  </si>
  <si>
    <t>Jorge</t>
  </si>
  <si>
    <t>De</t>
  </si>
  <si>
    <t>La</t>
  </si>
  <si>
    <t>Jennifer Clark</t>
  </si>
  <si>
    <t>Clark</t>
  </si>
  <si>
    <t>Gordon Douglas</t>
  </si>
  <si>
    <t>Gordon</t>
  </si>
  <si>
    <t>Douglas</t>
  </si>
  <si>
    <t>Isabelle Thomas</t>
  </si>
  <si>
    <t>Universite de Montreal</t>
  </si>
  <si>
    <t>Isabelle</t>
  </si>
  <si>
    <t>Junfeng Jiao</t>
  </si>
  <si>
    <t>Junfeng</t>
  </si>
  <si>
    <t>Jiao</t>
  </si>
  <si>
    <t>GIS, Transportation, 3D Modeling, Urban Design</t>
  </si>
  <si>
    <t>Stewart Fotheringham</t>
  </si>
  <si>
    <t>Stewart</t>
  </si>
  <si>
    <t>Fotheringham</t>
  </si>
  <si>
    <t>Sabina</t>
  </si>
  <si>
    <t>Deitrick</t>
  </si>
  <si>
    <t>Leia Minaker</t>
  </si>
  <si>
    <t>Leia</t>
  </si>
  <si>
    <t>Minaker</t>
  </si>
  <si>
    <t>Moises Gonzales</t>
  </si>
  <si>
    <t>University of New Mexico</t>
  </si>
  <si>
    <t>Moises</t>
  </si>
  <si>
    <t>Gonzales</t>
  </si>
  <si>
    <t>Urban Design, Urbanism of the Southwest, Design Visualization, Sustainable Urbanism</t>
  </si>
  <si>
    <t>Shomon Shamsuddin</t>
  </si>
  <si>
    <t>Shomon</t>
  </si>
  <si>
    <t>Shamsuddin</t>
  </si>
  <si>
    <t>Matthias</t>
  </si>
  <si>
    <t>Sweet</t>
  </si>
  <si>
    <t>Campanella</t>
  </si>
  <si>
    <t>Paul Galpern</t>
  </si>
  <si>
    <t>University of Calgary</t>
  </si>
  <si>
    <t>Galpern</t>
  </si>
  <si>
    <t>Michael Frisch</t>
  </si>
  <si>
    <t>Frisch</t>
  </si>
  <si>
    <t>Environmental Planning, Economic Development, Land Use and Zoning, Community Development</t>
  </si>
  <si>
    <t>David Imbroscio</t>
  </si>
  <si>
    <t>Imbroscio</t>
  </si>
  <si>
    <t>Krystopher Chutko</t>
  </si>
  <si>
    <t>Krystopher</t>
  </si>
  <si>
    <t>Chutko</t>
  </si>
  <si>
    <t>Saurabh Lall</t>
  </si>
  <si>
    <t>Saurabh</t>
  </si>
  <si>
    <t>Lall</t>
  </si>
  <si>
    <t>Dale Whittington</t>
  </si>
  <si>
    <t>Dale</t>
  </si>
  <si>
    <t>Whittington</t>
  </si>
  <si>
    <t>Deepak Rajagopal</t>
  </si>
  <si>
    <t>Deepak</t>
  </si>
  <si>
    <t>Rajagopal</t>
  </si>
  <si>
    <t>Heckert</t>
  </si>
  <si>
    <t>P.</t>
  </si>
  <si>
    <t>Hall</t>
  </si>
  <si>
    <t>Jake Wegmann</t>
  </si>
  <si>
    <t>Jake</t>
  </si>
  <si>
    <t>Wegmann</t>
  </si>
  <si>
    <t>Meagan Ehlenz</t>
  </si>
  <si>
    <t>Meagan</t>
  </si>
  <si>
    <t>Ehlenz</t>
  </si>
  <si>
    <t>Xinhao Wang</t>
  </si>
  <si>
    <t>Xinhao</t>
  </si>
  <si>
    <t>Wang</t>
  </si>
  <si>
    <t>Environmental Planning, GIS, Modeling</t>
  </si>
  <si>
    <t>Michael Lens</t>
  </si>
  <si>
    <t>Lens</t>
  </si>
  <si>
    <t>Affordable Housing, Crime, Applied Econometric Methods</t>
  </si>
  <si>
    <t>Paula Negron</t>
  </si>
  <si>
    <t>Paula</t>
  </si>
  <si>
    <t>Negron</t>
  </si>
  <si>
    <t>David Hsu</t>
  </si>
  <si>
    <t>Hsu</t>
  </si>
  <si>
    <t>Urban &amp; Environmental Infrastructure</t>
  </si>
  <si>
    <t>Monica</t>
  </si>
  <si>
    <t>Haddad</t>
  </si>
  <si>
    <t>Spatial Analysis (GIS), Human Development, Social Equity, Public Investments, Regional Policies</t>
  </si>
  <si>
    <t>Dean</t>
  </si>
  <si>
    <t>Painter</t>
  </si>
  <si>
    <t>Marcela</t>
  </si>
  <si>
    <t>González</t>
  </si>
  <si>
    <t>Rivas</t>
  </si>
  <si>
    <t>Regional Development and Inequality, International Planning.</t>
  </si>
  <si>
    <t>Stephen Buckman</t>
  </si>
  <si>
    <t>Stephen</t>
  </si>
  <si>
    <t>Buckman</t>
  </si>
  <si>
    <t>Tara McGee</t>
  </si>
  <si>
    <t>Australian National University</t>
  </si>
  <si>
    <t>Tara</t>
  </si>
  <si>
    <t>McGee</t>
  </si>
  <si>
    <t>Jeffrey Bielicki</t>
  </si>
  <si>
    <t>Bielicki</t>
  </si>
  <si>
    <t>Jennifer Dean</t>
  </si>
  <si>
    <t>Lilian Alessa</t>
  </si>
  <si>
    <t>University of Idaho</t>
  </si>
  <si>
    <t>Lilian</t>
  </si>
  <si>
    <t>Alessa</t>
  </si>
  <si>
    <t>Human adaptation to environmental change, and social-ecological systems science and the development of highly integrated approaches to better understanding complex environmental processes.</t>
  </si>
  <si>
    <t>Jill Clark</t>
  </si>
  <si>
    <t>Jill</t>
  </si>
  <si>
    <t>Ashima Krishna</t>
  </si>
  <si>
    <t>Ashima</t>
  </si>
  <si>
    <t>Krishna</t>
  </si>
  <si>
    <t>Kelly</t>
  </si>
  <si>
    <t>Kinahan</t>
  </si>
  <si>
    <t>Norton</t>
  </si>
  <si>
    <t>Environmental Policy and Planning, Sustainable Development, Intergovernmental Growth Management, Coastal Area Resource Management, Land Use and Planning Law.</t>
  </si>
  <si>
    <t>Martin</t>
  </si>
  <si>
    <t>H.</t>
  </si>
  <si>
    <t>Krieger</t>
  </si>
  <si>
    <t>Visual Documentation of Urban Phenomena, Mathematical Modeling, Planning Theory, Environmental Planning</t>
  </si>
  <si>
    <t>Vincent Reina</t>
  </si>
  <si>
    <t>Vincent</t>
  </si>
  <si>
    <t>Reina</t>
  </si>
  <si>
    <t>Urban Economics, Housing Policy, Mobility, Community and Economic Development</t>
  </si>
  <si>
    <t>Rob Shields</t>
  </si>
  <si>
    <t>University of Sussex</t>
  </si>
  <si>
    <t>Rob</t>
  </si>
  <si>
    <t>Shields</t>
  </si>
  <si>
    <t>Social Meaning of the Built Spaces, Urban Cultural Studies.</t>
  </si>
  <si>
    <t>Dawn Jourdan</t>
  </si>
  <si>
    <t>Dawn</t>
  </si>
  <si>
    <t>Jourdan</t>
  </si>
  <si>
    <t>Planning Law, Housing Law, Growth Management Law</t>
  </si>
  <si>
    <t>Damon Hall</t>
  </si>
  <si>
    <t>Damon</t>
  </si>
  <si>
    <t>Casey</t>
  </si>
  <si>
    <t>Dawkins</t>
  </si>
  <si>
    <t>Housing Policy, Growth Management, Urban Economics, Quantitative Methods.</t>
  </si>
  <si>
    <t>Arthur</t>
  </si>
  <si>
    <t>C.</t>
  </si>
  <si>
    <t>Nelson</t>
  </si>
  <si>
    <t>Metropolitan Development Patterns, Planning Policy Analysis, Public Facilities Planning and Finance, Land Development impact Assessment, Public-private Partnerships for Real Estate Development, Applied Demographic and Economic Analysis, Projecting development Trends and Needs.</t>
  </si>
  <si>
    <t>Meenu Tewari</t>
  </si>
  <si>
    <t>Meenu</t>
  </si>
  <si>
    <t>Tewari</t>
  </si>
  <si>
    <t>Economic Development, International Development, Local Political Economy, Poverty Alleviation, Small Firms &amp; the Informal Sector</t>
  </si>
  <si>
    <t>Ren Thomas</t>
  </si>
  <si>
    <t>Dalhousie University</t>
  </si>
  <si>
    <t>Ren</t>
  </si>
  <si>
    <t>Douglas Kelbaugh</t>
  </si>
  <si>
    <t>Kelbaugh</t>
  </si>
  <si>
    <t>Wendy</t>
  </si>
  <si>
    <t>Kellogg</t>
  </si>
  <si>
    <t>Citizen Participation, Environmental Land Use Planning, Coastal Management, Smart Growth</t>
  </si>
  <si>
    <t>Kian Goh</t>
  </si>
  <si>
    <t>Kian</t>
  </si>
  <si>
    <t>Goh</t>
  </si>
  <si>
    <t>Susan Ruddick</t>
  </si>
  <si>
    <t>Susan</t>
  </si>
  <si>
    <t>Ruddick</t>
  </si>
  <si>
    <t>Social Theory/Social Construction of Childhood, Public Space and the Public Sphere, Urban Political Economy</t>
  </si>
  <si>
    <t>Steven Spears</t>
  </si>
  <si>
    <t>University of California, Irvine</t>
  </si>
  <si>
    <t>Steven</t>
  </si>
  <si>
    <t>Spears</t>
  </si>
  <si>
    <t>Manish Shirgaokar</t>
  </si>
  <si>
    <t>Manish</t>
  </si>
  <si>
    <t>Shirgaokar</t>
  </si>
  <si>
    <t>Transportation, International Development, Urban Design</t>
  </si>
  <si>
    <t>Stacey</t>
  </si>
  <si>
    <t>White</t>
  </si>
  <si>
    <t>Public Participation in Land Use and Environmental Planning, Stormwater Management, Planning Pedagogy</t>
  </si>
  <si>
    <t>Martz</t>
  </si>
  <si>
    <t>Hyeon-Shic Shin</t>
  </si>
  <si>
    <t>Hyeon-Shic</t>
  </si>
  <si>
    <t>Shin</t>
  </si>
  <si>
    <t>Transportation Planning, Transportation Economics, Planning Methods, GIS.</t>
  </si>
  <si>
    <t>Zhenhua Chen</t>
  </si>
  <si>
    <t>Zhenhua</t>
  </si>
  <si>
    <t>Chen</t>
  </si>
  <si>
    <t>Guensler</t>
  </si>
  <si>
    <t>Vivek Shandas</t>
  </si>
  <si>
    <t>Vivek</t>
  </si>
  <si>
    <t>Shandas</t>
  </si>
  <si>
    <t>Urban Ecology, Spatial Analysis, including Participatory Processes; Water Resources; Interdisciplinary Education</t>
  </si>
  <si>
    <t>Manuel</t>
  </si>
  <si>
    <t>Rodriguez</t>
  </si>
  <si>
    <t>Sonia Hirt</t>
  </si>
  <si>
    <t>Sonia</t>
  </si>
  <si>
    <t>Hirt</t>
  </si>
  <si>
    <t>Land Use Policy &amp; Planning, Urban Form, Sustainable Metropolitan Development, Comparative/International Planning</t>
  </si>
  <si>
    <t>California State Polytechnic University, Pomona</t>
  </si>
  <si>
    <t>Willson</t>
  </si>
  <si>
    <t>Planning Theory, Transportation Planning, Policy Analysis</t>
  </si>
  <si>
    <t>Shannon</t>
  </si>
  <si>
    <t>Zandt</t>
  </si>
  <si>
    <t>Sustainability and Housing and Community Development</t>
  </si>
  <si>
    <t>Philip Stoker</t>
  </si>
  <si>
    <t>Stoker</t>
  </si>
  <si>
    <t>Steve</t>
  </si>
  <si>
    <t>Hankey</t>
  </si>
  <si>
    <t>Transportation, Air Pollution, Climate Change, Environment and Health</t>
  </si>
  <si>
    <t>Eric Klopfer</t>
  </si>
  <si>
    <t>University of Wisconsin</t>
  </si>
  <si>
    <t>Klopfer</t>
  </si>
  <si>
    <t>Science Education, Teacher Training, Educational Technology, Biology</t>
  </si>
  <si>
    <t>Amy</t>
  </si>
  <si>
    <t>Glasmeier</t>
  </si>
  <si>
    <t>Geography and Regional Economic Development; Poverty</t>
  </si>
  <si>
    <t>Cherie Westbrook</t>
  </si>
  <si>
    <t>Cherie</t>
  </si>
  <si>
    <t>Westbrook</t>
  </si>
  <si>
    <t>Mark Roseland</t>
  </si>
  <si>
    <t>Roseland</t>
  </si>
  <si>
    <t>Alexander Buyantuev</t>
  </si>
  <si>
    <t>Alexander</t>
  </si>
  <si>
    <t>Buyantuev</t>
  </si>
  <si>
    <t>Alvaro Huerta</t>
  </si>
  <si>
    <t>Alvaro</t>
  </si>
  <si>
    <t>Huerta</t>
  </si>
  <si>
    <t>Elizabeth Brabec</t>
  </si>
  <si>
    <t>Brabec</t>
  </si>
  <si>
    <t>Research interests are focused on land conservation and design and planning of sustainable open space, complemented with a strong interest in culture and the historical basis of landscape form</t>
  </si>
  <si>
    <t>Brent</t>
  </si>
  <si>
    <t>Urban Design and Development, Urban Revitalization.</t>
  </si>
  <si>
    <t>Roxane Lavoie</t>
  </si>
  <si>
    <t>Roxane</t>
  </si>
  <si>
    <t>Lavoie</t>
  </si>
  <si>
    <t>Timothy Beatley</t>
  </si>
  <si>
    <t>Beatley</t>
  </si>
  <si>
    <t>Sustainability, Environmental Planning, Food Systems, Natural Resource Planning</t>
  </si>
  <si>
    <t>Carrie Makarewicz</t>
  </si>
  <si>
    <t>Carrie</t>
  </si>
  <si>
    <t>Makarewicz</t>
  </si>
  <si>
    <t>Community Development, Urban School Reform, Transport Equity, Location Decisions, Sustainable Economic Development Strategies.</t>
  </si>
  <si>
    <t>Jan Whittington</t>
  </si>
  <si>
    <t>Jan</t>
  </si>
  <si>
    <t>Infrastructure Development and Management, Transportation Project Delivery</t>
  </si>
  <si>
    <t>Howell</t>
  </si>
  <si>
    <t>Jeff Birchall</t>
  </si>
  <si>
    <t>Jeff</t>
  </si>
  <si>
    <t>Birchall</t>
  </si>
  <si>
    <t>Lucie Laurian</t>
  </si>
  <si>
    <t>Lucie</t>
  </si>
  <si>
    <t>Laurian</t>
  </si>
  <si>
    <t>Urban and Environmental Planning, Plan Implementation, Public Participation in Environmental Decision Making, Demography: Population-Environment Interactions, Migration</t>
  </si>
  <si>
    <t>Luna Khirfan</t>
  </si>
  <si>
    <t>Luna</t>
  </si>
  <si>
    <t>Khirfan</t>
  </si>
  <si>
    <t>Urban design and place making, International development and comparative planning, Participatory planning, Historic preservation and cultural resource management, Museum studies</t>
  </si>
  <si>
    <t>Nicola Ulibarri</t>
  </si>
  <si>
    <t>Nicola</t>
  </si>
  <si>
    <t>Ulibarri</t>
  </si>
  <si>
    <t>Andre Sorensen</t>
  </si>
  <si>
    <t>Andre</t>
  </si>
  <si>
    <t>Sorensen</t>
  </si>
  <si>
    <t>David Bieri</t>
  </si>
  <si>
    <t>Bieri</t>
  </si>
  <si>
    <t>Real Estate Finance, Urban Economics</t>
  </si>
  <si>
    <t>Jonathan Moore</t>
  </si>
  <si>
    <t>Jonathan</t>
  </si>
  <si>
    <t>Moore</t>
  </si>
  <si>
    <t>David Tulloch</t>
  </si>
  <si>
    <t>Tulloch</t>
  </si>
  <si>
    <t>Geographic Information Systems, Regional Design</t>
  </si>
  <si>
    <t>Jun Zhang</t>
  </si>
  <si>
    <t>Jun</t>
  </si>
  <si>
    <t>Zhang</t>
  </si>
  <si>
    <t>Arlie Adkins</t>
  </si>
  <si>
    <t>Arlie</t>
  </si>
  <si>
    <t>Adkins</t>
  </si>
  <si>
    <t>Sébastien Lord</t>
  </si>
  <si>
    <t>Sébastien</t>
  </si>
  <si>
    <t>Lord</t>
  </si>
  <si>
    <t>Forster Ndubisi</t>
  </si>
  <si>
    <t>Forster</t>
  </si>
  <si>
    <t>Ndubisi</t>
  </si>
  <si>
    <t>Growth Management, Ecological Design and Planning, Community Design</t>
  </si>
  <si>
    <t>Suwan Shen</t>
  </si>
  <si>
    <t>Suwan</t>
  </si>
  <si>
    <t>Shen</t>
  </si>
  <si>
    <t>Jason Reece</t>
  </si>
  <si>
    <t>Reece</t>
  </si>
  <si>
    <t>Lorie Higgins</t>
  </si>
  <si>
    <t>Washington State University</t>
  </si>
  <si>
    <t>Lorie</t>
  </si>
  <si>
    <t>Higgins</t>
  </si>
  <si>
    <t>Rural Communities and Natural Resource Decision Making</t>
  </si>
  <si>
    <t>Alexandre Lebel</t>
  </si>
  <si>
    <t>Alexandre</t>
  </si>
  <si>
    <t>Lebel</t>
  </si>
  <si>
    <t>Carolyn Ball</t>
  </si>
  <si>
    <t>University of Southern Maine</t>
  </si>
  <si>
    <t>Carolyn</t>
  </si>
  <si>
    <t>Ball</t>
  </si>
  <si>
    <t>Haifeng Qian</t>
  </si>
  <si>
    <t>George Mason University</t>
  </si>
  <si>
    <t>Haifeng</t>
  </si>
  <si>
    <t>Qian</t>
  </si>
  <si>
    <t>Economic Development, GIS.</t>
  </si>
  <si>
    <t>Michael Kuby</t>
  </si>
  <si>
    <t>Boston University</t>
  </si>
  <si>
    <t>Kuby</t>
  </si>
  <si>
    <t>Economic, Location Analysis, Energy, Transportation, Mathematical Models.</t>
  </si>
  <si>
    <t>Yiping Fang</t>
  </si>
  <si>
    <t>Yiping</t>
  </si>
  <si>
    <t>Fang</t>
  </si>
  <si>
    <t>International Planning, Housing, GIS</t>
  </si>
  <si>
    <t>Alessandro Rigolon</t>
  </si>
  <si>
    <t>Alessandro</t>
  </si>
  <si>
    <t>Rigolon</t>
  </si>
  <si>
    <t>Dyana Mason</t>
  </si>
  <si>
    <t>Dyana</t>
  </si>
  <si>
    <t>Mason</t>
  </si>
  <si>
    <t>Mattijs</t>
  </si>
  <si>
    <t>van</t>
  </si>
  <si>
    <t>Maasakkers</t>
  </si>
  <si>
    <t>Environmental Planning, Ecosytem Services, Conflict Resolution</t>
  </si>
  <si>
    <t>Galen</t>
  </si>
  <si>
    <t>Carrie Mitchell</t>
  </si>
  <si>
    <t>Mitchell</t>
  </si>
  <si>
    <t>Walter Nicholls</t>
  </si>
  <si>
    <t>Nicholls</t>
  </si>
  <si>
    <t>Eric Bardenhagen</t>
  </si>
  <si>
    <t>Bardenhagen</t>
  </si>
  <si>
    <t>Nathan McClintock</t>
  </si>
  <si>
    <t>Nathan</t>
  </si>
  <si>
    <t>McClintock</t>
  </si>
  <si>
    <t>urban agriculture, food systems, urban political ecology, urban geography</t>
  </si>
  <si>
    <t>Francesca Ammon</t>
  </si>
  <si>
    <t>Yale University</t>
  </si>
  <si>
    <t>Francesca</t>
  </si>
  <si>
    <t>Ammon</t>
  </si>
  <si>
    <t>Urban History, Built Forms.</t>
  </si>
  <si>
    <t>Kanishka Goonewardena</t>
  </si>
  <si>
    <t>Kanishka</t>
  </si>
  <si>
    <t>Goonewardena</t>
  </si>
  <si>
    <t>Cultural Studies, Urban Planning Theory, Globalization</t>
  </si>
  <si>
    <t>Marisa Zapata</t>
  </si>
  <si>
    <t>Marisa</t>
  </si>
  <si>
    <t>Zapata</t>
  </si>
  <si>
    <t>Participatory Planning Processes, Land Use Planning, Culutral Diversity</t>
  </si>
  <si>
    <t>Community and Economic Development, Housing, Planning and Social Policy, Racial Economic Inequality, Urban Studies.</t>
  </si>
  <si>
    <t>Revel Sims</t>
  </si>
  <si>
    <t>Revel</t>
  </si>
  <si>
    <t>Sims</t>
  </si>
  <si>
    <t>Gary Austin</t>
  </si>
  <si>
    <t>Landscape Architectural History, Urban Design, Landscape Architecture Construction</t>
  </si>
  <si>
    <t>Michael Smart</t>
  </si>
  <si>
    <t>Smart</t>
  </si>
  <si>
    <t>How Social Networks Influence Activity Patterns in Neighborhoods, Urban Modeling and Simulation, and Geographic Information Science.</t>
  </si>
  <si>
    <t>Claude Lavoie</t>
  </si>
  <si>
    <t>Claude</t>
  </si>
  <si>
    <t>Jonn Axsen</t>
  </si>
  <si>
    <t>Jonn</t>
  </si>
  <si>
    <t>Axsen</t>
  </si>
  <si>
    <t>Bryce Lowery</t>
  </si>
  <si>
    <t>University of Oklahoma</t>
  </si>
  <si>
    <t>University of Southern California</t>
  </si>
  <si>
    <t>Bryce</t>
  </si>
  <si>
    <t>Lowery</t>
  </si>
  <si>
    <t>Environmental Planning, Geo-Design, Public Health, Spatial Inequality</t>
  </si>
  <si>
    <t>David Wachsmuth</t>
  </si>
  <si>
    <t>Wachsmuth</t>
  </si>
  <si>
    <t>Sheldon Krimsky</t>
  </si>
  <si>
    <t>Sheldon</t>
  </si>
  <si>
    <t>Krimsky</t>
  </si>
  <si>
    <t>Environmental Policy and Ethics</t>
  </si>
  <si>
    <t>Spencer</t>
  </si>
  <si>
    <t>International Development Planning, Infrastructure and Urban Services Planning, Political Economy, Urban Labor Markets Policy.</t>
  </si>
  <si>
    <t>Wayne State University</t>
  </si>
  <si>
    <t>Loh</t>
  </si>
  <si>
    <t>Land Use, Growth Management, Planning Methods, GIS</t>
  </si>
  <si>
    <t>Louis Merlin</t>
  </si>
  <si>
    <t>Louis</t>
  </si>
  <si>
    <t>Merlin</t>
  </si>
  <si>
    <t>Stephanie Frank</t>
  </si>
  <si>
    <t>Stephanie</t>
  </si>
  <si>
    <t>Martin Bunch</t>
  </si>
  <si>
    <t>Bunch</t>
  </si>
  <si>
    <t>Paul Smoke</t>
  </si>
  <si>
    <t>New York University</t>
  </si>
  <si>
    <t>Smoke</t>
  </si>
  <si>
    <t>Public Finance and Management, Public Finance Reform, Urban/Regional Economics, International Economic Development.</t>
  </si>
  <si>
    <t>Anastasia Loukaitou-Sideris</t>
  </si>
  <si>
    <t>Anastasia</t>
  </si>
  <si>
    <t>Loukaitou-Sideris</t>
  </si>
  <si>
    <t>Physical Planning, Urban Design, Planning History, Public Environment of the City, Privatization of Public Space, Safety and Security in Inner City Areas and Bus Stop Crime</t>
  </si>
  <si>
    <t>Bonnie Johnson</t>
  </si>
  <si>
    <t>Bonnie</t>
  </si>
  <si>
    <t>Land Use Planning, Planning Practice and Democracy, Organization Behavior</t>
  </si>
  <si>
    <t>Simpson</t>
  </si>
  <si>
    <t>Environmental Planning, Citizen Participation, Conflict Management</t>
  </si>
  <si>
    <t>Chris Tilly</t>
  </si>
  <si>
    <t>Chris</t>
  </si>
  <si>
    <t>Tilly</t>
  </si>
  <si>
    <t>Work and labor markets, poverty and inequality, community and regional development, social movements; His research focuses on the US and Mexico, with some broader comparative work; Also Director, Institute for Research on Labor and Employment</t>
  </si>
  <si>
    <t>Jean Morin</t>
  </si>
  <si>
    <t>Jean</t>
  </si>
  <si>
    <t>Morin</t>
  </si>
  <si>
    <t>Carissa</t>
  </si>
  <si>
    <t>Schively</t>
  </si>
  <si>
    <t>Slotterback</t>
  </si>
  <si>
    <t>Environmental Planning, Land Use Planning, Planning &amp; Public Processes, Sustainable Development</t>
  </si>
  <si>
    <t>Mariana Arcaya</t>
  </si>
  <si>
    <t>Mariana</t>
  </si>
  <si>
    <t>Arcaya</t>
  </si>
  <si>
    <t>University of Connecticut</t>
  </si>
  <si>
    <t>Marie</t>
  </si>
  <si>
    <t>Hartman</t>
  </si>
  <si>
    <t>Plant Ecology, Ecological Design</t>
  </si>
  <si>
    <t>Ivis</t>
  </si>
  <si>
    <t>Garcia</t>
  </si>
  <si>
    <t>Zambrana</t>
  </si>
  <si>
    <t>Jeffrey Doshna</t>
  </si>
  <si>
    <t>Temple University</t>
  </si>
  <si>
    <t>Doshna</t>
  </si>
  <si>
    <t>Stephen Goldsmith</t>
  </si>
  <si>
    <t>Goldsmith</t>
  </si>
  <si>
    <t>Lynn Mandarano</t>
  </si>
  <si>
    <t>Lynn</t>
  </si>
  <si>
    <t>Mandarano</t>
  </si>
  <si>
    <t>Collaborative Planning Negotiations, Sustainable Communities</t>
  </si>
  <si>
    <t>Robert Fishman</t>
  </si>
  <si>
    <t>Fishman</t>
  </si>
  <si>
    <t>Sarah Hinners</t>
  </si>
  <si>
    <t>University of Colorado</t>
  </si>
  <si>
    <t>Sarah</t>
  </si>
  <si>
    <t>Hinners</t>
  </si>
  <si>
    <t>Leah Meisterlin</t>
  </si>
  <si>
    <t>Leah</t>
  </si>
  <si>
    <t>Meisterlin</t>
  </si>
  <si>
    <t>Pierre Filion</t>
  </si>
  <si>
    <t>University of Kent, Canterbury</t>
  </si>
  <si>
    <t>Pierre</t>
  </si>
  <si>
    <t>Filion</t>
  </si>
  <si>
    <t>Downtown and inner city planning, Metropolitan region planning, Land use transportation interaction</t>
  </si>
  <si>
    <t>Theresa Garvin</t>
  </si>
  <si>
    <t>McMaster University</t>
  </si>
  <si>
    <t>Theresa</t>
  </si>
  <si>
    <t>Garvin</t>
  </si>
  <si>
    <t>Orly Linovski</t>
  </si>
  <si>
    <t>University of Manitoba</t>
  </si>
  <si>
    <t>Orly</t>
  </si>
  <si>
    <t>Linovski</t>
  </si>
  <si>
    <t>Pamela Robinson</t>
  </si>
  <si>
    <t>Pamela</t>
  </si>
  <si>
    <t>Robinson</t>
  </si>
  <si>
    <t>Urban Sustainability, Environmental Design, Environmental Planning, Urban Governance, Public Engagement and Progressive Pedagogy</t>
  </si>
  <si>
    <t>David King</t>
  </si>
  <si>
    <t>King</t>
  </si>
  <si>
    <t>Mohammad Gharipour</t>
  </si>
  <si>
    <t>Mohammad</t>
  </si>
  <si>
    <t>Gharipour</t>
  </si>
  <si>
    <t>Jerry Zhao</t>
  </si>
  <si>
    <t>Jerry</t>
  </si>
  <si>
    <t>Jean Dubé</t>
  </si>
  <si>
    <t>Dubé</t>
  </si>
  <si>
    <t>Shima Hamidi</t>
  </si>
  <si>
    <t>Shima</t>
  </si>
  <si>
    <t>Hamidi</t>
  </si>
  <si>
    <t>Guoping Huang</t>
  </si>
  <si>
    <t>Guoping</t>
  </si>
  <si>
    <t>Digital Visualization, Geographic Information Systems, Alternative Futures Studies</t>
  </si>
  <si>
    <t>Emil Malizia</t>
  </si>
  <si>
    <t>Emil</t>
  </si>
  <si>
    <t>Malizia</t>
  </si>
  <si>
    <t>Real Estate Development, Development Finance, Economic Development, Urban Redevelopment, Public Health &amp; Safety</t>
  </si>
  <si>
    <t>Claremont Graduate School</t>
  </si>
  <si>
    <t>Rodolfo</t>
  </si>
  <si>
    <t>Torres</t>
  </si>
  <si>
    <t>Patricia Collins</t>
  </si>
  <si>
    <t>Patricia</t>
  </si>
  <si>
    <t>Collins</t>
  </si>
  <si>
    <t>Andrew Whittemore</t>
  </si>
  <si>
    <t>Whittemore</t>
  </si>
  <si>
    <t>History and Theory of the Built Environment in Western Societies, Planning History in the United States and Europe, Land Use Planning in the United States</t>
  </si>
  <si>
    <t>Amber Woodburn</t>
  </si>
  <si>
    <t>Amber</t>
  </si>
  <si>
    <t>Woodburn</t>
  </si>
  <si>
    <t>Laura Harjo</t>
  </si>
  <si>
    <t>Harjo</t>
  </si>
  <si>
    <t>Community Development, Public Participation, Geographic Information Systems, Social Media.</t>
  </si>
  <si>
    <t>Steven Handel</t>
  </si>
  <si>
    <t>Handel</t>
  </si>
  <si>
    <t>Ana</t>
  </si>
  <si>
    <t>Pimentel</t>
  </si>
  <si>
    <t>Urban Planning in Developing Countries, Environmental Planning, Master’s Capstone Projects.</t>
  </si>
  <si>
    <t>Zeenat Kotval-Karamchandani</t>
  </si>
  <si>
    <t>Zeenat</t>
  </si>
  <si>
    <t>Kotval-Karamchandani</t>
  </si>
  <si>
    <t>Damian Collins</t>
  </si>
  <si>
    <t>Housing and Homelessness, Public Space.</t>
  </si>
  <si>
    <t>Greg Newmark</t>
  </si>
  <si>
    <t>Kansas State University</t>
  </si>
  <si>
    <t>Newmark</t>
  </si>
  <si>
    <t>Carolyn McAndrews</t>
  </si>
  <si>
    <t>McAndrews</t>
  </si>
  <si>
    <t>Transportation Planning, Policy, and Design, Comparative International Development and Transportation, Public Participation, Public Health, Safety, and the Social Determinants of Health.</t>
  </si>
  <si>
    <t>Jason Hackworth</t>
  </si>
  <si>
    <t>Hackworth</t>
  </si>
  <si>
    <t>Emma Aguila</t>
  </si>
  <si>
    <t>Emma</t>
  </si>
  <si>
    <t>Aguila</t>
  </si>
  <si>
    <t>Suzanne</t>
  </si>
  <si>
    <t>Lanyi</t>
  </si>
  <si>
    <t>Charles</t>
  </si>
  <si>
    <t>Kathy Quick</t>
  </si>
  <si>
    <t>Kathy</t>
  </si>
  <si>
    <t>Quick</t>
  </si>
  <si>
    <t>Kimberley Kinder</t>
  </si>
  <si>
    <t>Kimberley</t>
  </si>
  <si>
    <t>Kinder</t>
  </si>
  <si>
    <t>Grant</t>
  </si>
  <si>
    <t>American University</t>
  </si>
  <si>
    <t>Fritz</t>
  </si>
  <si>
    <t>Community Development, Environmental Justice, Mediation and Facilitation of Organizational and Public Policy Disputes</t>
  </si>
  <si>
    <t>Francois Proulx</t>
  </si>
  <si>
    <t>Francois</t>
  </si>
  <si>
    <t>Proulx</t>
  </si>
  <si>
    <t>Tenley Conway</t>
  </si>
  <si>
    <t>Tenley</t>
  </si>
  <si>
    <t>Conway</t>
  </si>
  <si>
    <t>Raymond Asomani-Boateng</t>
  </si>
  <si>
    <t>Minnesota State University, Mankato</t>
  </si>
  <si>
    <t>Raymond</t>
  </si>
  <si>
    <t>Asomani-Boateng</t>
  </si>
  <si>
    <t>Environmental Planning, GIS, Planning Process</t>
  </si>
  <si>
    <t>Ming Zhang</t>
  </si>
  <si>
    <t>Ming</t>
  </si>
  <si>
    <t>Urban Transportation Planning, Urban Form and Travel Behavior, GIS Applications in Planning, International Planning</t>
  </si>
  <si>
    <t>University of Northern British Columbia</t>
  </si>
  <si>
    <t>Ian</t>
  </si>
  <si>
    <t>Daniel Rodriguez</t>
  </si>
  <si>
    <t>Transportation &amp; Land Use Policy, Urban Spatial Structure, Traveler Behavior, Public Health &amp; Safety</t>
  </si>
  <si>
    <t>Dougherty</t>
  </si>
  <si>
    <t>Local Government Finance, Administration, and Management.</t>
  </si>
  <si>
    <t>David Pijawka</t>
  </si>
  <si>
    <t>Pijawka</t>
  </si>
  <si>
    <t>Susanna</t>
  </si>
  <si>
    <t>Hecht</t>
  </si>
  <si>
    <t>Koven</t>
  </si>
  <si>
    <t>Amir Hajrasouliha</t>
  </si>
  <si>
    <t>Amir</t>
  </si>
  <si>
    <t>Hajrasouliha</t>
  </si>
  <si>
    <t>William Bowen</t>
  </si>
  <si>
    <t>Indiana University</t>
  </si>
  <si>
    <t>William</t>
  </si>
  <si>
    <t>Bowen</t>
  </si>
  <si>
    <t>Robin Ersing</t>
  </si>
  <si>
    <t>University of New York, Buffalo</t>
  </si>
  <si>
    <t>Robin</t>
  </si>
  <si>
    <t>Ersing</t>
  </si>
  <si>
    <t>Jason Charalambides</t>
  </si>
  <si>
    <t>Charalambides</t>
  </si>
  <si>
    <t>Joseph Ferreira</t>
  </si>
  <si>
    <t>Joseph</t>
  </si>
  <si>
    <t>Ferreira</t>
  </si>
  <si>
    <t>Urban Spatial Structure, Geographic Information Systems, Community Statistical Systems, Planning Support Systems</t>
  </si>
  <si>
    <t>University of Missouri-Columbia</t>
  </si>
  <si>
    <t>Water Resources Management and Policy, Global Environmental Change, Ethics and the Environment, Adaptive Management and Sustainable Development</t>
  </si>
  <si>
    <t>Susannah Bunce</t>
  </si>
  <si>
    <t>Susannah</t>
  </si>
  <si>
    <t>Bunce</t>
  </si>
  <si>
    <t>Aaron Rollins</t>
  </si>
  <si>
    <t>Rollins</t>
  </si>
  <si>
    <t>Abel Valenzuela</t>
  </si>
  <si>
    <t>Abel</t>
  </si>
  <si>
    <t>Valenzuela</t>
  </si>
  <si>
    <t>Abhinav Alakshendra</t>
  </si>
  <si>
    <t>Abhinav</t>
  </si>
  <si>
    <t>Alakshendra</t>
  </si>
  <si>
    <t>Economics, Development Economics, Housing Policy, Transportation, Urban and Regional Economics.</t>
  </si>
  <si>
    <t>Abuduwasiti Wulamu</t>
  </si>
  <si>
    <t>Abuduwasiti</t>
  </si>
  <si>
    <t>Wulamu</t>
  </si>
  <si>
    <t>Santos</t>
  </si>
  <si>
    <t>Adrienne Greve</t>
  </si>
  <si>
    <t>Adrienne</t>
  </si>
  <si>
    <t>Greve</t>
  </si>
  <si>
    <t>Urban Ecology, Planning and Climate Change, Urban Hydrology and Stormwater</t>
  </si>
  <si>
    <t>Ahmed Allahwala</t>
  </si>
  <si>
    <t>Allahwala</t>
  </si>
  <si>
    <t>Ahsan</t>
  </si>
  <si>
    <t>Habib</t>
  </si>
  <si>
    <t>Ajay Agarwal</t>
  </si>
  <si>
    <t>Ajay</t>
  </si>
  <si>
    <t>Agarwal</t>
  </si>
  <si>
    <t>Garde</t>
  </si>
  <si>
    <t>Urban Design, Urban Form, Sustainable Growth, Physical Planning</t>
  </si>
  <si>
    <t>Berger</t>
  </si>
  <si>
    <t>landscape and urbanization</t>
  </si>
  <si>
    <t>Alan Walks</t>
  </si>
  <si>
    <t>Walks</t>
  </si>
  <si>
    <t>Alan Weinstein</t>
  </si>
  <si>
    <t>Alana Boland</t>
  </si>
  <si>
    <t>Alana</t>
  </si>
  <si>
    <t>Boland</t>
  </si>
  <si>
    <t>Alberto Fuentes</t>
  </si>
  <si>
    <t>Gershberg</t>
  </si>
  <si>
    <t>Education Policy, International Development, Public Finance</t>
  </si>
  <si>
    <t>Alenka</t>
  </si>
  <si>
    <t>Alex Bigazzi</t>
  </si>
  <si>
    <t>Bigazzi</t>
  </si>
  <si>
    <t>Alex Krieger</t>
  </si>
  <si>
    <t>Physical Planning/Urban Design, Housing and Neighborhood Planning, Metropolitan/Regional Planning.</t>
  </si>
  <si>
    <t>Alexander D'Hooghe</t>
  </si>
  <si>
    <t>D'Hooghe</t>
  </si>
  <si>
    <t>Alexander Karner</t>
  </si>
  <si>
    <t>Alexandra Flynn</t>
  </si>
  <si>
    <t>Alexandra</t>
  </si>
  <si>
    <t>Flynn</t>
  </si>
  <si>
    <t>Alfred</t>
  </si>
  <si>
    <t>Price</t>
  </si>
  <si>
    <t>Housing Planning and Policy, Community Development, Real Estate Finance, Brownfield Redevelopment</t>
  </si>
  <si>
    <t>Alina Gross</t>
  </si>
  <si>
    <t>Alison</t>
  </si>
  <si>
    <t>Smith</t>
  </si>
  <si>
    <t>Allan</t>
  </si>
  <si>
    <t>Shearer</t>
  </si>
  <si>
    <t>Allie Thomas</t>
  </si>
  <si>
    <t>Amrita Daniere</t>
  </si>
  <si>
    <t>Amrita</t>
  </si>
  <si>
    <t>Daniere</t>
  </si>
  <si>
    <t>Urban Infrastructure in Developing Countries, Social Capital, Civic Space</t>
  </si>
  <si>
    <t>Amrita Singh</t>
  </si>
  <si>
    <t>Singh</t>
  </si>
  <si>
    <t>Amy Hillier</t>
  </si>
  <si>
    <t>Hillier</t>
  </si>
  <si>
    <t>GIS, Public Health</t>
  </si>
  <si>
    <t>Ananya Roy</t>
  </si>
  <si>
    <t>Ananya</t>
  </si>
  <si>
    <t>Roy</t>
  </si>
  <si>
    <t>Comparative Urban Studies, Global Poverty &amp; Practice, International Development, Social Theory</t>
  </si>
  <si>
    <t>Andrea Roberts</t>
  </si>
  <si>
    <t>Andrei Lapenas</t>
  </si>
  <si>
    <t>Andrei</t>
  </si>
  <si>
    <t>Lapenas</t>
  </si>
  <si>
    <t>Andrew Kliskey</t>
  </si>
  <si>
    <t>University of Otago, New Zealand</t>
  </si>
  <si>
    <t>Kliskey</t>
  </si>
  <si>
    <t>Socialecological, Landscape Ecology, Behavioral and Perceptual Geography.</t>
  </si>
  <si>
    <t>Andrew Sanderford</t>
  </si>
  <si>
    <t>Sanderford</t>
  </si>
  <si>
    <t>Real Estate Development and Finance, Urban Policy and Environmental Planning, Land Development, Sustainable Housing Construction, Impact of market behavior on the adoption and diffusion of innovative green building technologies.</t>
  </si>
  <si>
    <t>Andrew Seidel</t>
  </si>
  <si>
    <t>Seidel</t>
  </si>
  <si>
    <t>Andrzej Zarzycki</t>
  </si>
  <si>
    <t>Anette Freytag</t>
  </si>
  <si>
    <t>Anette</t>
  </si>
  <si>
    <t>Freytag</t>
  </si>
  <si>
    <t>Anna Joo Kim</t>
  </si>
  <si>
    <t>Anna</t>
  </si>
  <si>
    <t>Joo</t>
  </si>
  <si>
    <t>Community and Economic Development, Race and Migration in the Global City, Informal Labor Markets, Environmental Justice.</t>
  </si>
  <si>
    <t>Anna Livia Brand</t>
  </si>
  <si>
    <t>Livia</t>
  </si>
  <si>
    <t>Brand</t>
  </si>
  <si>
    <t>City/Community Design, Development and Resiliency, Urban Sociology.</t>
  </si>
  <si>
    <t>AnnaLee Saxenian</t>
  </si>
  <si>
    <t>Salomon</t>
  </si>
  <si>
    <t>Annette</t>
  </si>
  <si>
    <t>Anthony Middlebrooks</t>
  </si>
  <si>
    <t>Anton</t>
  </si>
  <si>
    <t>Nelessen</t>
  </si>
  <si>
    <t>Design for New Communities, Visual Perception, Communication of Planning Theory and Practice, and Threedimensional Environmental Simulation.</t>
  </si>
  <si>
    <t>Antonio Raciti</t>
  </si>
  <si>
    <t>University of Memphis</t>
  </si>
  <si>
    <t>University of Catania</t>
  </si>
  <si>
    <t>Antonio</t>
  </si>
  <si>
    <t>Raciti</t>
  </si>
  <si>
    <t>Urban Planning, Community Development, and Urban Design.</t>
  </si>
  <si>
    <t>April Jackson</t>
  </si>
  <si>
    <t>April</t>
  </si>
  <si>
    <t>Jackson</t>
  </si>
  <si>
    <t>Archana Sharma</t>
  </si>
  <si>
    <t>Archana</t>
  </si>
  <si>
    <t>Sharma</t>
  </si>
  <si>
    <t>Ardeshir Anjomani</t>
  </si>
  <si>
    <t>Ardeshir</t>
  </si>
  <si>
    <t>Anjomani</t>
  </si>
  <si>
    <t>Urban Development, Physical Planning and Urban Design, Environmental and Land Suitability Analysis, Integrated Land-Use Transportation Planning, and Community Revitalization and Economic Development</t>
  </si>
  <si>
    <t>Ariel Bierbaum</t>
  </si>
  <si>
    <t>Arnab Chakraborty</t>
  </si>
  <si>
    <t>Arnab</t>
  </si>
  <si>
    <t>Chakraborty</t>
  </si>
  <si>
    <t>Land Use, Scenario Planning, Participatory Planning, Smart Growth</t>
  </si>
  <si>
    <t>Ashley Steffens</t>
  </si>
  <si>
    <t>Ashok Das</t>
  </si>
  <si>
    <t>Ashok</t>
  </si>
  <si>
    <t>Das</t>
  </si>
  <si>
    <t>Community Participation, Slum Upgrading, Community Managed Microfinance and Disaster Preparedness and Mitigation</t>
  </si>
  <si>
    <t>Avi Akkerman</t>
  </si>
  <si>
    <t>Avi</t>
  </si>
  <si>
    <t>Akkerman</t>
  </si>
  <si>
    <t>Avis</t>
  </si>
  <si>
    <t>Vidal</t>
  </si>
  <si>
    <t>Community Development, Housing &amp; Neighborhood Planning, Economic Development, Real Estate Development, Citizen Participation/Community Organization</t>
  </si>
  <si>
    <t>Avrum</t>
  </si>
  <si>
    <t>Shriar</t>
  </si>
  <si>
    <t>Environmental Planning, Rural Development Policy &amp; Planning</t>
  </si>
  <si>
    <t>Ayse Yonder</t>
  </si>
  <si>
    <t>Pratt Institute</t>
  </si>
  <si>
    <t>Ayse</t>
  </si>
  <si>
    <t>Yonder</t>
  </si>
  <si>
    <t>Community Development, Gender and Planning, Disaster Mitigation, Urban Land and Housing in Developing Countries</t>
  </si>
  <si>
    <t>Balakrishnan Rajagopal</t>
  </si>
  <si>
    <t>Balakrishnan</t>
  </si>
  <si>
    <t>Human Rights, Property and Land Use Law, Displacement and Resettlement, Globalization</t>
  </si>
  <si>
    <t>Barbara Faga</t>
  </si>
  <si>
    <t>Barbara Rahder</t>
  </si>
  <si>
    <t>Barbara</t>
  </si>
  <si>
    <t>Rahder</t>
  </si>
  <si>
    <t>Barbara Wilson</t>
  </si>
  <si>
    <t>Barry Checkoway</t>
  </si>
  <si>
    <t>Barry</t>
  </si>
  <si>
    <t>Checkoway</t>
  </si>
  <si>
    <t>Behrooz Kalantari</t>
  </si>
  <si>
    <t>Behrooz</t>
  </si>
  <si>
    <t>Kalantari</t>
  </si>
  <si>
    <t>Human Resource Management, Ethics, Organization Theory, Alternative Dispute Resolution, Strategic Planning, Government and Politics of the Middle East.</t>
  </si>
  <si>
    <t>Ben Clark</t>
  </si>
  <si>
    <t>Benjamin Ofori-Amoah</t>
  </si>
  <si>
    <t>Western Michigan University</t>
  </si>
  <si>
    <t>Benjamin</t>
  </si>
  <si>
    <t>Ofori-Amoah</t>
  </si>
  <si>
    <t>Economic Geography, Economic Development, Regional Development Planning, GIS, International Planning</t>
  </si>
  <si>
    <t>Benjamin Teresa</t>
  </si>
  <si>
    <t>Berneece Herbert</t>
  </si>
  <si>
    <t>Alabama A&amp;M University</t>
  </si>
  <si>
    <t>Berneece</t>
  </si>
  <si>
    <t>Herbert</t>
  </si>
  <si>
    <t>GIS, Environmental &amp; Economic Development Planning</t>
  </si>
  <si>
    <t>Hamline University</t>
  </si>
  <si>
    <t>Beth</t>
  </si>
  <si>
    <t>Wielde</t>
  </si>
  <si>
    <t>Heidelberg</t>
  </si>
  <si>
    <t>Urban Aesthetic, Historic Preservation, Design</t>
  </si>
  <si>
    <t>Bethany</t>
  </si>
  <si>
    <t>Stich</t>
  </si>
  <si>
    <t>Transportation Policy, Economic Development, Maritime and Rail Transportation Planning.</t>
  </si>
  <si>
    <t>Betsy Donald</t>
  </si>
  <si>
    <t>Queen's University</t>
  </si>
  <si>
    <t>Beverly</t>
  </si>
  <si>
    <t>Sandalack</t>
  </si>
  <si>
    <t>Bishwapriya Sanyal</t>
  </si>
  <si>
    <t>Bishwapriya</t>
  </si>
  <si>
    <t>Sanyal</t>
  </si>
  <si>
    <t>Development Planning, Informal Economy, Planning Theory.</t>
  </si>
  <si>
    <t>Texas Tech University</t>
  </si>
  <si>
    <t>Biswa</t>
  </si>
  <si>
    <t>R.</t>
  </si>
  <si>
    <t>Economic Development, Public Finance, Natural Resource and Environmental Economics.</t>
  </si>
  <si>
    <t>Bjorn Sletto</t>
  </si>
  <si>
    <t>Bjorn</t>
  </si>
  <si>
    <t>Sletto</t>
  </si>
  <si>
    <t>Geographic Information Systems, Planning in Latin America, Urban Environmental Analysis, Indigenous Cartographies</t>
  </si>
  <si>
    <t>Branden Born</t>
  </si>
  <si>
    <t>Branden</t>
  </si>
  <si>
    <t>Born</t>
  </si>
  <si>
    <t>Land Use, Food Systems Planning, Planning Process &amp; Social Justice</t>
  </si>
  <si>
    <t>Brenda Case Scheer</t>
  </si>
  <si>
    <t>Rice University</t>
  </si>
  <si>
    <t>Brenda</t>
  </si>
  <si>
    <t>Case</t>
  </si>
  <si>
    <t>Scheer</t>
  </si>
  <si>
    <t>Smart Growth, Urban Design, Urban Redevelopment, Sustainable Development</t>
  </si>
  <si>
    <t>Brenda Parker</t>
  </si>
  <si>
    <t>Parker</t>
  </si>
  <si>
    <t>Urban policy, urban governance, race, gender, qualitative methods, program, community activism</t>
  </si>
  <si>
    <t>Brian Conz</t>
  </si>
  <si>
    <t>Conz</t>
  </si>
  <si>
    <t>Brian Doucet</t>
  </si>
  <si>
    <t>Brian Stone</t>
  </si>
  <si>
    <t>Stone</t>
  </si>
  <si>
    <t>Environmental Planning, Urban Ecology, Land Use and Air Quality, Climate Change and Urban Heat Island</t>
  </si>
  <si>
    <t>Ohm</t>
  </si>
  <si>
    <t>Legal Framework for Land Use Planning, Growth Management and Environmental Protection, Smart Growth, New Urbanism</t>
  </si>
  <si>
    <t>Bruce Dvorak</t>
  </si>
  <si>
    <t>Bumseok</t>
  </si>
  <si>
    <t>Chun</t>
  </si>
  <si>
    <t>Burrell</t>
  </si>
  <si>
    <t>Montz</t>
  </si>
  <si>
    <t>Dempwolf</t>
  </si>
  <si>
    <t>Caitlin Dyckman</t>
  </si>
  <si>
    <t>Caitlin</t>
  </si>
  <si>
    <t>Dyckman</t>
  </si>
  <si>
    <t>Environmental Planning, Planning Law, Water Policy and Law, Land Use Planning Process</t>
  </si>
  <si>
    <t>Indiana University of Pennsylvania</t>
  </si>
  <si>
    <t>Calvin</t>
  </si>
  <si>
    <t>Masilela</t>
  </si>
  <si>
    <t>Land Use Policy, Planning Techniques, Planning Theory, Urban Planning</t>
  </si>
  <si>
    <t>Carl Amrhein</t>
  </si>
  <si>
    <t>Carl</t>
  </si>
  <si>
    <t>Amrhein</t>
  </si>
  <si>
    <t>Carla Chifos</t>
  </si>
  <si>
    <t>Carla</t>
  </si>
  <si>
    <t>Chifos</t>
  </si>
  <si>
    <t>Sustainable Development, Urban Environment, International Development</t>
  </si>
  <si>
    <t>Carlos Balsas</t>
  </si>
  <si>
    <t>Carlos</t>
  </si>
  <si>
    <t>Balsas</t>
  </si>
  <si>
    <t>Community Development and Neighborhood Planning, Sustainable Transportation Planning, Urban Revitalization, International Planning.</t>
  </si>
  <si>
    <t>University of Puerto Rico</t>
  </si>
  <si>
    <t>Carmen</t>
  </si>
  <si>
    <t>Concepción</t>
  </si>
  <si>
    <t>Carole Galante</t>
  </si>
  <si>
    <t>Caroline</t>
  </si>
  <si>
    <t>Scruggs</t>
  </si>
  <si>
    <t>Environmental Policy, Public Health, Stakeholder Analysis, Chemicals in consumer products.</t>
  </si>
  <si>
    <t>Carolyn Whitzman</t>
  </si>
  <si>
    <t>University of Melbourne</t>
  </si>
  <si>
    <t>Carsten Braun</t>
  </si>
  <si>
    <t>Carsten</t>
  </si>
  <si>
    <t>Braun</t>
  </si>
  <si>
    <t>Catherine</t>
  </si>
  <si>
    <t>Ross</t>
  </si>
  <si>
    <t>Metropolitan/ Regional Planning, Transportation, Politics &amp; Governance, Economic Development Planning, Real Estate Development</t>
  </si>
  <si>
    <t>T.</t>
  </si>
  <si>
    <t>Transportation Planning, Quantitative Methods &amp; Data Management, GIS, Freight</t>
  </si>
  <si>
    <t>Cecilia Giusti</t>
  </si>
  <si>
    <t>Cecilia</t>
  </si>
  <si>
    <t>Giusti</t>
  </si>
  <si>
    <t>Planning in Developing Countries, Economic Development</t>
  </si>
  <si>
    <t>Chang-Shan Huang</t>
  </si>
  <si>
    <t>Chang-Shan</t>
  </si>
  <si>
    <t>Community Design, Urban Design, and Landscape Architecture</t>
  </si>
  <si>
    <t>Chansheng He</t>
  </si>
  <si>
    <t>Connerly</t>
  </si>
  <si>
    <t>Housing, Community Development, Civil Rights, Planning History</t>
  </si>
  <si>
    <t>Charles Santo</t>
  </si>
  <si>
    <t>Santo</t>
  </si>
  <si>
    <t>Housing, Economic Development, Youth Participation</t>
  </si>
  <si>
    <t>Charles Warnken</t>
  </si>
  <si>
    <t>Warnken</t>
  </si>
  <si>
    <t>Economic Development, Land Use Planning</t>
  </si>
  <si>
    <t>Chengri Ding</t>
  </si>
  <si>
    <t>Chengri</t>
  </si>
  <si>
    <t>Ding</t>
  </si>
  <si>
    <t>GIS, Urban and Regional Economic Analysis, International Development Planning</t>
  </si>
  <si>
    <t>Christian</t>
  </si>
  <si>
    <t>Redfearn</t>
  </si>
  <si>
    <t>Christine Bae</t>
  </si>
  <si>
    <t>Christine</t>
  </si>
  <si>
    <t>Bae</t>
  </si>
  <si>
    <t>Land Use, Transportation Planning, Analytical Techniques in Planning, Community Planning for Diverse Neighborhoods</t>
  </si>
  <si>
    <t>Environmental Planning, Sustainable Development, Urban Development, Brownfield Redevelopment Policy &amp; Practice, Sustainability Reporting and Project Assessment, Parks &amp; Open Space.</t>
  </si>
  <si>
    <t>Christopher Auffrey</t>
  </si>
  <si>
    <t>Auffrey</t>
  </si>
  <si>
    <t>Healthy Urban Planning, Environmental Justice, Sustainable Development</t>
  </si>
  <si>
    <t>Christopher Bitter</t>
  </si>
  <si>
    <t>Bitter</t>
  </si>
  <si>
    <t>Real Estate, Urban Economics</t>
  </si>
  <si>
    <t>Christopher Silver</t>
  </si>
  <si>
    <t>Silver</t>
  </si>
  <si>
    <t>History of Urban and Regional Planning, International Development Planning, Community Development, Comparative International Perspective, Urban History</t>
  </si>
  <si>
    <t>Chukudi Izeogu</t>
  </si>
  <si>
    <t>Chukudi</t>
  </si>
  <si>
    <t>Izeogu</t>
  </si>
  <si>
    <t>Regional Economic Development Planning, Environmental Planning, Housing and Land Use Policy Evaluation and Planning, International Development Planning</t>
  </si>
  <si>
    <t>Clara</t>
  </si>
  <si>
    <t>Irazábal-Zurita</t>
  </si>
  <si>
    <t>Clarence Woudsma</t>
  </si>
  <si>
    <t>Clarence</t>
  </si>
  <si>
    <t>Woudsma</t>
  </si>
  <si>
    <t>Freight transportation and logistics - policy and practice, urban transportation policy issues, climate change and transportation, regulation/deregulation of transportation provision, urban freight planning and city logistics</t>
  </si>
  <si>
    <t>Claudia</t>
  </si>
  <si>
    <t>Isaac</t>
  </si>
  <si>
    <t>Community Development, Planning Theory, Latin American Planning, Gender and Development</t>
  </si>
  <si>
    <t>Clayton Howard</t>
  </si>
  <si>
    <t>Cliff Ellis</t>
  </si>
  <si>
    <t>Cliff</t>
  </si>
  <si>
    <t>Ellis</t>
  </si>
  <si>
    <t>Urban Design, New Urbanism, Site Planning</t>
  </si>
  <si>
    <t>Connie</t>
  </si>
  <si>
    <t>Ozawa</t>
  </si>
  <si>
    <t>Citizen Participation, Environmental Planning, Planning Theory, Negotiation and Conflict Management, Community Development</t>
  </si>
  <si>
    <t>Conrad</t>
  </si>
  <si>
    <t>Christiaan</t>
  </si>
  <si>
    <t>Kickert</t>
  </si>
  <si>
    <t>Cornelius Nuworsoo</t>
  </si>
  <si>
    <t>Cornelius</t>
  </si>
  <si>
    <t>Nuworsoo</t>
  </si>
  <si>
    <t>Transportation Engineering, Transportation and Land Use Planning, Quantitative Methods in Planning</t>
  </si>
  <si>
    <t>Courtney Knapp</t>
  </si>
  <si>
    <t>Courtney</t>
  </si>
  <si>
    <t>Knapp</t>
  </si>
  <si>
    <t>Craig Olwert</t>
  </si>
  <si>
    <t>Craig</t>
  </si>
  <si>
    <t>Olwert</t>
  </si>
  <si>
    <t>Urban Economics, Sustainability, Environmental Planning, City Form, GIS, Quantitative Methods</t>
  </si>
  <si>
    <t>Criseida Navarro-Diaz</t>
  </si>
  <si>
    <t>Criseida</t>
  </si>
  <si>
    <t>Navarro-Diaz</t>
  </si>
  <si>
    <t>Curtis Winkle</t>
  </si>
  <si>
    <t>Curtis</t>
  </si>
  <si>
    <t>Winkle</t>
  </si>
  <si>
    <t>Community Development, Gender Studies and Planning, Social Policy/ Human Services</t>
  </si>
  <si>
    <t>Dana Cuff</t>
  </si>
  <si>
    <t>Dana</t>
  </si>
  <si>
    <t>Cuff</t>
  </si>
  <si>
    <t>Tsinghua University</t>
  </si>
  <si>
    <t>Abramson</t>
  </si>
  <si>
    <t>Daniel DeCaro</t>
  </si>
  <si>
    <t>Daniel D'Oca</t>
  </si>
  <si>
    <t>D'Oca</t>
  </si>
  <si>
    <t>Hammel</t>
  </si>
  <si>
    <t>Community and Economic Development Planning, Urban and Regional Economics, Housing</t>
  </si>
  <si>
    <t>Daniel Piatkowski</t>
  </si>
  <si>
    <t>University of Nebraska</t>
  </si>
  <si>
    <t>Piatkowski</t>
  </si>
  <si>
    <t>Spatial Analysis and Geographic Information System, Transportation Planning, Environmental Planning and Planning History and Theory.</t>
  </si>
  <si>
    <t>Daniele Spirandelli</t>
  </si>
  <si>
    <t>Daniele</t>
  </si>
  <si>
    <t>Spirandelli</t>
  </si>
  <si>
    <t>Coupled Urban-ecosystems Coastal Environments, Coastal Ecosystem Services, Patterns of Urban Development &amp; Wastewater Infrastructure, Community Planning for Integrated Water Management, Uncertainty Analysis.</t>
  </si>
  <si>
    <t>Danielle Labbé</t>
  </si>
  <si>
    <t>Danielle</t>
  </si>
  <si>
    <t>Labbé</t>
  </si>
  <si>
    <t>Danielle Spurlock</t>
  </si>
  <si>
    <t>Spurlock</t>
  </si>
  <si>
    <t>Plan &amp; Policy Implementation, Environmental &amp; Social Justice, and Dispute Resolution.</t>
  </si>
  <si>
    <t>Danya Rumore</t>
  </si>
  <si>
    <t>Daoqin Tong</t>
  </si>
  <si>
    <t>Darius Sollohub</t>
  </si>
  <si>
    <t>Darius</t>
  </si>
  <si>
    <t>Sollohub</t>
  </si>
  <si>
    <t>Infrastructure Planning, Sustainable Transportation, Community Planning, Urban Design.</t>
  </si>
  <si>
    <t>Lewis</t>
  </si>
  <si>
    <t>Regional Planning and Regional Science, Brownfield Redevelopment, Local and Regional Economic Development, Globalization and Economic Restructuring</t>
  </si>
  <si>
    <t>David Amborski</t>
  </si>
  <si>
    <t>Amborski</t>
  </si>
  <si>
    <t>Municipal Finance, Development Charges, Property Tax Reform in Ontario, Strategic Planning Practice in Ontario and Eastern Europe</t>
  </si>
  <si>
    <t>Syracuse University</t>
  </si>
  <si>
    <t>Perry</t>
  </si>
  <si>
    <t>Urban Political Economy, Spatial Theory and Urban Planning, Public Infrastructure, Public Administration and Regional Change.</t>
  </si>
  <si>
    <t>Sloane</t>
  </si>
  <si>
    <t>Sheffield University</t>
  </si>
  <si>
    <t>Brown</t>
  </si>
  <si>
    <t>David Gordon</t>
  </si>
  <si>
    <t>Historic Preservation, Natural Resource Planning, Physical Planning, Urban Design</t>
  </si>
  <si>
    <t>Gladstone</t>
  </si>
  <si>
    <t>Urban and Regional Development, Social Policy, Tourism Planning, Real Estate Development, International Development.</t>
  </si>
  <si>
    <t>David Lemberg</t>
  </si>
  <si>
    <t>UCSB</t>
  </si>
  <si>
    <t>Lemberg</t>
  </si>
  <si>
    <t>Community and Regional Development Planning, GIS</t>
  </si>
  <si>
    <t>David Listokin</t>
  </si>
  <si>
    <t>Listokin</t>
  </si>
  <si>
    <t>Housing, Fiscal Impacts, Historic Preservation</t>
  </si>
  <si>
    <t>Varady</t>
  </si>
  <si>
    <t>Housing, Residential Mobility, Community Development</t>
  </si>
  <si>
    <t>David Prytherch</t>
  </si>
  <si>
    <t>Prytherch</t>
  </si>
  <si>
    <t>Planning, Regionalism, Cultural Landscape, Land Use Law</t>
  </si>
  <si>
    <t>New School for Social Research</t>
  </si>
  <si>
    <t>Labor Economics, Comparative Social Policy, Immigration.</t>
  </si>
  <si>
    <t>David Thacher</t>
  </si>
  <si>
    <t>Thacher</t>
  </si>
  <si>
    <t>David van Vliet</t>
  </si>
  <si>
    <t>Vliet</t>
  </si>
  <si>
    <t>Dayana</t>
  </si>
  <si>
    <t>Salazar</t>
  </si>
  <si>
    <t>Participatory Community Planning, Urban Design, and Site Planning</t>
  </si>
  <si>
    <t>Dean Almy</t>
  </si>
  <si>
    <t>Almy</t>
  </si>
  <si>
    <t>Deborah Howe</t>
  </si>
  <si>
    <t>Deborah</t>
  </si>
  <si>
    <t>Howe</t>
  </si>
  <si>
    <t>Community Development, Land Use Planning, Housing, Sustainable Development</t>
  </si>
  <si>
    <t>Dennis Frenchman</t>
  </si>
  <si>
    <t>Dennis</t>
  </si>
  <si>
    <t>Frenchman</t>
  </si>
  <si>
    <t>Urban Design, Advanced Media and Design of Public Space, Heritage and Cultural Development, Transformation of Former Industrial Areas</t>
  </si>
  <si>
    <t>Diana Mitsova</t>
  </si>
  <si>
    <t>Diana</t>
  </si>
  <si>
    <t>Mitsova</t>
  </si>
  <si>
    <t>GIS Applications, GIS Data Collection, Environmental Modeling</t>
  </si>
  <si>
    <t>Diane</t>
  </si>
  <si>
    <t>Comparative Urbanization, Urban Politics, International Development.</t>
  </si>
  <si>
    <t>Zahm</t>
  </si>
  <si>
    <t>Crime &amp; Terrorism Prevention/Homeland Security, Environmental Design, Neighborhood Planning, Land Use Planning</t>
  </si>
  <si>
    <t>Dina Adbulkarim</t>
  </si>
  <si>
    <t>Dirk de Boer</t>
  </si>
  <si>
    <t>Dirk</t>
  </si>
  <si>
    <t>Dolores Foley</t>
  </si>
  <si>
    <t>Dolores</t>
  </si>
  <si>
    <t>Foley</t>
  </si>
  <si>
    <t>Community Planning, Social Policy, Citizen Participation, Community Development</t>
  </si>
  <si>
    <t>Domenic Vitiello</t>
  </si>
  <si>
    <t>Domenic</t>
  </si>
  <si>
    <t>Vitiello</t>
  </si>
  <si>
    <t>Community and Economic Development, Immigration, Urban Agriculture</t>
  </si>
  <si>
    <t>Don Leonard</t>
  </si>
  <si>
    <t>Donald</t>
  </si>
  <si>
    <t>DongMei Chen</t>
  </si>
  <si>
    <t>Dorothy</t>
  </si>
  <si>
    <t>Ives</t>
  </si>
  <si>
    <t>Dewey</t>
  </si>
  <si>
    <t>Land Use Planning, GIS</t>
  </si>
  <si>
    <t>Douglas Houston</t>
  </si>
  <si>
    <t>Houston</t>
  </si>
  <si>
    <t>Transportation, Air Quality, Urban Inequality, Environmental Equity, Spatial Analysis</t>
  </si>
  <si>
    <t>Douglas Webster</t>
  </si>
  <si>
    <t>Webster</t>
  </si>
  <si>
    <t>Sustainable Urbanization, City Building in China, Southeast Asian Urbanization, Urban Competitiveness/City Development Strategies</t>
  </si>
  <si>
    <t>Dristi Neog</t>
  </si>
  <si>
    <t>Dristi</t>
  </si>
  <si>
    <t>Neog</t>
  </si>
  <si>
    <t>Duncan Knowler</t>
  </si>
  <si>
    <t>Earl Gooding</t>
  </si>
  <si>
    <t>Edmund Merem</t>
  </si>
  <si>
    <t>Edmund</t>
  </si>
  <si>
    <t>Merem</t>
  </si>
  <si>
    <t>Environment and Land Use Planning</t>
  </si>
  <si>
    <t>Edward</t>
  </si>
  <si>
    <t>Goetz</t>
  </si>
  <si>
    <t>Community Development, Housing &amp; Neighborhood Planning</t>
  </si>
  <si>
    <t>Elías</t>
  </si>
  <si>
    <t>Gutiérrez</t>
  </si>
  <si>
    <t>Elisabeth</t>
  </si>
  <si>
    <t>Hamin</t>
  </si>
  <si>
    <t>Instructor of Growth Management, Regional Planning Studio, Real Estate Finance and Climate Change planning seminar</t>
  </si>
  <si>
    <t>Mueller</t>
  </si>
  <si>
    <t>Community Development, Housing &amp; Poverty, Urban Politics, Qualitative Methods.</t>
  </si>
  <si>
    <t>Cambridge University</t>
  </si>
  <si>
    <t>Ellen</t>
  </si>
  <si>
    <t>Pader</t>
  </si>
  <si>
    <t>Major area of research in the cultural, social, and political facets of housing policy and design. Teaches courses on social issues in planning from inter-ethnic and cross-cultural perspectives, including: identifying discriminatory practices on the basis of ethnicity, race, gender and class, social change, housing policy, public health and social policy.</t>
  </si>
  <si>
    <t>Bassett</t>
  </si>
  <si>
    <t>Land Use/ Growth Management, International Development</t>
  </si>
  <si>
    <t>Enid Arvidson</t>
  </si>
  <si>
    <t>Enid</t>
  </si>
  <si>
    <t>Arvidson</t>
  </si>
  <si>
    <t>Urban Political Economy, Urban Economics, Economic Development, Urban and Regional Theory, Planning Theory</t>
  </si>
  <si>
    <t>Enrique Figueroa</t>
  </si>
  <si>
    <t>University of Wisconsin, Milwaukee</t>
  </si>
  <si>
    <t>Enrique</t>
  </si>
  <si>
    <t>Figueroa</t>
  </si>
  <si>
    <t>Eran Kaplinsky</t>
  </si>
  <si>
    <t>Kaplinsky</t>
  </si>
  <si>
    <t>Eric Avila</t>
  </si>
  <si>
    <t>Avila</t>
  </si>
  <si>
    <t>Heikkila</t>
  </si>
  <si>
    <t>International Development and Planning, Urban and Regional Economics, Metropolitan/Regional Planning</t>
  </si>
  <si>
    <t>Strauss</t>
  </si>
  <si>
    <t>Urban and Rural Land Use Planning, Environmental Management, Planning Law</t>
  </si>
  <si>
    <t>Rapaport</t>
  </si>
  <si>
    <t>Eric Schiefer</t>
  </si>
  <si>
    <t>Schiefer</t>
  </si>
  <si>
    <t>Ernest Sternberg</t>
  </si>
  <si>
    <t>Ernest</t>
  </si>
  <si>
    <t>Sternberg</t>
  </si>
  <si>
    <t>Economic Development, Planning Theory, Disaster and Domestic Security, Physical Planning</t>
  </si>
  <si>
    <t>Evandro</t>
  </si>
  <si>
    <t>Urban Design, Urban Transportation.</t>
  </si>
  <si>
    <t>Felipe Correa</t>
  </si>
  <si>
    <t>Felix</t>
  </si>
  <si>
    <t>Barreto</t>
  </si>
  <si>
    <t>Planning Methods, Urban Theory, Housing, Urban Economics</t>
  </si>
  <si>
    <t>Fernando Burga</t>
  </si>
  <si>
    <t>Fernando</t>
  </si>
  <si>
    <t>Burga</t>
  </si>
  <si>
    <t>Flavia Montenegro-Menezes</t>
  </si>
  <si>
    <t>l’Institut des Sciences et Industries du Vivant et de l’Environnement</t>
  </si>
  <si>
    <t>Flavia</t>
  </si>
  <si>
    <t>Montenegro-Menezes</t>
  </si>
  <si>
    <t>Fran Jacobs</t>
  </si>
  <si>
    <t>Fran</t>
  </si>
  <si>
    <t>Francis</t>
  </si>
  <si>
    <t>Owusu</t>
  </si>
  <si>
    <t>Community Economic Development, Environmental Planning, Planning Methods, GIS, Third World Development</t>
  </si>
  <si>
    <t>Francisco</t>
  </si>
  <si>
    <t>Alaniz</t>
  </si>
  <si>
    <t>Uribe</t>
  </si>
  <si>
    <t>Franck Scherrer</t>
  </si>
  <si>
    <t>Franck</t>
  </si>
  <si>
    <t>Scherrer</t>
  </si>
  <si>
    <t>Popper</t>
  </si>
  <si>
    <t>Land Use/Growth Management, The American West, Regional and Environmental Policy</t>
  </si>
  <si>
    <t>Palermo</t>
  </si>
  <si>
    <t>G. William Page</t>
  </si>
  <si>
    <t>Page</t>
  </si>
  <si>
    <t>Environmental Planning, Policy, and Management, GIS Applications, Quantitative Methods, Water Policy</t>
  </si>
  <si>
    <t>Gabriella</t>
  </si>
  <si>
    <t>Carolini</t>
  </si>
  <si>
    <t>International Urban Development, Informal Settlements, Public Sector Accounting, Development Finance</t>
  </si>
  <si>
    <t>Gabrielle Esperdy</t>
  </si>
  <si>
    <t>Gabrielle</t>
  </si>
  <si>
    <t>Esperdy</t>
  </si>
  <si>
    <t>Planning Law and Implementation, Intergovernmental Coordination, Small Town Planning</t>
  </si>
  <si>
    <t>Gary Stith</t>
  </si>
  <si>
    <t>Coutu</t>
  </si>
  <si>
    <t>GIS, Watershed Analysis, Remote Sensing</t>
  </si>
  <si>
    <t>Geoffrey</t>
  </si>
  <si>
    <t>Booth</t>
  </si>
  <si>
    <t>George Bevan</t>
  </si>
  <si>
    <t>Georgeen Theodore</t>
  </si>
  <si>
    <t>Georgeen</t>
  </si>
  <si>
    <t>Urban Design, Infrastructure Planning, Visualizing Infrastructure, Community Planning, Contemporary Urbanism.</t>
  </si>
  <si>
    <t>Gérard Beaudet</t>
  </si>
  <si>
    <t>Gérard</t>
  </si>
  <si>
    <t>Beaudet</t>
  </si>
  <si>
    <t>Gerardo Navas-Davila</t>
  </si>
  <si>
    <t>Gerardo</t>
  </si>
  <si>
    <t>Navas-Davila</t>
  </si>
  <si>
    <t>Gerardo Sandoval</t>
  </si>
  <si>
    <t>Sandoval</t>
  </si>
  <si>
    <t>Economic and Community Development, Urban Revitalization, Immigrant Neighborhoods</t>
  </si>
  <si>
    <t>Gordon Scholz</t>
  </si>
  <si>
    <t>University of Nebraska, Omaha</t>
  </si>
  <si>
    <t>Scholz</t>
  </si>
  <si>
    <t>Urban and Community Planning and Design, Land Use Planning, Historic Preservation Planning.</t>
  </si>
  <si>
    <t>Graham Whitelaw</t>
  </si>
  <si>
    <t>Graham</t>
  </si>
  <si>
    <t>Whitelaw</t>
  </si>
  <si>
    <t>Grant Cunningham</t>
  </si>
  <si>
    <t>Grant Jacobson</t>
  </si>
  <si>
    <t>Jacobson</t>
  </si>
  <si>
    <t>John Hopkins University</t>
  </si>
  <si>
    <t>Lindsey</t>
  </si>
  <si>
    <t>Environmental Planning and Management; Built Environment and Physical Activity</t>
  </si>
  <si>
    <t>Gregory Morrow</t>
  </si>
  <si>
    <t>Gregory</t>
  </si>
  <si>
    <t>Morrow</t>
  </si>
  <si>
    <t>Gregory Veeck</t>
  </si>
  <si>
    <t>Guoqiang Shen</t>
  </si>
  <si>
    <t>Guoqiang</t>
  </si>
  <si>
    <t>Urban Design, Transportation, Real Estate Development, GIS, Research Methods</t>
  </si>
  <si>
    <t>Gwen Urey</t>
  </si>
  <si>
    <t>Eastern Michigan University</t>
  </si>
  <si>
    <t>Heather</t>
  </si>
  <si>
    <t>Khan</t>
  </si>
  <si>
    <t>Economic Development, State and Local Governance, Public Policy, Public Finance.</t>
  </si>
  <si>
    <t>Hemalata Dandekar</t>
  </si>
  <si>
    <t>Hemalata</t>
  </si>
  <si>
    <t>Dandekar</t>
  </si>
  <si>
    <t>Rural and Regional Planning, Sustainable Housing and Community Development, International Development, Gender Planning</t>
  </si>
  <si>
    <t>SUNY Albany</t>
  </si>
  <si>
    <t>Henrik</t>
  </si>
  <si>
    <t>Minassians</t>
  </si>
  <si>
    <t>Public Administration, Urban Policy Design and Management, Urban Governance, Contract Design and Management, Policy Implementation Theory.</t>
  </si>
  <si>
    <t>Henry</t>
  </si>
  <si>
    <t>Renski</t>
  </si>
  <si>
    <t>Research focuses on understanding forces driving regional economic competitiveness and transformation, and building upon this knowledge to improve the effectiveness of economic development policy. Current work examines regional influences on entrepreneurship, empirical tests of agglomeration theory, industrial cluster analysis and cluster-based development strategies, and the application of spatial-analytical techniques to local economic policy decision-making.</t>
  </si>
  <si>
    <t>SUNY Buffalo</t>
  </si>
  <si>
    <t>Race, Class and Gender, Urban History, Urban Management, Community Development, Health and the Built Environment</t>
  </si>
  <si>
    <t>Huston Gibson</t>
  </si>
  <si>
    <t>Huston</t>
  </si>
  <si>
    <t>Interdisciplinary Planning, Sustainable Community Development, School Facilities &amp; Housing Prices</t>
  </si>
  <si>
    <t>Ilir Bejleri</t>
  </si>
  <si>
    <t>Polytechnic University, Tirana, Albania</t>
  </si>
  <si>
    <t>Ilir</t>
  </si>
  <si>
    <t>Bejleri</t>
  </si>
  <si>
    <t>Urban Design, Urban Simulation, Information Technology for Planning</t>
  </si>
  <si>
    <t>Ingrid</t>
  </si>
  <si>
    <t>Gould</t>
  </si>
  <si>
    <t>Community Development, Economic Development Planning, Housing and Neighborhood Planning, Race/Ethnicity Planning, and Urban and Regional Economics.</t>
  </si>
  <si>
    <t>I-Shian Suen</t>
  </si>
  <si>
    <t>I-Shian</t>
  </si>
  <si>
    <t>Suen</t>
  </si>
  <si>
    <t>Ivonne Audirac</t>
  </si>
  <si>
    <t>Ivonne</t>
  </si>
  <si>
    <t>Audirac</t>
  </si>
  <si>
    <t>Land Use/Growth Management; Sustainable Development; Urban Design/Built Environment, International Development</t>
  </si>
  <si>
    <t>Ivy</t>
  </si>
  <si>
    <t>Lingqian</t>
  </si>
  <si>
    <t>Hu</t>
  </si>
  <si>
    <t>Transportation Planning and Policy, Land Use-transportation Relationships, Urban and Regional Economics</t>
  </si>
  <si>
    <t>J. Phillip Thompson</t>
  </si>
  <si>
    <t>Phillip</t>
  </si>
  <si>
    <t>Thompson</t>
  </si>
  <si>
    <t>Urban Politics, Race Relations, Labor and Local Economic Development, Community Organization</t>
  </si>
  <si>
    <t>J.R. DeShazo</t>
  </si>
  <si>
    <t>J.R.</t>
  </si>
  <si>
    <t>DeShazo</t>
  </si>
  <si>
    <t>Jaap Vos</t>
  </si>
  <si>
    <t>Jaap</t>
  </si>
  <si>
    <t>Vos</t>
  </si>
  <si>
    <t>Environmental Planning, Equity, Sustainable Development, Climate Change</t>
  </si>
  <si>
    <t>Jack Crowley</t>
  </si>
  <si>
    <t>Jacob Oluwoye</t>
  </si>
  <si>
    <t>University of New South Wales</t>
  </si>
  <si>
    <t>Oluwoye</t>
  </si>
  <si>
    <t>Transportation</t>
  </si>
  <si>
    <t>Jacques Fisette</t>
  </si>
  <si>
    <t>Jacques</t>
  </si>
  <si>
    <t>Fisette</t>
  </si>
  <si>
    <t>University of Illinois</t>
  </si>
  <si>
    <t>Jae</t>
  </si>
  <si>
    <t>Hong</t>
  </si>
  <si>
    <t>Land Development, Local &amp; Regional Economies, Transportation, Business Location Decisions</t>
  </si>
  <si>
    <t>Teuk</t>
  </si>
  <si>
    <t>Chin</t>
  </si>
  <si>
    <t>Regional and Community Economic Development, Business Climate and Entrepreneurial Environment, Urban Design and Physical Planning.</t>
  </si>
  <si>
    <t>James DeFilippis</t>
  </si>
  <si>
    <t>DeFilippis</t>
  </si>
  <si>
    <t>Urban Political Economy, Housing, Community Development</t>
  </si>
  <si>
    <t>Mower</t>
  </si>
  <si>
    <t>James Moore</t>
  </si>
  <si>
    <t>Lewandowski</t>
  </si>
  <si>
    <t>Urban/economic, International Trade, Quantitative Methods, GIS</t>
  </si>
  <si>
    <t>Hughes</t>
  </si>
  <si>
    <t>Housing &amp; Real Estate Markets, Demographics, Analysis of Regional &amp; State Economies</t>
  </si>
  <si>
    <t>Jane Law</t>
  </si>
  <si>
    <t>University of New Brunswick</t>
  </si>
  <si>
    <t>Jane</t>
  </si>
  <si>
    <t>Law</t>
  </si>
  <si>
    <t>GIS and Public Health; Spatial Demography; Bayesian Spatial Analysis; Hierarchical Spatial Modeling and Analysis; Disease Mapping; Crime Mapping; Spatial/Environmental Epidemiology; Environmental Criminology; Healthy communities and the built environment; Neighbourhood/community effect; Health Geomatics, Land Information Systems; Jointly appointed with Health Studies and Gerontology</t>
  </si>
  <si>
    <t>Jane Rongerude</t>
  </si>
  <si>
    <t>Rongerude</t>
  </si>
  <si>
    <t>Housing, Community-based Organizations, Regionalism and Regional Planning</t>
  </si>
  <si>
    <t>Janelle Knox-Hayes</t>
  </si>
  <si>
    <t>Janelle</t>
  </si>
  <si>
    <t>Knox-Hayes</t>
  </si>
  <si>
    <t>Janet Cherrington-Cucore</t>
  </si>
  <si>
    <t>Janet</t>
  </si>
  <si>
    <t>Cherrington-Cucore</t>
  </si>
  <si>
    <t>Janet Kelly</t>
  </si>
  <si>
    <t>Janet Smith</t>
  </si>
  <si>
    <t>Community Development, Housing and Neighborhood Planning</t>
  </si>
  <si>
    <t>Janice Barry</t>
  </si>
  <si>
    <t>Janice</t>
  </si>
  <si>
    <t>Jason Jackson</t>
  </si>
  <si>
    <t>Urban Design, Design Inquiry and Methodology, Planning Theory and History.</t>
  </si>
  <si>
    <t>Jay Emerson</t>
  </si>
  <si>
    <t>Jean-Philippe Meloche</t>
  </si>
  <si>
    <t>Jean-Philippe</t>
  </si>
  <si>
    <t>Meloche</t>
  </si>
  <si>
    <t>Jeff Brown</t>
  </si>
  <si>
    <t>Jeff Casello</t>
  </si>
  <si>
    <t>Casello</t>
  </si>
  <si>
    <t>Urban transportation systems, Public transport system planning, design and operation, Multimodal transportation modeling, Transportation and land use impacts, Urban spatial analysis, GIS applications; Jointly appointed with Civil Engineering</t>
  </si>
  <si>
    <t>Jeffrey Chusid</t>
  </si>
  <si>
    <t>Chusid</t>
  </si>
  <si>
    <t>Historic Preservation Design &amp; Planning, Architecture, Cultural Landscapes</t>
  </si>
  <si>
    <t>Foster</t>
  </si>
  <si>
    <t>Jennifer Light</t>
  </si>
  <si>
    <t>Light</t>
  </si>
  <si>
    <t>Jennifer Minner</t>
  </si>
  <si>
    <t>Minner</t>
  </si>
  <si>
    <t>Land Use Planning, Geographic Information Systems, Historic Preservation, Sustainability. 607.255.5561</t>
  </si>
  <si>
    <t>Jennifer Tucker</t>
  </si>
  <si>
    <t>Tucker</t>
  </si>
  <si>
    <t>Jennifer Wolch</t>
  </si>
  <si>
    <t>Jenny</t>
  </si>
  <si>
    <t>Liu</t>
  </si>
  <si>
    <t>Environment and Resource Economics, Transportation, Energy, Development Economics and Public Policy.</t>
  </si>
  <si>
    <t>Jeremy Pittman</t>
  </si>
  <si>
    <t>Jerold</t>
  </si>
  <si>
    <t>Kayden</t>
  </si>
  <si>
    <t>Planning and Environmental Law, Public and Private Development, International Planning and Development, Public Space, Historic Preservation</t>
  </si>
  <si>
    <t>Jerry Anthony</t>
  </si>
  <si>
    <t>Anthony</t>
  </si>
  <si>
    <t>Land Use Planning, Housing Policy, Growth Management</t>
  </si>
  <si>
    <t>V.</t>
  </si>
  <si>
    <t>Planning Law, Environmental Planning</t>
  </si>
  <si>
    <t>Jessica Sewell</t>
  </si>
  <si>
    <t>Jianling Li</t>
  </si>
  <si>
    <t>Jianling</t>
  </si>
  <si>
    <t>Transportation Research and Planning; Geographic Information Systems (GIS); Intelligent Transportation Systems (ITS)</t>
  </si>
  <si>
    <t>A.E.</t>
  </si>
  <si>
    <t>Blakley</t>
  </si>
  <si>
    <t>JiYoung Park</t>
  </si>
  <si>
    <t>JiYoung</t>
  </si>
  <si>
    <t>Analytical, Quantitative and Research Methods, Emergency Preparedness and Disaster Mitigation</t>
  </si>
  <si>
    <t>Joan Busquets</t>
  </si>
  <si>
    <t>Joan</t>
  </si>
  <si>
    <t>Physical, Conservation, Environmental Planning</t>
  </si>
  <si>
    <t>Wesley</t>
  </si>
  <si>
    <t>Community Development and Housing</t>
  </si>
  <si>
    <t>Joe Qian</t>
  </si>
  <si>
    <t>Joe</t>
  </si>
  <si>
    <t>Johanna</t>
  </si>
  <si>
    <t>Looye</t>
  </si>
  <si>
    <t>Urban and Regional Theory, International Development, Women in International Development, Planning Techniques</t>
  </si>
  <si>
    <t>Johanne Brochu</t>
  </si>
  <si>
    <t>Johanne</t>
  </si>
  <si>
    <t>Brochu</t>
  </si>
  <si>
    <t>Harris</t>
  </si>
  <si>
    <t>Community Development, International Planning, and Urban Economics.</t>
  </si>
  <si>
    <t>Landis</t>
  </si>
  <si>
    <t>Housing, Public-Private Development, Urban Modeling.</t>
  </si>
  <si>
    <t>Devlin</t>
  </si>
  <si>
    <t>Benhart</t>
  </si>
  <si>
    <t>Environmental Planning, Geographic Information Systems, Transportation, Urbanization</t>
  </si>
  <si>
    <t>John Felkner</t>
  </si>
  <si>
    <t>Felkner</t>
  </si>
  <si>
    <t>FitzGibbon</t>
  </si>
  <si>
    <t>FitzSimons</t>
  </si>
  <si>
    <t>John Forester</t>
  </si>
  <si>
    <t>Forester</t>
  </si>
  <si>
    <t>Participatory Planning Process, Ethics and Deliberative Democracy, Public Dispute Resolution and Multi-party Mediated Negotiations, Oral Histories of Planning Practitioners</t>
  </si>
  <si>
    <t>John Gaber</t>
  </si>
  <si>
    <t>John Gilderbloom</t>
  </si>
  <si>
    <t>Gilderbloom</t>
  </si>
  <si>
    <t>Housing and Community Development, International Planning</t>
  </si>
  <si>
    <t>Accordino</t>
  </si>
  <si>
    <t>Economic Development Planning, Commercial District Revitalization, Community Development, European Planning</t>
  </si>
  <si>
    <t>Betancur</t>
  </si>
  <si>
    <t>Community Development, International Development, Race/ Ethnicity &amp; Planning &amp; Social Policy/Human Services.</t>
  </si>
  <si>
    <t>Renne</t>
  </si>
  <si>
    <t>Land Use and Transportation Planning, Real Estate Development and Finance, Evacuation Planning, Smart Growth and Sustainable Development</t>
  </si>
  <si>
    <t>John Lewis</t>
  </si>
  <si>
    <t>Bryson</t>
  </si>
  <si>
    <t>Planning Practice, Planning Theory, Public Management/Strategic Planning</t>
  </si>
  <si>
    <t>John McNutt</t>
  </si>
  <si>
    <t>John Meligrana</t>
  </si>
  <si>
    <t>Meligrana</t>
  </si>
  <si>
    <t>John Radke</t>
  </si>
  <si>
    <t>Radke</t>
  </si>
  <si>
    <t>Computer Applications, Environmental Planning, Geographic Information Systems, Natural Resource Planning, Quantitative Methods</t>
  </si>
  <si>
    <t>Pipkin</t>
  </si>
  <si>
    <t>John Shapiro</t>
  </si>
  <si>
    <t>Shapiro</t>
  </si>
  <si>
    <t>Physical Planning &amp; Land Use</t>
  </si>
  <si>
    <t>Fuller</t>
  </si>
  <si>
    <t>Transportation, International Development and Planning, Public Finance/Fiscal Planning, Public Management/Strategic Planning, and Urban and Regional Economics</t>
  </si>
  <si>
    <t>Keller</t>
  </si>
  <si>
    <t>Rural Planning &amp; Economic Development, Physical Planning &amp; Practice, Land Use Regulation/Law, Transportation &amp; Emergency Management.</t>
  </si>
  <si>
    <t>John Welch</t>
  </si>
  <si>
    <t>John West</t>
  </si>
  <si>
    <t>Ball State University</t>
  </si>
  <si>
    <t>West</t>
  </si>
  <si>
    <t>Zuck</t>
  </si>
  <si>
    <t>Jon</t>
  </si>
  <si>
    <t>Rodiek</t>
  </si>
  <si>
    <t>Jonathan Justice</t>
  </si>
  <si>
    <t>Jonathan Levine</t>
  </si>
  <si>
    <t>Levine</t>
  </si>
  <si>
    <t>Transportation &amp; Land Use Planning, Regulation &amp; Markets in Metropolitan Development, Public Transit Planning &amp; Evaluation, Public Economics</t>
  </si>
  <si>
    <t>Jonathan Martin</t>
  </si>
  <si>
    <t>Land Use Regulation and Growth Management, Planning Methods</t>
  </si>
  <si>
    <t>Jonathan Massey</t>
  </si>
  <si>
    <t>Joochul Kim</t>
  </si>
  <si>
    <t>Joochul</t>
  </si>
  <si>
    <t>Community Planning; Economic Development Planning; Housing and International Planning</t>
  </si>
  <si>
    <t>Jose</t>
  </si>
  <si>
    <t>Gomez-Ibanez</t>
  </si>
  <si>
    <t>Urban Economics, Transportation, Infrastructure/Public Services</t>
  </si>
  <si>
    <t>Joseph Desloges</t>
  </si>
  <si>
    <t>Desloges</t>
  </si>
  <si>
    <t>Joseph Grengs</t>
  </si>
  <si>
    <t>Grengs</t>
  </si>
  <si>
    <t>Transportation Planning &amp; Policy, Urban Politics, Community Development, Planning Methods &amp; International Development</t>
  </si>
  <si>
    <t>Joseph Heathcott</t>
  </si>
  <si>
    <t>Heathcott</t>
  </si>
  <si>
    <t>Joseph Vonasek</t>
  </si>
  <si>
    <t>Joy</t>
  </si>
  <si>
    <t>Fritschle</t>
  </si>
  <si>
    <t>Biogeography, Environmental Planning, GIS</t>
  </si>
  <si>
    <t>Joy Swallow</t>
  </si>
  <si>
    <t>Swallow</t>
  </si>
  <si>
    <t>Historic Preservation, Urban Design, Architecture.</t>
  </si>
  <si>
    <t>Joyce Davidson</t>
  </si>
  <si>
    <t>Joyce Pressley</t>
  </si>
  <si>
    <t>Juan Torres</t>
  </si>
  <si>
    <t>Juan</t>
  </si>
  <si>
    <t>Julia</t>
  </si>
  <si>
    <t>Sass</t>
  </si>
  <si>
    <t>Rubin</t>
  </si>
  <si>
    <t>Community Economic Development, Development Finance, Nonprofit &amp; Hybrid Organizational Forms</t>
  </si>
  <si>
    <t>Julianna Delgado</t>
  </si>
  <si>
    <t>Julianna</t>
  </si>
  <si>
    <t>Delgado</t>
  </si>
  <si>
    <t>Land Use, Design, Planning Studios</t>
  </si>
  <si>
    <t>Julie Dickey</t>
  </si>
  <si>
    <t>Julie</t>
  </si>
  <si>
    <t>Dickey</t>
  </si>
  <si>
    <t>K. Meghan Wieters</t>
  </si>
  <si>
    <t>Wieters</t>
  </si>
  <si>
    <t>Kami Pothukuchi</t>
  </si>
  <si>
    <t>Kareem</t>
  </si>
  <si>
    <t>Usher</t>
  </si>
  <si>
    <t>Karen Chapple</t>
  </si>
  <si>
    <t>Chapple</t>
  </si>
  <si>
    <t>Local Economic Development, Poverty, Metropolitan Planning</t>
  </si>
  <si>
    <t>Karen Kohfeld</t>
  </si>
  <si>
    <t>Karen Mulcahy</t>
  </si>
  <si>
    <t>Mulcahy</t>
  </si>
  <si>
    <t>Karl Leiker</t>
  </si>
  <si>
    <t>Leiker</t>
  </si>
  <si>
    <t>Kate John-Adler</t>
  </si>
  <si>
    <t>Kate</t>
  </si>
  <si>
    <t>John-Adler</t>
  </si>
  <si>
    <t>Kate Lowe</t>
  </si>
  <si>
    <t>Kate Nesse</t>
  </si>
  <si>
    <t>Nesse</t>
  </si>
  <si>
    <t>Demographics, Planning Research Methods, Economic Development.</t>
  </si>
  <si>
    <t>Katharine</t>
  </si>
  <si>
    <t>N.</t>
  </si>
  <si>
    <t>Rankin</t>
  </si>
  <si>
    <t>Katherine Lieberknecht</t>
  </si>
  <si>
    <t>Katherine O’Regan</t>
  </si>
  <si>
    <t>Katherine</t>
  </si>
  <si>
    <t>O’Regan</t>
  </si>
  <si>
    <t>Economic Development Planning, Housing, Race and Ethnicity Planning, and Urban and Regional Economics.</t>
  </si>
  <si>
    <t>Kathleen Baker</t>
  </si>
  <si>
    <t>Kazuya Kawamura</t>
  </si>
  <si>
    <t>Kazuya</t>
  </si>
  <si>
    <t>Kawamura</t>
  </si>
  <si>
    <t>Quantitative Methods and Transportation</t>
  </si>
  <si>
    <t>Kelcie Ralph</t>
  </si>
  <si>
    <t>Kelly Main</t>
  </si>
  <si>
    <t>Main</t>
  </si>
  <si>
    <t>Community Planning, Land Use Planning, Public Realm, Cultural Aspects of Planning, Place Attachment</t>
  </si>
  <si>
    <t>Ken Lertzman</t>
  </si>
  <si>
    <t>Kenneth</t>
  </si>
  <si>
    <t>Genskow</t>
  </si>
  <si>
    <t>Water Resources Policy, Watershed Planning, Collaborative Planning, Program Evaluation</t>
  </si>
  <si>
    <t>Chew</t>
  </si>
  <si>
    <t>Kenya Covington</t>
  </si>
  <si>
    <t>Kenya</t>
  </si>
  <si>
    <t>Covington</t>
  </si>
  <si>
    <t>Urban and Social Policy, Geography of Child Care, Affordable Housing</t>
  </si>
  <si>
    <t>Kerry Brooks</t>
  </si>
  <si>
    <t>Kerry</t>
  </si>
  <si>
    <t>Brooks</t>
  </si>
  <si>
    <t>Land Use, Environmental Planning and Design, GIS, Planning Theory, Research Techniques.</t>
  </si>
  <si>
    <t>Kevin McHugh</t>
  </si>
  <si>
    <t>Kevin</t>
  </si>
  <si>
    <t>McHugh</t>
  </si>
  <si>
    <t>Cultural Geography, Geographical Thought &amp; Theory, Place and Movement, and Spatiality of Aging</t>
  </si>
  <si>
    <t>Czajkowski</t>
  </si>
  <si>
    <t>Remote Sensing, Computer Applications, Environmental Planning, GIS, Systems &amp; Natural Resource Planning</t>
  </si>
  <si>
    <t>Kheir Al-Kodmany</t>
  </si>
  <si>
    <t>Kheir</t>
  </si>
  <si>
    <t>Al-Kodmany</t>
  </si>
  <si>
    <t>Computer Applications, Geographic Information Systems, Physical Planning/Urban Design, Quantitative Methods</t>
  </si>
  <si>
    <t>Kian Tajbakhsh</t>
  </si>
  <si>
    <t>Kieran Donaghy</t>
  </si>
  <si>
    <t>Kieran</t>
  </si>
  <si>
    <t>Donaghy</t>
  </si>
  <si>
    <t>Dynamic Systems Modeling, Globalization, Macroeconomic Policy, Regional Planning, International Conflict, Environmental Policy</t>
  </si>
  <si>
    <t>Kimberly Burton</t>
  </si>
  <si>
    <t>Kris Wernstedt</t>
  </si>
  <si>
    <t>Kris</t>
  </si>
  <si>
    <t>Wernstedt</t>
  </si>
  <si>
    <t>Environmental planning, management, and policy, with emphases on contaminated properties and water resources</t>
  </si>
  <si>
    <t>Missouri State University</t>
  </si>
  <si>
    <t>Kristen</t>
  </si>
  <si>
    <t>Crossney</t>
  </si>
  <si>
    <t>Urban Studies, Planning and Policy, Housing</t>
  </si>
  <si>
    <t>Kristin Larsen</t>
  </si>
  <si>
    <t>Kristin</t>
  </si>
  <si>
    <t>Planning History, Housing, Historic Preservation</t>
  </si>
  <si>
    <t>Kristina Currans</t>
  </si>
  <si>
    <t>Kurt</t>
  </si>
  <si>
    <t>Paulsen</t>
  </si>
  <si>
    <t>Land Use and Comprehensive Planning, Quantitative Methods, Spatial Analysis, Public Finance, Housing</t>
  </si>
  <si>
    <t>Kyle Ezell</t>
  </si>
  <si>
    <t>University of Waterloo</t>
  </si>
  <si>
    <t>Kyle</t>
  </si>
  <si>
    <t>Whitfield</t>
  </si>
  <si>
    <t>Community Planning, Rural Planning, Health Service Planning, Aging Related Issues, Social Planning Policy.</t>
  </si>
  <si>
    <t>La Barbara Wigfall</t>
  </si>
  <si>
    <t>Wigfall</t>
  </si>
  <si>
    <t>Community Development and Historic Preservation</t>
  </si>
  <si>
    <t>Laiyin Zhu</t>
  </si>
  <si>
    <t>Lalita Sen</t>
  </si>
  <si>
    <t>Lalita</t>
  </si>
  <si>
    <t>Sen</t>
  </si>
  <si>
    <t>Transportation, Housing, Accessibility</t>
  </si>
  <si>
    <t>Larry Beasley</t>
  </si>
  <si>
    <t>Larry</t>
  </si>
  <si>
    <t>Beasley</t>
  </si>
  <si>
    <t>Larry Lawhon</t>
  </si>
  <si>
    <t>Lawhon</t>
  </si>
  <si>
    <t>Planning Administration, Planning Principles, Housing and Development, Growth Management</t>
  </si>
  <si>
    <t>Laura Cameron</t>
  </si>
  <si>
    <t>Laura Leete</t>
  </si>
  <si>
    <t>Leete</t>
  </si>
  <si>
    <t>Laura Reese</t>
  </si>
  <si>
    <t>Laura Solitare</t>
  </si>
  <si>
    <t>Solitare</t>
  </si>
  <si>
    <t>Community Development, Environmental Justice, Brownfields</t>
  </si>
  <si>
    <t>Lauri Macmillan</t>
  </si>
  <si>
    <t>Lauri</t>
  </si>
  <si>
    <t>Macmillan</t>
  </si>
  <si>
    <t>Transportation Infrastructure.</t>
  </si>
  <si>
    <t>Oxford University</t>
  </si>
  <si>
    <t>Vale</t>
  </si>
  <si>
    <t>Design Politics, Public Housing, Qualitative Methods, Disaster Recovery</t>
  </si>
  <si>
    <t>Leah Hollstein</t>
  </si>
  <si>
    <t>Leela Viswanathan</t>
  </si>
  <si>
    <t>Leela</t>
  </si>
  <si>
    <t>Viswanathan</t>
  </si>
  <si>
    <t>Lei Meng</t>
  </si>
  <si>
    <t>Leobardo</t>
  </si>
  <si>
    <t>Estrada</t>
  </si>
  <si>
    <t>Social Planning, Survey Research, Planning for Multiple Public, Geographic Information Systems.</t>
  </si>
  <si>
    <t>Leonie Sandercock</t>
  </si>
  <si>
    <t>Leonie</t>
  </si>
  <si>
    <t>Sandercock</t>
  </si>
  <si>
    <t>Urban Planning and Social Policy</t>
  </si>
  <si>
    <t>Leonora Angeles</t>
  </si>
  <si>
    <t>Leonora</t>
  </si>
  <si>
    <t>Angeles</t>
  </si>
  <si>
    <t>International and Community Development</t>
  </si>
  <si>
    <t>Li Yang</t>
  </si>
  <si>
    <t>Yang</t>
  </si>
  <si>
    <t>Li Yin</t>
  </si>
  <si>
    <t>Yin</t>
  </si>
  <si>
    <t>Land Use and Environmental Planning and Modeling, Information Technology for Planning, Sustainability Planning</t>
  </si>
  <si>
    <t>Liette Gilbert</t>
  </si>
  <si>
    <t>Liette</t>
  </si>
  <si>
    <t>Gilbert</t>
  </si>
  <si>
    <t>Liming Wang</t>
  </si>
  <si>
    <t>Liming</t>
  </si>
  <si>
    <t>Transportation Planning, Urban Modeling, Planning Support Systems, Housing Markets and Real Estate Development.</t>
  </si>
  <si>
    <t>Linda Shi</t>
  </si>
  <si>
    <t>Lisa Bjorkman</t>
  </si>
  <si>
    <t>Lisa Bornstein</t>
  </si>
  <si>
    <t>Bornstein</t>
  </si>
  <si>
    <t>International Planning, Economic Development, Environmental Policy and Planning, Institutions and Governance</t>
  </si>
  <si>
    <t>Lisa DeChano-Cook</t>
  </si>
  <si>
    <t>Liza Pappas</t>
  </si>
  <si>
    <t>Liza</t>
  </si>
  <si>
    <t>Pappas</t>
  </si>
  <si>
    <t>Lohren Deeg</t>
  </si>
  <si>
    <t>Lohren</t>
  </si>
  <si>
    <t>Deeg</t>
  </si>
  <si>
    <t>Urban and Town Design, Design Comm Media, Theory, History, Graphic layout</t>
  </si>
  <si>
    <t>Lois Takahashi</t>
  </si>
  <si>
    <t>Lois</t>
  </si>
  <si>
    <t>Takahashi</t>
  </si>
  <si>
    <t>Social Service Delivery Focusing on HIV/AIDS and Homelessness, Locational Conflict, Collaboration Among Community Based Organizations, Planning History and Theory</t>
  </si>
  <si>
    <t>Loren Lutzenhiser</t>
  </si>
  <si>
    <t>Loren</t>
  </si>
  <si>
    <t>Lutzenhiser</t>
  </si>
  <si>
    <t>Environmental Planning, Energy Planning, Community Development</t>
  </si>
  <si>
    <t>Luciano Minerbi</t>
  </si>
  <si>
    <t>University of Milan, Italy</t>
  </si>
  <si>
    <t>Luciano</t>
  </si>
  <si>
    <t>Minerbi</t>
  </si>
  <si>
    <t>Comparative Urbanism, Settlement and Community Planning, Environmental and Land Use Planning, Pacific Islands Planning</t>
  </si>
  <si>
    <t>Luis</t>
  </si>
  <si>
    <t>Santiago</t>
  </si>
  <si>
    <t>Lyna</t>
  </si>
  <si>
    <t>Wiggins</t>
  </si>
  <si>
    <t>Geographic Information Science, Urban Applications of GIS, and Planning Methods.</t>
  </si>
  <si>
    <t>M.C.</t>
  </si>
  <si>
    <t>Nihal</t>
  </si>
  <si>
    <t>Perera</t>
  </si>
  <si>
    <t>Maggie Valentine</t>
  </si>
  <si>
    <t>University of Texas, San Antonio</t>
  </si>
  <si>
    <t>Valentine</t>
  </si>
  <si>
    <t>Arts and Culture Planning, Planning History and Cultural Studies, Planning Practice, Methodology and Theory.</t>
  </si>
  <si>
    <t>Mahyar Arefi</t>
  </si>
  <si>
    <t>Makena Coffman</t>
  </si>
  <si>
    <t>Makena</t>
  </si>
  <si>
    <t>Coffman</t>
  </si>
  <si>
    <t>Environmental Economics and Planning, Energy and Climate Change Policy, Resource Management, General Equilibrium Modeling</t>
  </si>
  <si>
    <t>Malo</t>
  </si>
  <si>
    <t>Hutson</t>
  </si>
  <si>
    <t>Urban Policy and Politics; The role of public/private institutions in influencing urban development</t>
  </si>
  <si>
    <t>Manish Chalana</t>
  </si>
  <si>
    <t>Chalana</t>
  </si>
  <si>
    <t>Preservation Planning, Cultural Landscapes, Multicultural Planning</t>
  </si>
  <si>
    <t>Manoj Shrestha</t>
  </si>
  <si>
    <t>Manoj</t>
  </si>
  <si>
    <t>Shrestha</t>
  </si>
  <si>
    <t>Local government, public policy, water governance, collaborative management and policy, intergovernmental relations</t>
  </si>
  <si>
    <t>Marco Musiana</t>
  </si>
  <si>
    <t>Marco</t>
  </si>
  <si>
    <t>Musiana</t>
  </si>
  <si>
    <t>Marcus Hendricks</t>
  </si>
  <si>
    <t>Margaret Carr</t>
  </si>
  <si>
    <t>Margaret</t>
  </si>
  <si>
    <t>Carr</t>
  </si>
  <si>
    <t>Dewar</t>
  </si>
  <si>
    <t>State, Local &amp; Community Economic Development Planning, Planning for Declining Industries, Industrial Policy, Processes of Regional Restructuring</t>
  </si>
  <si>
    <t>Margo Hill</t>
  </si>
  <si>
    <t>Gonzaga University</t>
  </si>
  <si>
    <t>Margo</t>
  </si>
  <si>
    <t>Tribal Law, Tribal Planning and Management, Planning Law, Tribal Economic Development.</t>
  </si>
  <si>
    <t>Marilyn Taylor</t>
  </si>
  <si>
    <t>Mario Carrier</t>
  </si>
  <si>
    <t>Mario</t>
  </si>
  <si>
    <t>Carrier</t>
  </si>
  <si>
    <t>Maritza</t>
  </si>
  <si>
    <t>Orta</t>
  </si>
  <si>
    <t>Mark Groulx</t>
  </si>
  <si>
    <t>Groulx</t>
  </si>
  <si>
    <t>I.</t>
  </si>
  <si>
    <t>Urban and Regional Technology Planning, Economic Development, Non-Profit Organizations and Management</t>
  </si>
  <si>
    <t>Mark Jaccard</t>
  </si>
  <si>
    <t>Mark Manone</t>
  </si>
  <si>
    <t>Manone</t>
  </si>
  <si>
    <t>Stevens</t>
  </si>
  <si>
    <t>Environmental and Land Use Planning.</t>
  </si>
  <si>
    <t>Mark Reinberger</t>
  </si>
  <si>
    <t>Mark Rosentraub</t>
  </si>
  <si>
    <t>Winfield</t>
  </si>
  <si>
    <t>Mark Seasons</t>
  </si>
  <si>
    <t>Seasons</t>
  </si>
  <si>
    <t>Urban and regional planning, Strategic planning, Policy and program evaluation, Local economic development, Public administration</t>
  </si>
  <si>
    <t>Marla</t>
  </si>
  <si>
    <t>Martin Lee-Gosselin</t>
  </si>
  <si>
    <t>Lee-Gosselin</t>
  </si>
  <si>
    <t>Martin Murray</t>
  </si>
  <si>
    <t>Murray</t>
  </si>
  <si>
    <t>Martine August</t>
  </si>
  <si>
    <t>Martino Tran</t>
  </si>
  <si>
    <t>Martino</t>
  </si>
  <si>
    <t>Tran</t>
  </si>
  <si>
    <t>Alabanza</t>
  </si>
  <si>
    <t>International Planning, Community Participation, Urban Design and Physical Planning, Community-based Economic Development</t>
  </si>
  <si>
    <t>Schlemper</t>
  </si>
  <si>
    <t>Cultural and Historical Geography</t>
  </si>
  <si>
    <t>Environmental Health</t>
  </si>
  <si>
    <t>Mary-Ellen Tyler</t>
  </si>
  <si>
    <t>Mary-Ellen</t>
  </si>
  <si>
    <t>Tyler</t>
  </si>
  <si>
    <t>Matthew Clary</t>
  </si>
  <si>
    <t>Matthew Gebhardt</t>
  </si>
  <si>
    <t>Matthew</t>
  </si>
  <si>
    <t>Gebhardt</t>
  </si>
  <si>
    <t>Real Estate Development, Neighborhood and Community Change, Planning Design, History and Theory</t>
  </si>
  <si>
    <t>Matthew Ruther</t>
  </si>
  <si>
    <t>Ruther</t>
  </si>
  <si>
    <t>Matti Siemiatycki</t>
  </si>
  <si>
    <t>Matti</t>
  </si>
  <si>
    <t>Siemiatycki</t>
  </si>
  <si>
    <t>Transporttation Policy and Planning; Infrastructure Finance and Delivery; Community and Regional Planning Space and the Public Sphere, Urban Political Economy</t>
  </si>
  <si>
    <t>Maura Allaire</t>
  </si>
  <si>
    <t>Max</t>
  </si>
  <si>
    <t>Michel</t>
  </si>
  <si>
    <t>Raynaud</t>
  </si>
  <si>
    <t>Stephenson</t>
  </si>
  <si>
    <t>Public Administration, Policy Implementation, Nonprofit Organizations &amp; Management</t>
  </si>
  <si>
    <t>Maya Wiley</t>
  </si>
  <si>
    <t>Heim</t>
  </si>
  <si>
    <t>Megan Horst</t>
  </si>
  <si>
    <t>Horst</t>
  </si>
  <si>
    <t>Melissa Currie</t>
  </si>
  <si>
    <t>Melissa</t>
  </si>
  <si>
    <t>Currie</t>
  </si>
  <si>
    <t>Burayidi</t>
  </si>
  <si>
    <t>Land Use Planning, Economic Development, Comparative Planning Systems, Housing and Real Estate Development.</t>
  </si>
  <si>
    <t>Lowry</t>
  </si>
  <si>
    <t>Land Use and Transportation Planning, Travel Demand Management, Traffic Calming and Street Design, Bicycle and Pedestrian Planning, Project Evaluation and Finance, Public Participation.</t>
  </si>
  <si>
    <t>Michael Duncan</t>
  </si>
  <si>
    <t>Duncan</t>
  </si>
  <si>
    <t>Transportation and Land Use, Sustainable Transportation, Pedestrian Communities, Planning Alternatives Evaluation</t>
  </si>
  <si>
    <t>Michael Holleran</t>
  </si>
  <si>
    <t>Holleran</t>
  </si>
  <si>
    <t>Historic Preservation Technology, History of Urban Design &amp; Development, Vernacular Landscapes, Water History</t>
  </si>
  <si>
    <t>Michael Hooper</t>
  </si>
  <si>
    <t>Hooper</t>
  </si>
  <si>
    <t>Land Use Planning, Urban Politics, International Development, Participation in Planning</t>
  </si>
  <si>
    <t>Poirier</t>
  </si>
  <si>
    <t>Environmental Planning, Planning Theory, Negotiation &amp; Conflict Management, Politics &amp; Governance</t>
  </si>
  <si>
    <t>Michael Larice</t>
  </si>
  <si>
    <t>Larice</t>
  </si>
  <si>
    <t>Michael Oden</t>
  </si>
  <si>
    <t>Oden</t>
  </si>
  <si>
    <t>Economic Development Planning, Applied Planning Methods, Housing Policy, Regional Theory</t>
  </si>
  <si>
    <t>Michael Stoll</t>
  </si>
  <si>
    <t>Stoll</t>
  </si>
  <si>
    <t>Michael Tomlan</t>
  </si>
  <si>
    <t>Tomlan</t>
  </si>
  <si>
    <t>Building Conservation Technology, Documentation Methods for Preservation, History of the Preservation Movement, China, India, Canada</t>
  </si>
  <si>
    <t>Michaele Pride</t>
  </si>
  <si>
    <t>Michaele</t>
  </si>
  <si>
    <t>Pride</t>
  </si>
  <si>
    <t>Michel Dufresne</t>
  </si>
  <si>
    <t>Dufresne</t>
  </si>
  <si>
    <t>Guenette</t>
  </si>
  <si>
    <t>Michelle Buckley</t>
  </si>
  <si>
    <t>Michelle</t>
  </si>
  <si>
    <t>Buckley</t>
  </si>
  <si>
    <t>Geographic Information Systems (GIS) and GeoSpatial Analysis, Community and Economic Development using Public Participation GIS, Real Estate and Market Valuation, Housing, Land Use Planning</t>
  </si>
  <si>
    <t>Mickey Lauria</t>
  </si>
  <si>
    <t>Mickey</t>
  </si>
  <si>
    <t>Lauria</t>
  </si>
  <si>
    <t>Planning Theory, Housing, Community Development, Research Methods, Urban Politics and Policy</t>
  </si>
  <si>
    <t>Mikiko</t>
  </si>
  <si>
    <t>Terashima</t>
  </si>
  <si>
    <t>Miriam Porter</t>
  </si>
  <si>
    <t>Miriam</t>
  </si>
  <si>
    <t>Porter</t>
  </si>
  <si>
    <t>Local Government Management, Human Resource Management, Civic Engagement, Global Trends.</t>
  </si>
  <si>
    <t>Mitchell Kosny</t>
  </si>
  <si>
    <t>Kosny</t>
  </si>
  <si>
    <t>Municipal Capacity-building, Policy, Strategic Planning, Social Planning</t>
  </si>
  <si>
    <t>Mitchell Moss</t>
  </si>
  <si>
    <t>Moss</t>
  </si>
  <si>
    <t>Economic Development, Urban Policy and Politics, and Technology and Regional Development.</t>
  </si>
  <si>
    <t>Moe Chowdhury</t>
  </si>
  <si>
    <t>Moira Zellner</t>
  </si>
  <si>
    <t>Moira</t>
  </si>
  <si>
    <t>Zellner</t>
  </si>
  <si>
    <t>The complexity of human-environment interactions and their effects on the sustainability of natural resources; effects of public policy and individual decision-making, and their impacts on land-use/cover change and ecological processes</t>
  </si>
  <si>
    <t>Mordecai Lee</t>
  </si>
  <si>
    <t>Mordecai</t>
  </si>
  <si>
    <t>Mulatu Wubneh</t>
  </si>
  <si>
    <t>Mulatu</t>
  </si>
  <si>
    <t>Wubneh</t>
  </si>
  <si>
    <t>Economic Development Planning, Impact Assessment, International Development and Planning, Urban and Regional Economics</t>
  </si>
  <si>
    <t>Murray Rutherford</t>
  </si>
  <si>
    <t>Rutherford</t>
  </si>
  <si>
    <t>Nan Ellin</t>
  </si>
  <si>
    <t>Nancy Brooks</t>
  </si>
  <si>
    <t>Nancy Frank</t>
  </si>
  <si>
    <t>Nancy</t>
  </si>
  <si>
    <t>Environmental Planning, Planning Practice, Planning Theory</t>
  </si>
  <si>
    <t>Naomi Adiv</t>
  </si>
  <si>
    <t>City University of New York</t>
  </si>
  <si>
    <t>Naomi</t>
  </si>
  <si>
    <t>Adiv</t>
  </si>
  <si>
    <t>Community Development, Environmental Sciences, and Urban Geography and Public Space.</t>
  </si>
  <si>
    <t>Natasha Iskander</t>
  </si>
  <si>
    <t>Neema Kudva</t>
  </si>
  <si>
    <t>Neema</t>
  </si>
  <si>
    <t>Kudva</t>
  </si>
  <si>
    <t>International Development Planning, Non-Government Organizations, Community Based Planning Practices, International Urbanization</t>
  </si>
  <si>
    <t>Neil Reid</t>
  </si>
  <si>
    <t>Demography &amp; Economic Development Planning</t>
  </si>
  <si>
    <t>Nezar Alsayyad</t>
  </si>
  <si>
    <t>Nichola</t>
  </si>
  <si>
    <t>Nicholas Brunet</t>
  </si>
  <si>
    <t>Nicholas</t>
  </si>
  <si>
    <t>Marantz</t>
  </si>
  <si>
    <t>Nicholas Klein</t>
  </si>
  <si>
    <t>Nicole Ngo</t>
  </si>
  <si>
    <t>Nicole</t>
  </si>
  <si>
    <t>Ngo</t>
  </si>
  <si>
    <t>Nik Luka</t>
  </si>
  <si>
    <t>Luka</t>
  </si>
  <si>
    <t>Urban Design, Landscape Planning, Housing, Urban Form, Environment and Behavior, Public Space</t>
  </si>
  <si>
    <t>Nina David</t>
  </si>
  <si>
    <t>Nina</t>
  </si>
  <si>
    <t>Regional Cooperative Planning, Research Methods, Physical Planning</t>
  </si>
  <si>
    <t>Ning Ai</t>
  </si>
  <si>
    <t>Ning</t>
  </si>
  <si>
    <t>Ai</t>
  </si>
  <si>
    <t>Environmental Planning and Policy, Environmental Economics</t>
  </si>
  <si>
    <t>Niraj Verma</t>
  </si>
  <si>
    <t>Niraj</t>
  </si>
  <si>
    <t>Verma</t>
  </si>
  <si>
    <t>Planning Theory, Urban Planning and Management</t>
  </si>
  <si>
    <t>Noah Durst</t>
  </si>
  <si>
    <t>Noel Keough</t>
  </si>
  <si>
    <t>Noel</t>
  </si>
  <si>
    <t>Keough</t>
  </si>
  <si>
    <t>Nonita</t>
  </si>
  <si>
    <t>Yap</t>
  </si>
  <si>
    <t>Norma</t>
  </si>
  <si>
    <t>Peña-Rivera</t>
  </si>
  <si>
    <t>Olurominiyi Ibitayo</t>
  </si>
  <si>
    <t>Olurominiyi</t>
  </si>
  <si>
    <t>Ibitayo</t>
  </si>
  <si>
    <t>Risk Management, Neighborhood Analysis and Development, Environmental Planning</t>
  </si>
  <si>
    <t>Owen Waygood</t>
  </si>
  <si>
    <t>Owen</t>
  </si>
  <si>
    <t>Waygood</t>
  </si>
  <si>
    <t>Zegras</t>
  </si>
  <si>
    <t>Urban Transportation, Transportation and Environmental Sustainability</t>
  </si>
  <si>
    <t>Foti</t>
  </si>
  <si>
    <t>Pascal Haegeli</t>
  </si>
  <si>
    <t>Participatory Planning, Community Development: International &amp; Local, Local Development in Latin America.</t>
  </si>
  <si>
    <t>Machemer</t>
  </si>
  <si>
    <t>Growth Management, Land Use, Participatory Design Process</t>
  </si>
  <si>
    <t>Patrick</t>
  </si>
  <si>
    <t>Paul Lewis</t>
  </si>
  <si>
    <t>Paul Rollinson</t>
  </si>
  <si>
    <t>Rollinson</t>
  </si>
  <si>
    <t>Housing, Homelessness, Social Planning</t>
  </si>
  <si>
    <t>Paul Zwick</t>
  </si>
  <si>
    <t>Zwick</t>
  </si>
  <si>
    <t>Planning Information and Analysis, Land Use Analysis and Modeling and Environmental Planning</t>
  </si>
  <si>
    <t>Penelope Gurstein</t>
  </si>
  <si>
    <t>Penelope</t>
  </si>
  <si>
    <t>Gurstein</t>
  </si>
  <si>
    <t>Social Development, Community-based Research</t>
  </si>
  <si>
    <t>Perry Yang</t>
  </si>
  <si>
    <t>Peter</t>
  </si>
  <si>
    <t>Flachsbart</t>
  </si>
  <si>
    <t>Planning Methods and Models, Environmental Planning, Land Use Planning, Energy Policy &amp; Urban Transportation Planning.</t>
  </si>
  <si>
    <t>Rowe</t>
  </si>
  <si>
    <t>Housing and Neighborhood Planning, Physical Planning/ Urban Design, Planning History, Planning Theory, International Planning and Design</t>
  </si>
  <si>
    <t>Mulvihill</t>
  </si>
  <si>
    <t>Peter Victor</t>
  </si>
  <si>
    <t>Victor</t>
  </si>
  <si>
    <t>Berke</t>
  </si>
  <si>
    <t>Land Use and Environmental Planning, Community Resilience, and Public Engagement.</t>
  </si>
  <si>
    <t>Colorado State University</t>
  </si>
  <si>
    <t>Watson</t>
  </si>
  <si>
    <t>Bioregional Planning, Fishery Management, Community Economics, Regional Economics, Natural Resources, Specialty Agriculture, Economic Development, Rural Innovations.</t>
  </si>
  <si>
    <t>Phuong</t>
  </si>
  <si>
    <t>Public Finance and Budgeting, Development Policy</t>
  </si>
  <si>
    <t>Priyam Das</t>
  </si>
  <si>
    <t>Priyam</t>
  </si>
  <si>
    <t>Urban Development, Basic Environmental Services and Governance in South Asia, Design and Planning of the Built Environment</t>
  </si>
  <si>
    <t>Qing Shen</t>
  </si>
  <si>
    <t>Qing</t>
  </si>
  <si>
    <t>Urban Economics, Transportation Planning, Statistical Methods and Geographic Information Systems</t>
  </si>
  <si>
    <t>R. Dawn Hawley</t>
  </si>
  <si>
    <t>Hawley</t>
  </si>
  <si>
    <t>Land Use Planning, Public Participation, Economic Geography</t>
  </si>
  <si>
    <t>Rachel Berney</t>
  </si>
  <si>
    <t>Berney</t>
  </si>
  <si>
    <t>Rachel Weber</t>
  </si>
  <si>
    <t>Weber</t>
  </si>
  <si>
    <t>Economic Development Planning, Planning Theory, Public Finance and Fiscal Planning</t>
  </si>
  <si>
    <t>Rae Bridgman</t>
  </si>
  <si>
    <t>Rae</t>
  </si>
  <si>
    <t>Bridgman</t>
  </si>
  <si>
    <t>Rafael</t>
  </si>
  <si>
    <t>Irizarry</t>
  </si>
  <si>
    <t>Ragui</t>
  </si>
  <si>
    <t>Assaad</t>
  </si>
  <si>
    <t>Community Development, Demography, Economic Development Planning, Impact Assessment, International Development &amp; Planning</t>
  </si>
  <si>
    <t>Rahul Mehrotra</t>
  </si>
  <si>
    <t>Rahul</t>
  </si>
  <si>
    <t>Mehrotra</t>
  </si>
  <si>
    <t>Physical Planning/Urban Design, International Planning, Historic Preservation</t>
  </si>
  <si>
    <t>Rainer</t>
  </si>
  <si>
    <t>vom</t>
  </si>
  <si>
    <t>Hofe</t>
  </si>
  <si>
    <t>Regional Analysis, Economic Development, Quantitative Methods, Urban and Regional Economics</t>
  </si>
  <si>
    <t>Rajinder Jutla</t>
  </si>
  <si>
    <t>Rajinder</t>
  </si>
  <si>
    <t>Jutla</t>
  </si>
  <si>
    <t>Urban Design, Planning History, Quantitative Methods</t>
  </si>
  <si>
    <t>Rajyashree Narayanareddy</t>
  </si>
  <si>
    <t>Rajyashree</t>
  </si>
  <si>
    <t>Narayanareddy</t>
  </si>
  <si>
    <t>Raphael Fischler</t>
  </si>
  <si>
    <t>Raphael</t>
  </si>
  <si>
    <t>Fischler</t>
  </si>
  <si>
    <t>Bostic</t>
  </si>
  <si>
    <t>Ray Bromley</t>
  </si>
  <si>
    <t>Ray</t>
  </si>
  <si>
    <t>Bromley</t>
  </si>
  <si>
    <t>History of Ideas in Planning and Development, Community Development and Neighborhood Planning, Housing Policy, International Development</t>
  </si>
  <si>
    <t>Raymond Lifchez</t>
  </si>
  <si>
    <t>Lifchez</t>
  </si>
  <si>
    <t>Urban Studies, Accessible Design, Social History of Architecture and Design Pedagogy.</t>
  </si>
  <si>
    <t>Land Use Policy, Sustainable Development, State and Local Finance.</t>
  </si>
  <si>
    <t>Rebecca Miles</t>
  </si>
  <si>
    <t>Miles</t>
  </si>
  <si>
    <t>Gender Studies and Planning, International Development, Rural Development, Community Health Planning</t>
  </si>
  <si>
    <t>Rebecca Walter</t>
  </si>
  <si>
    <t>Reginald</t>
  </si>
  <si>
    <t>Kwok</t>
  </si>
  <si>
    <t>Development in Asia, Urbanization in China, Spatial Development and Urban Design</t>
  </si>
  <si>
    <t>Renee Irvin</t>
  </si>
  <si>
    <t>Renia Ehrenfeucht</t>
  </si>
  <si>
    <t>Renia</t>
  </si>
  <si>
    <t>Ehrenfeucht</t>
  </si>
  <si>
    <t>Politics of Public Space Use, Social Production of the Built Environment, Public Participation, Politics of Urban Design, Public Space History</t>
  </si>
  <si>
    <t>Reza Banai</t>
  </si>
  <si>
    <t>Reza</t>
  </si>
  <si>
    <t>Banai</t>
  </si>
  <si>
    <t>Planning Theory, Site Planning &amp; Regional Planning, Quantitative Methods, Urban Design</t>
  </si>
  <si>
    <t>Ric Richardson</t>
  </si>
  <si>
    <t>Ric</t>
  </si>
  <si>
    <t>Richardson</t>
  </si>
  <si>
    <t>Environmental Change, Conflict and Security, Sustainable Development, Global Governance, Urban Security.</t>
  </si>
  <si>
    <t>Richard Alomar</t>
  </si>
  <si>
    <t>Alomar</t>
  </si>
  <si>
    <t>University of Cambridge</t>
  </si>
  <si>
    <t>Peiser</t>
  </si>
  <si>
    <t>New Towns, Development Finance, International Development, Real Estate</t>
  </si>
  <si>
    <t>Margerum</t>
  </si>
  <si>
    <t>Environmental Planning and Management, Planning Processes, Collaborative Planning.</t>
  </si>
  <si>
    <t>Richard DiFrancesco</t>
  </si>
  <si>
    <t>DiFrancesco</t>
  </si>
  <si>
    <t>Hoch</t>
  </si>
  <si>
    <t>Environmental Planning, Geospatial Applications for Land Use Planning, Urban Development</t>
  </si>
  <si>
    <t>Levy</t>
  </si>
  <si>
    <t>Richard Milgrom</t>
  </si>
  <si>
    <t>Milgrom</t>
  </si>
  <si>
    <t>Tangum</t>
  </si>
  <si>
    <t>Housing, Community Development and Neighborhood Planning, Land Use Planning, Land Economics and Development, Metropolitan/Regional Planning.</t>
  </si>
  <si>
    <t>Land Use and Environmental Law, Regional Land Use Planning, Critical Area Preservation, Historic Preservation Law, Environmental Politics</t>
  </si>
  <si>
    <t>Beauregard</t>
  </si>
  <si>
    <t>Postwar Urbanization, Economic Restructuring of Urban Environments, Shrinking Cities.</t>
  </si>
  <si>
    <t>Jones</t>
  </si>
  <si>
    <t>Government Relations, Land Use Policy, Zoning, and Real Estate Development.</t>
  </si>
  <si>
    <t>Simons</t>
  </si>
  <si>
    <t>Brownfield Redevelopment, Real Estate Development, Urban and Regional Economics.</t>
  </si>
  <si>
    <t>Kent</t>
  </si>
  <si>
    <t>Urban and Regional Planning, Development Planning, Cartography/GIS, Latin America</t>
  </si>
  <si>
    <t>Robert Brown</t>
  </si>
  <si>
    <t>Robert Bullard</t>
  </si>
  <si>
    <t>Young</t>
  </si>
  <si>
    <t>Environmental and Economic Policy and Planning, Environmental Policy and Planning History</t>
  </si>
  <si>
    <t>Paterson</t>
  </si>
  <si>
    <t>Environmental Planning, Growth Management, Sustainable Community Development, Public Policy Dispute Resolution, Community Consensus Building</t>
  </si>
  <si>
    <t>The Catholic University of America</t>
  </si>
  <si>
    <t>Shibley</t>
  </si>
  <si>
    <t>Urban Design, Placemaking, Downtown Redevelopment, Waterfront Planning, Architectural Design</t>
  </si>
  <si>
    <t>Silverman</t>
  </si>
  <si>
    <t>Citizen Participation and Community Organizing, Community Development, Public Finance, Research Methods</t>
  </si>
  <si>
    <t>Robert Mugerauer</t>
  </si>
  <si>
    <t>Mugerauer</t>
  </si>
  <si>
    <t>Theory &amp; Research Methods, Values, Social &amp; Cultural Factors, Sustainability</t>
  </si>
  <si>
    <t>Robert Patrick</t>
  </si>
  <si>
    <t>Robert Schneider</t>
  </si>
  <si>
    <t>Burchell</t>
  </si>
  <si>
    <t>Real Estate Analysis, Fiscal Impact Analysis, Housing, Land Use Planning Methods/ Theory</t>
  </si>
  <si>
    <t>Roberto</t>
  </si>
  <si>
    <t>Quercia</t>
  </si>
  <si>
    <t>Robin Boyle</t>
  </si>
  <si>
    <t>University of Reading</t>
  </si>
  <si>
    <t>Boyle</t>
  </si>
  <si>
    <t>Economic Development, Land Use/Growth Management, Housing &amp; Neighborhood Planning, Real Estate Development</t>
  </si>
  <si>
    <t>Rodrigo Cantarero</t>
  </si>
  <si>
    <t>Rodrigo</t>
  </si>
  <si>
    <t>Cantarero</t>
  </si>
  <si>
    <t>Roger</t>
  </si>
  <si>
    <t>Keil</t>
  </si>
  <si>
    <t>Ronald Keeble</t>
  </si>
  <si>
    <t>York</t>
  </si>
  <si>
    <t>Ronald</t>
  </si>
  <si>
    <t>Keeble</t>
  </si>
  <si>
    <t>Land-use and Site Planning / Design, Professional Practice, Planning Ethics and Theory</t>
  </si>
  <si>
    <t>Ronald Malega</t>
  </si>
  <si>
    <t>Ronald Pushchak</t>
  </si>
  <si>
    <t>Pushchak</t>
  </si>
  <si>
    <t>Environmental Planning, Environmental Risk Assessment, Hazardous Facility Siting</t>
  </si>
  <si>
    <t>Rosanna</t>
  </si>
  <si>
    <t>Rivero</t>
  </si>
  <si>
    <t>Rui Li</t>
  </si>
  <si>
    <t>Rui</t>
  </si>
  <si>
    <t>Rui Wang</t>
  </si>
  <si>
    <t>Environmental policy; urban economics; transportation policy; Chinese urbanization</t>
  </si>
  <si>
    <t>Ruihong Huang</t>
  </si>
  <si>
    <t>Ruihong</t>
  </si>
  <si>
    <t>Russell</t>
  </si>
  <si>
    <t>Fricano</t>
  </si>
  <si>
    <t>Environmental Planning, Growth Management, Land Use Planning, Urban Economics, Food Systems Planning</t>
  </si>
  <si>
    <t>Ruth</t>
  </si>
  <si>
    <t>Steiner</t>
  </si>
  <si>
    <t>Allen</t>
  </si>
  <si>
    <t>Immigrant and Refugee Policy, Social Networks, Urban Planning in Diverse Communities</t>
  </si>
  <si>
    <t>Walker</t>
  </si>
  <si>
    <t>Sai Balakrishnan</t>
  </si>
  <si>
    <t>Sai</t>
  </si>
  <si>
    <t>Samuel Ndegeah</t>
  </si>
  <si>
    <t>Ndegeah</t>
  </si>
  <si>
    <t>Sanglim Yoo</t>
  </si>
  <si>
    <t>SUNY College of Environmental Science and Forestry</t>
  </si>
  <si>
    <t>Sanglim</t>
  </si>
  <si>
    <t>Yoo</t>
  </si>
  <si>
    <t>Sangwoo</t>
  </si>
  <si>
    <t>Marty</t>
  </si>
  <si>
    <t>Sung</t>
  </si>
  <si>
    <t>Sanjeev Vidyarthi</t>
  </si>
  <si>
    <t>Sanjeev</t>
  </si>
  <si>
    <t>Vidyarthi</t>
  </si>
  <si>
    <t>Physical and Land Use Planning, Globalization and Transfer of Planning Ideas, Urban Design and Place Making</t>
  </si>
  <si>
    <t>Sanjoy Mazumdar</t>
  </si>
  <si>
    <t>Sanjoy</t>
  </si>
  <si>
    <t>Mazumdar</t>
  </si>
  <si>
    <t>Environmental Design, Social and Cultural Aspects of Planning, Ethnic Communities, Qualitative Research Methods</t>
  </si>
  <si>
    <t>Sara Hamideh</t>
  </si>
  <si>
    <t>Sara</t>
  </si>
  <si>
    <t>Hamideh</t>
  </si>
  <si>
    <t>Sarah Coffin</t>
  </si>
  <si>
    <t>Coffin</t>
  </si>
  <si>
    <t>Research in Brownfields, Green Economic Development, Sustainable Development</t>
  </si>
  <si>
    <t>Sarah Williams</t>
  </si>
  <si>
    <t>Williams</t>
  </si>
  <si>
    <t>Sasha Tsenkova</t>
  </si>
  <si>
    <t>Sasha</t>
  </si>
  <si>
    <t>Tsenkova</t>
  </si>
  <si>
    <t>Bollens</t>
  </si>
  <si>
    <t>Truex</t>
  </si>
  <si>
    <t>Urban Design, Community Design &amp; Sustainable Development Practices</t>
  </si>
  <si>
    <t>Sean Cox</t>
  </si>
  <si>
    <t>Sean Markey</t>
  </si>
  <si>
    <t>Sean</t>
  </si>
  <si>
    <t>Markey</t>
  </si>
  <si>
    <t>Serena Alexander</t>
  </si>
  <si>
    <t>Serena</t>
  </si>
  <si>
    <t>Seth Pipkin</t>
  </si>
  <si>
    <t>Seth</t>
  </si>
  <si>
    <t>Shelagh McCartney</t>
  </si>
  <si>
    <t>Shelagh</t>
  </si>
  <si>
    <t>McCartney</t>
  </si>
  <si>
    <t>Sheri Longboat</t>
  </si>
  <si>
    <t>Sheri</t>
  </si>
  <si>
    <t>Longboat</t>
  </si>
  <si>
    <t>Sheri Smith</t>
  </si>
  <si>
    <t>Housing and Community Development, Infrastructure</t>
  </si>
  <si>
    <t>Sherry Bame</t>
  </si>
  <si>
    <t>Sherry</t>
  </si>
  <si>
    <t>Bame</t>
  </si>
  <si>
    <t>Social Policy Planning, Research Methods, Health &amp; Human Services Planning</t>
  </si>
  <si>
    <t>Shiguo Jiang</t>
  </si>
  <si>
    <t>Shiguo</t>
  </si>
  <si>
    <t>Jiang</t>
  </si>
  <si>
    <t>Shishir Mathur</t>
  </si>
  <si>
    <t>Shishir</t>
  </si>
  <si>
    <t>Mathur</t>
  </si>
  <si>
    <t>Housing, Growth Management, Public Finance, Strategic Planning and Management</t>
  </si>
  <si>
    <t>Siddhartha Sen</t>
  </si>
  <si>
    <t>Siddhartha</t>
  </si>
  <si>
    <t>International Development and Planning, Race and Ethnicity, Urban Design, Planning Theory and Practice, Transportation Planning and Policy, Housing &amp; Community Development</t>
  </si>
  <si>
    <t>Sofia Dermisi</t>
  </si>
  <si>
    <t>Sofia</t>
  </si>
  <si>
    <t>Dermisi</t>
  </si>
  <si>
    <t>So-Ra Baek</t>
  </si>
  <si>
    <t>So-Ra</t>
  </si>
  <si>
    <t>Baek</t>
  </si>
  <si>
    <t>Stacey Sutton</t>
  </si>
  <si>
    <t>Sutton</t>
  </si>
  <si>
    <t>Local Economic Development, Neighborhood Change, Entrepreneurship and Neighborhood Economies, and race as a feature of socio-spatial vision and structure</t>
  </si>
  <si>
    <t>Stefan Al</t>
  </si>
  <si>
    <t>Stefan</t>
  </si>
  <si>
    <t>Al</t>
  </si>
  <si>
    <t>Stefan Kipfer</t>
  </si>
  <si>
    <t>Kipfer</t>
  </si>
  <si>
    <t>Stephan Gray</t>
  </si>
  <si>
    <t>Stephan</t>
  </si>
  <si>
    <t>Gray</t>
  </si>
  <si>
    <t>Stephan Schmidt</t>
  </si>
  <si>
    <t>Schmidt</t>
  </si>
  <si>
    <t>Chang</t>
  </si>
  <si>
    <t>Disaster and Risk Management</t>
  </si>
  <si>
    <t>Stephanie Rolley</t>
  </si>
  <si>
    <t>Rolley</t>
  </si>
  <si>
    <t>Ramos</t>
  </si>
  <si>
    <t>Bourassa</t>
  </si>
  <si>
    <t>Peuquet</t>
  </si>
  <si>
    <t>Steven Webber</t>
  </si>
  <si>
    <t>Sudeshna</t>
  </si>
  <si>
    <t>Ghosh</t>
  </si>
  <si>
    <t>Sujata Shetty</t>
  </si>
  <si>
    <t>Sujata</t>
  </si>
  <si>
    <t>Shetty</t>
  </si>
  <si>
    <t>Community and Economic Development Planning, Gender and Planning, International Development</t>
  </si>
  <si>
    <t>Sumei Zhang</t>
  </si>
  <si>
    <t>Sumei</t>
  </si>
  <si>
    <t>Land Use Planning, Planning Theory, Research Methods</t>
  </si>
  <si>
    <t>Bradbury</t>
  </si>
  <si>
    <t>Community Economic Development, Telecommunications Planning, Small Town and Rural Planning, Plan Development and Implementation</t>
  </si>
  <si>
    <t>Susan Roakes</t>
  </si>
  <si>
    <t>Roakes</t>
  </si>
  <si>
    <t>Policy Implementation, Land Use Planning, Urban Land Economics, Community Schools</t>
  </si>
  <si>
    <t>University of Alabama</t>
  </si>
  <si>
    <t>Morse</t>
  </si>
  <si>
    <t>Moomaw</t>
  </si>
  <si>
    <t>Sweta Byahut</t>
  </si>
  <si>
    <t>Sweta</t>
  </si>
  <si>
    <t>Byahut</t>
  </si>
  <si>
    <t>Sy Adler</t>
  </si>
  <si>
    <t>Sy</t>
  </si>
  <si>
    <t>Adler</t>
  </si>
  <si>
    <t>Community Development, Land Use/Growth Management, Planning History, Planning Practice, Planning Theory, Transportation</t>
  </si>
  <si>
    <t>Talya Thomas</t>
  </si>
  <si>
    <t>Talya</t>
  </si>
  <si>
    <t>Tamara Laninga</t>
  </si>
  <si>
    <t>Western Washington University</t>
  </si>
  <si>
    <t>Tara Goddard</t>
  </si>
  <si>
    <t>Taro Narahara</t>
  </si>
  <si>
    <t>Ted Grevstad-Nordbrock</t>
  </si>
  <si>
    <t>Ted</t>
  </si>
  <si>
    <t>Grevstad-Nordbrock</t>
  </si>
  <si>
    <t>Cordova</t>
  </si>
  <si>
    <t>Theodore Jojola</t>
  </si>
  <si>
    <t>Jojola</t>
  </si>
  <si>
    <t>Community Development, Indigenous Human Rights, Indigenous Planning, Tribal Economic Development, Microcomputer Applications in Education and Planning</t>
  </si>
  <si>
    <t>Hutton</t>
  </si>
  <si>
    <t>Thomas Gunton</t>
  </si>
  <si>
    <t>Gunton</t>
  </si>
  <si>
    <t>Daniels</t>
  </si>
  <si>
    <t>Environmental Planning, Land Use Planning, Land Preservation</t>
  </si>
  <si>
    <t>Thomas Schurch</t>
  </si>
  <si>
    <t>Schurch</t>
  </si>
  <si>
    <t>Urban Design, Urban Form, Meaning in Built Environments</t>
  </si>
  <si>
    <t>Thomas Skuzinski</t>
  </si>
  <si>
    <t>Skuzinski</t>
  </si>
  <si>
    <t>Tim Green</t>
  </si>
  <si>
    <t>Timothy LeDoux</t>
  </si>
  <si>
    <t>LeDoux</t>
  </si>
  <si>
    <t>Borich</t>
  </si>
  <si>
    <t>Community Economic Development, Leadership Development, Rural Sociology and Development, Public Policy Development</t>
  </si>
  <si>
    <t>Chapin</t>
  </si>
  <si>
    <t>Tisha Holmes</t>
  </si>
  <si>
    <t>Tisha</t>
  </si>
  <si>
    <t>Holmes</t>
  </si>
  <si>
    <t>Tobiah Horton</t>
  </si>
  <si>
    <t>Tobiah</t>
  </si>
  <si>
    <t>Horton</t>
  </si>
  <si>
    <t>Todd Ellis</t>
  </si>
  <si>
    <t>Toni</t>
  </si>
  <si>
    <t>Griffin</t>
  </si>
  <si>
    <t>Tonya</t>
  </si>
  <si>
    <t>Nashay</t>
  </si>
  <si>
    <t>Sanders</t>
  </si>
  <si>
    <t>Tridib Banerjee</t>
  </si>
  <si>
    <t>Tridib</t>
  </si>
  <si>
    <t>Banerjee</t>
  </si>
  <si>
    <t>Physical Planning/Urban Design, International Development and Planning, Planning Theory</t>
  </si>
  <si>
    <t>Trisalyn Nelson</t>
  </si>
  <si>
    <t>Umit Yilmaz</t>
  </si>
  <si>
    <t>Istanbul Technical University</t>
  </si>
  <si>
    <t>Umit</t>
  </si>
  <si>
    <t>Yilmaz</t>
  </si>
  <si>
    <t>Ute</t>
  </si>
  <si>
    <t>Lehrer</t>
  </si>
  <si>
    <t>Victoria</t>
  </si>
  <si>
    <t>Beard</t>
  </si>
  <si>
    <t>Victoria Basolo</t>
  </si>
  <si>
    <t>Basolo</t>
  </si>
  <si>
    <t>Housing and Community Development, Local Economic Development/Redevelopment, Regionalism and Environmental Policy</t>
  </si>
  <si>
    <t>Vinit Mukhija</t>
  </si>
  <si>
    <t>Vinit</t>
  </si>
  <si>
    <t>Mukhija</t>
  </si>
  <si>
    <t>Housing and Land Development, Urban &amp; Neighborhood Revitalization, Development Strategies for Low Income Communities, Physical Planning and Urban Design</t>
  </si>
  <si>
    <t>Ward Thomas</t>
  </si>
  <si>
    <t>Economic Development, Public Policy Analysis, Environmental Planning</t>
  </si>
  <si>
    <t>Wayne</t>
  </si>
  <si>
    <t>Caldwell</t>
  </si>
  <si>
    <t>Wenwen Zhang</t>
  </si>
  <si>
    <t>Menking</t>
  </si>
  <si>
    <t>Butler</t>
  </si>
  <si>
    <t>Cohen</t>
  </si>
  <si>
    <t>Drummond</t>
  </si>
  <si>
    <t>Computer Applications, Historic Preservation, Geographic Information Systems, Land Use/ Growth Management, Quantitative Methods</t>
  </si>
  <si>
    <t>Siembieda</t>
  </si>
  <si>
    <t>Fleming</t>
  </si>
  <si>
    <t>William Rohe</t>
  </si>
  <si>
    <t>Rohe</t>
  </si>
  <si>
    <t>Urban Redevelopment, Neighborhood Revitalization, Community Development Planning &amp; Policy, Affordable &amp; Workforce Housing Programs</t>
  </si>
  <si>
    <t>Wolfram Hoefer</t>
  </si>
  <si>
    <t>TU Munich</t>
  </si>
  <si>
    <t>Wolfram</t>
  </si>
  <si>
    <t>Hoefer</t>
  </si>
  <si>
    <t>Xueming Chen</t>
  </si>
  <si>
    <t>Xueming</t>
  </si>
  <si>
    <t>Xulin Guo</t>
  </si>
  <si>
    <t>Xulin</t>
  </si>
  <si>
    <t>Guo</t>
  </si>
  <si>
    <t>Yang Zhang</t>
  </si>
  <si>
    <t>Urban Land Use Planning, natural Hazards Mitigation, Post Disaster Re-development, and Sustainable Urban Form, Geographic Information Systems</t>
  </si>
  <si>
    <t>Yanmei Li</t>
  </si>
  <si>
    <t>Yanmei</t>
  </si>
  <si>
    <t>Statistics, Geography and Urban Planning</t>
  </si>
  <si>
    <t>Yanqing</t>
  </si>
  <si>
    <t>Xu</t>
  </si>
  <si>
    <t>Yizhao Yang</t>
  </si>
  <si>
    <t>Yizhao</t>
  </si>
  <si>
    <t>Environmental Planning, Sustainable Living Design and Analysis, Geographic Information Systems</t>
  </si>
  <si>
    <t>Yunji Kim</t>
  </si>
  <si>
    <t>Yunwoo Nam</t>
  </si>
  <si>
    <t>Yunwoo</t>
  </si>
  <si>
    <t>Nam</t>
  </si>
  <si>
    <t>Yuseung Kim</t>
  </si>
  <si>
    <t>Yuseung</t>
  </si>
  <si>
    <t>Urban design, GIS, landscape analysis, planning support systems</t>
  </si>
  <si>
    <t>Zeynep Celik</t>
  </si>
  <si>
    <t>Zeynep</t>
  </si>
  <si>
    <t>Celik</t>
  </si>
  <si>
    <t>Zeynep Toker</t>
  </si>
  <si>
    <t>North Carolina State University</t>
  </si>
  <si>
    <t>Toker</t>
  </si>
  <si>
    <t>Community Participation, Research Based Urban Design, Housing and Gender in Planning, Research Methods</t>
  </si>
  <si>
    <t>Zhan Guo</t>
  </si>
  <si>
    <t>Zhan</t>
  </si>
  <si>
    <t>Zhenghong Tang</t>
  </si>
  <si>
    <t>Zhenghong</t>
  </si>
  <si>
    <t>Tang</t>
  </si>
  <si>
    <t>Zhixi</t>
  </si>
  <si>
    <t>Zhuang</t>
  </si>
  <si>
    <t>Urban Design, Retailing, Revitalization and Urban Growth, Multicultural Planning, Immigration Settlement, Cross-cultural Studies</t>
  </si>
  <si>
    <t>Zhong-Ren Peng</t>
  </si>
  <si>
    <t>Zhong-Ren</t>
  </si>
  <si>
    <t>Peng</t>
  </si>
  <si>
    <t>Transportation Planning, Transportation and Land Use Integration, Information Technology for Planning</t>
  </si>
  <si>
    <t>Frankel</t>
  </si>
  <si>
    <t>Planning Practice and Master Planned Communities, Enterprise Planning, Community Health, Community Development/Affordable Housing</t>
  </si>
  <si>
    <t>Rank</t>
  </si>
  <si>
    <t>School</t>
  </si>
  <si>
    <t>Citations</t>
  </si>
  <si>
    <t>Cites Tab</t>
  </si>
  <si>
    <t>School + Last</t>
  </si>
  <si>
    <t>Must sort all records in the "Cites" sheet even though percentiles are among regular faculty only</t>
  </si>
  <si>
    <t>Update percentile ranks: Sort Cites tab by RegFaculty to get 1s at top (largest to smallest). Then sort by Position (A to Z).</t>
  </si>
  <si>
    <t>Percentile rank for each position = percentrank([array for position], k)</t>
  </si>
  <si>
    <t>Percentile rank for all = percentrank([array for all], k)</t>
  </si>
  <si>
    <t>Planning School</t>
  </si>
  <si>
    <t>Faculty</t>
  </si>
  <si>
    <t>Total</t>
  </si>
  <si>
    <t>Median</t>
  </si>
  <si>
    <t>Mean</t>
  </si>
  <si>
    <t>URL</t>
  </si>
  <si>
    <t>The New School for Social Research</t>
  </si>
  <si>
    <t>Memorial University of Newfoundland</t>
  </si>
  <si>
    <t>Brandeis University</t>
  </si>
  <si>
    <t>Louisiana State University</t>
  </si>
  <si>
    <t xml:space="preserve">Claremont Graduate School </t>
  </si>
  <si>
    <t>The New School</t>
  </si>
  <si>
    <t>ETH Zurich</t>
  </si>
  <si>
    <t>École Polytechnique Fédérale de Lausanne</t>
  </si>
  <si>
    <t>INRS - Urbanisation, Culture et Societe (Institute National de la recherche scientifique)</t>
  </si>
  <si>
    <t>Georgia Institue of Technology</t>
  </si>
  <si>
    <t>CEMFI</t>
  </si>
  <si>
    <t>Université de Paris IV- Sorbonne, France</t>
  </si>
  <si>
    <t>University of Texas at Austin</t>
  </si>
  <si>
    <t>Université de Montréal, Québec, Canada</t>
  </si>
  <si>
    <t>University of California at Davis</t>
  </si>
  <si>
    <t>Université Laval</t>
  </si>
  <si>
    <t>Unversity of Utah</t>
  </si>
  <si>
    <t>Arizona State University, Tempe</t>
  </si>
  <si>
    <t>University of Canterbury, Christchurch, New Zealand</t>
  </si>
  <si>
    <t>London School of Economics and Political Science (LSE)</t>
  </si>
  <si>
    <t>University of Colorado at Denver</t>
  </si>
  <si>
    <t>University of California, Davis</t>
  </si>
  <si>
    <t>Unversity of Waterloo</t>
  </si>
  <si>
    <t>INRS (Institut national de la recherche scientifique)</t>
  </si>
  <si>
    <t>Harvard School of Public Health</t>
  </si>
  <si>
    <t>University of Illionis, Chicago</t>
  </si>
  <si>
    <t>University of Georgia, Athens</t>
  </si>
  <si>
    <t>University College London</t>
  </si>
  <si>
    <t>Mississippi State University</t>
  </si>
  <si>
    <t>Peking University</t>
  </si>
  <si>
    <t>Sloan School of Management at MIT</t>
  </si>
  <si>
    <t>Vienna University of Technology</t>
  </si>
  <si>
    <t>Alenka Poplin</t>
  </si>
  <si>
    <t>Poplin</t>
  </si>
  <si>
    <t>Berlage Institute</t>
  </si>
  <si>
    <t>State Hydrological Institute, Saint Petersburg, Russia</t>
  </si>
  <si>
    <t>Swiss Federal Institute of Technology (ETH Zurich)</t>
  </si>
  <si>
    <t>National University of Singapore</t>
  </si>
  <si>
    <t>University of Brookes, Oxford</t>
  </si>
  <si>
    <t>Utrecth University</t>
  </si>
  <si>
    <t>University of Colorado, Boulder</t>
  </si>
  <si>
    <t>State University of New York at Buffalo </t>
  </si>
  <si>
    <t>Unversity of California, Berkeley</t>
  </si>
  <si>
    <t>University of California at Santa Barbara</t>
  </si>
  <si>
    <t>University of York UK</t>
  </si>
  <si>
    <t>Vanderbilt University</t>
  </si>
  <si>
    <t>Royal Institute of Technology, Stockholm</t>
  </si>
  <si>
    <t> l’Institut d’urbanisme de Paris (Paris 12)</t>
  </si>
  <si>
    <t>University of California, Santa Barbara</t>
  </si>
  <si>
    <t>University of Oxford</t>
  </si>
  <si>
    <t>ETSAB, University of Barcelona</t>
  </si>
  <si>
    <t>Universisty of Western Ontario</t>
  </si>
  <si>
    <t>University of Arizona, Tuscon</t>
  </si>
  <si>
    <t>University of Massachusetts</t>
  </si>
  <si>
    <t>Indiana University Bloomigton</t>
  </si>
  <si>
    <t>x</t>
  </si>
  <si>
    <t>University of Edinburgh</t>
  </si>
  <si>
    <t>University of Michigan, Ann Arbor</t>
  </si>
  <si>
    <t>South Dakota State University</t>
  </si>
  <si>
    <t>Laura Saija</t>
  </si>
  <si>
    <t>University of Catania, Italy</t>
  </si>
  <si>
    <t>Saija</t>
  </si>
  <si>
    <t>University of Illionis at Urbana-Champaign</t>
  </si>
  <si>
    <t>Texas State University San Marcos</t>
  </si>
  <si>
    <t xml:space="preserve">Georgetown University </t>
  </si>
  <si>
    <t>University of Grenoble</t>
  </si>
  <si>
    <t>Oxford</t>
  </si>
  <si>
    <t>University of North Carolina, Charlotte</t>
  </si>
  <si>
    <t>Dalhousie</t>
  </si>
  <si>
    <t>University of Wisconsin-Madison</t>
  </si>
  <si>
    <t>Kyoto University</t>
  </si>
  <si>
    <t>National Taiwan University</t>
  </si>
  <si>
    <t xml:space="preserve">University of Washington, Seattle </t>
  </si>
  <si>
    <t>University of California, San Francisco</t>
  </si>
  <si>
    <t>Goethe University Frankfurt</t>
  </si>
  <si>
    <t>Wilfrid Laurier University</t>
  </si>
  <si>
    <t>SUNY-ESF</t>
  </si>
  <si>
    <t xml:space="preserve">University of Waterloo </t>
  </si>
  <si>
    <t>University of Queensland</t>
  </si>
  <si>
    <t>University of Montreal</t>
  </si>
  <si>
    <t xml:space="preserve">University of Manitoba </t>
  </si>
  <si>
    <t>https://scholar.google.com.ph/citations?user=kRjiXXYAAAAJ&amp;hl</t>
  </si>
  <si>
    <t>Clark University</t>
  </si>
  <si>
    <t>Binghamton University, SUNY</t>
  </si>
  <si>
    <t>f</t>
  </si>
  <si>
    <t>https://scholar.google.com.ph/citations?user=_9COXIoAAAAJ&amp;hl=en</t>
  </si>
  <si>
    <t>https://scholar.google.com.ph/citations?user=_pJgvmoAAAAJ&amp;hl=en</t>
  </si>
  <si>
    <t>https://scholar.google.com.ph/citations?user=02B7qPsAAAAJ&amp;hl=en</t>
  </si>
  <si>
    <t>https://scholar.google.com.ph/citations?user=0aopPI8AAAAJ&amp;hl=en</t>
  </si>
  <si>
    <t>https://scholar.google.com.ph/citations?user=0EBm2zwAAAAJ&amp;hl=en</t>
  </si>
  <si>
    <t>https://scholar.google.com.ph/citations?user=0GNDcJQAAAAJ&amp;hl=en</t>
  </si>
  <si>
    <t>https://scholar.google.com.ph/citations?user=0HRgapQAAAAJ&amp;hl=en</t>
  </si>
  <si>
    <t>https://scholar.google.com.ph/citations?user=0-jEvAcAAAAJ&amp;hl=en</t>
  </si>
  <si>
    <t>https://scholar.google.com.ph/citations?user=0K7uj_gAAAAJ&amp;hl=en</t>
  </si>
  <si>
    <t>https://scholar.google.com.ph/citations?user=0ScZwpcAAAAJ&amp;hl=en</t>
  </si>
  <si>
    <t>https://scholar.google.com.ph/citations?user=1_FINjQAAAAJ&amp;hl=en</t>
  </si>
  <si>
    <t>https://scholar.google.com.ph/citations?user=11fhzgEAAAAJ&amp;hl=en</t>
  </si>
  <si>
    <t>https://scholar.google.com.ph/citations?user=1gka4DcAAAAJ&amp;hl=en</t>
  </si>
  <si>
    <t>https://scholar.google.com.ph/citations?user=1hIl3F4AAAAJ&amp;hl=en</t>
  </si>
  <si>
    <t>https://scholar.google.com.ph/citations?user=1uCjSgEAAAAJ&amp;hl=en</t>
  </si>
  <si>
    <t>https://scholar.google.com.ph/citations?user=2AmEsKEAAAAJ&amp;hl=en</t>
  </si>
  <si>
    <t>https://scholar.google.com.ph/citations?user=2SQB8IcAAAAJ&amp;hl=en</t>
  </si>
  <si>
    <t>https://scholar.google.com.ph/citations?user=39owLE0AAAAJ&amp;hl=en</t>
  </si>
  <si>
    <t>https://scholar.google.com.ph/citations?user=46h2Qh8AAAAJ&amp;hl=en</t>
  </si>
  <si>
    <t>https://scholar.google.com.ph/citations?user=4wtcHfkAAAAJ&amp;hl=en</t>
  </si>
  <si>
    <t>https://scholar.google.com.ph/citations?user=59-kfsQAAAAJ&amp;hl=en</t>
  </si>
  <si>
    <t>https://scholar.google.com.ph/citations?user=59NDPsMAAAAJ&amp;hl=en</t>
  </si>
  <si>
    <t>https://scholar.google.com.ph/citations?user=5f8wJd0AAAAJ&amp;hl=en</t>
  </si>
  <si>
    <t>https://scholar.google.com.ph/citations?user=5Jjuc0gAAAAJ&amp;hl=en</t>
  </si>
  <si>
    <t>https://scholar.google.com.ph/citations?user=5PkKnnEAAAAJ&amp;hl=en</t>
  </si>
  <si>
    <t>https://scholar.google.com.ph/citations?user=5S2bRsUAAAAJ&amp;hl=en</t>
  </si>
  <si>
    <t>https://scholar.google.com.ph/citations?user=62481hMAAAAJ&amp;hl=en</t>
  </si>
  <si>
    <t>https://scholar.google.com.ph/citations?user=6tlzorcAAAAJ&amp;hl=en</t>
  </si>
  <si>
    <t>https://scholar.google.com.ph/citations?user=72WtdxsAAAAJ&amp;hl=en</t>
  </si>
  <si>
    <t>https://scholar.google.com.ph/citations?user=7DARvqwAAAAJ&amp;hl=en</t>
  </si>
  <si>
    <t>https://scholar.google.com.ph/citations?user=80PRsgsAAAAJ&amp;hl=en</t>
  </si>
  <si>
    <t>https://scholar.google.com.ph/citations?user=88FnzbsAAAAJ&amp;hl=en</t>
  </si>
  <si>
    <t>https://scholar.google.com.ph/citations?user=8GlQHMMAAAAJ&amp;hl=en</t>
  </si>
  <si>
    <t>https://scholar.google.com.ph/citations?user=8HN5ZwIAAAAJ&amp;hl=en</t>
  </si>
  <si>
    <t>https://scholar.google.com.ph/citations?user=8U3ZyJgAAAAJ&amp;hl=en</t>
  </si>
  <si>
    <t>https://scholar.google.com.ph/citations?user=9RdgBtgAAAAJ&amp;hl=en</t>
  </si>
  <si>
    <t>https://scholar.google.com.ph/citations?user=9xwMDv4AAAAJ&amp;hl=en</t>
  </si>
  <si>
    <t>https://scholar.google.com.ph/citations?user=a9NL4mwAAAAJ&amp;hl=en</t>
  </si>
  <si>
    <t>https://scholar.google.com.ph/citations?user=aRLbkQcAAAAJ&amp;hl=en</t>
  </si>
  <si>
    <t>https://scholar.google.com.ph/citations?user=aul-N4oAAAAJ&amp;hl=en</t>
  </si>
  <si>
    <t>https://scholar.google.com.ph/citations?user=aXJNIvMAAAAJ&amp;hl=en</t>
  </si>
  <si>
    <t>https://scholar.google.com.ph/citations?user=ayTL4a0AAAAJ&amp;hl=en</t>
  </si>
  <si>
    <t>https://scholar.google.com.ph/citations?user=B04iO5MAAAAJ&amp;hl=en</t>
  </si>
  <si>
    <t>https://scholar.google.com.ph/citations?user=bC0BOGoAAAAJ&amp;hl=en</t>
  </si>
  <si>
    <t>https://scholar.google.com.ph/citations?user=BE-kCpcAAAAJ&amp;hl=en</t>
  </si>
  <si>
    <t>https://scholar.google.com.ph/citations?user=BeVf6KEAAAAJ&amp;hl=en</t>
  </si>
  <si>
    <t>https://scholar.google.com.ph/citations?user=C54EMucAAAAJ&amp;hl=en</t>
  </si>
  <si>
    <t>https://scholar.google.com.ph/citations?user=cKMTPXwAAAAJ&amp;hl=en</t>
  </si>
  <si>
    <t>https://scholar.google.com.ph/citations?user=DIHv-JMAAAAJ&amp;hl=en</t>
  </si>
  <si>
    <t>https://scholar.google.com.ph/citations?user=dPSTEEcAAAAJ&amp;hl=en</t>
  </si>
  <si>
    <t>https://scholar.google.com.ph/citations?user=dQhou1EAAAAJ&amp;hl=en</t>
  </si>
  <si>
    <t>https://scholar.google.com.ph/citations?user=DUDe9-QAAAAJ&amp;hl=en</t>
  </si>
  <si>
    <t>https://scholar.google.com.ph/citations?user=dyhRzZgAAAAJ&amp;hl=en</t>
  </si>
  <si>
    <t>https://scholar.google.com.ph/citations?user=E9il5l0AAAAJ&amp;hl=en</t>
  </si>
  <si>
    <t>https://scholar.google.com.ph/citations?user=ELXYIHwAAAAJ&amp;hl=en</t>
  </si>
  <si>
    <t>https://scholar.google.com.ph/citations?user=F0FfN00AAAAJ&amp;hl=en</t>
  </si>
  <si>
    <t>https://scholar.google.com.ph/citations?user=Fc1IlK8AAAAJ&amp;hl=en</t>
  </si>
  <si>
    <t>https://scholar.google.com.ph/citations?user=FdXhrN4AAAAJ&amp;hl=en</t>
  </si>
  <si>
    <t>https://scholar.google.com.ph/citations?user=FNtreSgAAAAJ&amp;hl=en</t>
  </si>
  <si>
    <t>https://scholar.google.com.ph/citations?user=fvacZ0QAAAAJ&amp;hl=en</t>
  </si>
  <si>
    <t>https://scholar.google.com.ph/citations?user=FwdCDX0AAAAJ&amp;hl=en</t>
  </si>
  <si>
    <t>https://scholar.google.com.ph/citations?user=f--ZeF4AAAAJ&amp;hl=en</t>
  </si>
  <si>
    <t>https://scholar.google.com.ph/citations?user=gibRYHMAAAAJ&amp;hl=en</t>
  </si>
  <si>
    <t>https://scholar.google.com.ph/citations?user=GNyEzcMAAAAJ&amp;hl=en</t>
  </si>
  <si>
    <t>https://scholar.google.com.ph/citations?user=gVh74ZgAAAAJ&amp;hl=en</t>
  </si>
  <si>
    <t>https://scholar.google.com.ph/citations?user=H0eHS0MAAAAJ&amp;hl=en</t>
  </si>
  <si>
    <t>https://scholar.google.com.ph/citations?user=hAkNdIYAAAAJ&amp;hl=en</t>
  </si>
  <si>
    <t>https://scholar.google.com.ph/citations?user=i15z4REAAAAJ&amp;hl=en</t>
  </si>
  <si>
    <t>https://scholar.google.com.ph/citations?user=iKgl46QAAAAJ&amp;hl=en</t>
  </si>
  <si>
    <t>https://scholar.google.com.ph/citations?user=iS703cMAAAAJ&amp;hl=en</t>
  </si>
  <si>
    <t>https://scholar.google.com.ph/citations?user=i-VJ0sIAAAAJ&amp;hl=en</t>
  </si>
  <si>
    <t>https://scholar.google.com.ph/citations?user=IXfBXPsAAAAJ&amp;hl=en</t>
  </si>
  <si>
    <t>https://scholar.google.com.ph/citations?user=j0TAsZAAAAAJ&amp;hl=en</t>
  </si>
  <si>
    <t>https://scholar.google.com.ph/citations?user=J1oqHDsAAAAJ&amp;hl=en</t>
  </si>
  <si>
    <t>https://scholar.google.com.ph/citations?user=-j3tHfMAAAAJ&amp;hl=en</t>
  </si>
  <si>
    <t>https://scholar.google.com.ph/citations?user=jC0i14kAAAAJ&amp;hl=en</t>
  </si>
  <si>
    <t>https://scholar.google.com.ph/citations?user=jFQ8F0YAAAAJ&amp;hl=en</t>
  </si>
  <si>
    <t>https://scholar.google.com.ph/citations?user=JL54S94AAAAJ&amp;hl=en</t>
  </si>
  <si>
    <t>https://scholar.google.com.ph/citations?user=jZb3ArMAAAAJ&amp;hl=en</t>
  </si>
  <si>
    <t>https://scholar.google.com.ph/citations?user=k5lcdMIAAAAJ&amp;hl=en</t>
  </si>
  <si>
    <t>https://scholar.google.com.ph/citations?user=KBd7ttQAAAAJ&amp;hl=en</t>
  </si>
  <si>
    <t>https://scholar.google.com.ph/citations?user=KDf4PW0AAAAJ&amp;hl=en</t>
  </si>
  <si>
    <t>https://scholar.google.com.ph/citations?user=kxUwxfkAAAAJ&amp;hl=en</t>
  </si>
  <si>
    <t>https://scholar.google.com.ph/citations?user=ky5sX-0AAAAJ&amp;hl=en</t>
  </si>
  <si>
    <t>https://scholar.google.com.ph/citations?user=l1E3KCoAAAAJ&amp;hl=en</t>
  </si>
  <si>
    <t>https://scholar.google.com.ph/citations?user=l2_HUikAAAAJ&amp;hl=en</t>
  </si>
  <si>
    <t>https://scholar.google.com.ph/citations?user=l2C6-3wAAAAJ&amp;hl=en</t>
  </si>
  <si>
    <t>https://scholar.google.com.ph/citations?user=LHXzoScAAAAJ&amp;hl=en</t>
  </si>
  <si>
    <t>https://scholar.google.com.ph/citations?user=LkPJJDAAAAAJ&amp;hl=en</t>
  </si>
  <si>
    <t>https://scholar.google.com.ph/citations?user=LWmr9yoAAAAJ&amp;hl=en</t>
  </si>
  <si>
    <t>https://scholar.google.com.ph/citations?user=LYtuKXsAAAAJ&amp;hl=en</t>
  </si>
  <si>
    <t>https://scholar.google.com.ph/citations?user=M7WLlCkAAAAJ&amp;hl=en</t>
  </si>
  <si>
    <t>https://scholar.google.com.ph/citations?user=mjzj_5MAAAAJ&amp;hl=en</t>
  </si>
  <si>
    <t>https://scholar.google.com.ph/citations?user=mOoelE0AAAAJ&amp;hl=en</t>
  </si>
  <si>
    <t>https://scholar.google.com.ph/citations?user=MTFceFMAAAAJ&amp;hl=en</t>
  </si>
  <si>
    <t>https://scholar.google.com.ph/citations?user=mZYV-z0AAAAJ&amp;hl=en</t>
  </si>
  <si>
    <t>https://scholar.google.com.ph/citations?user=N1ILuocAAAAJ&amp;hl=en</t>
  </si>
  <si>
    <t>https://scholar.google.com.ph/citations?user=nE1vbyUAAAAJ&amp;hl=en</t>
  </si>
  <si>
    <t>https://scholar.google.com.ph/citations?user=nF_usQsAAAAJ&amp;hl=en</t>
  </si>
  <si>
    <t>https://scholar.google.com.ph/citations?user=nfQrCJoAAAAJ&amp;hl=en</t>
  </si>
  <si>
    <t>https://scholar.google.com.ph/citations?user=Nrhr2bYAAAAJ&amp;hl=en</t>
  </si>
  <si>
    <t>https://scholar.google.com.ph/citations?user=nvhhXUsAAAAJ&amp;hl=en</t>
  </si>
  <si>
    <t>https://scholar.google.com.ph/citations?user=O0BhRqcAAAAJ&amp;hl=en</t>
  </si>
  <si>
    <t>https://scholar.google.com.ph/citations?user=OgXBE_4AAAAJ&amp;hl=en</t>
  </si>
  <si>
    <t>https://scholar.google.com.ph/citations?user=oSoTwbYAAAAJ&amp;hl=en</t>
  </si>
  <si>
    <t>https://scholar.google.com.ph/citations?user=p5X4YggAAAAJ&amp;hl=en</t>
  </si>
  <si>
    <t>https://scholar.google.com.ph/citations?user=pdxbJg0AAAAJ&amp;hl=en</t>
  </si>
  <si>
    <t>https://scholar.google.com.ph/citations?user=PfSK84oAAAAJ&amp;hl=en</t>
  </si>
  <si>
    <t>https://scholar.google.com.ph/citations?user=Pj3lRPEAAAAJ&amp;hl=en</t>
  </si>
  <si>
    <t>https://scholar.google.com.ph/citations?user=PRwkFbgAAAAJ&amp;hl=en</t>
  </si>
  <si>
    <t>https://scholar.google.com.ph/citations?user=psu2IAcAAAAJ&amp;hl=en</t>
  </si>
  <si>
    <t>https://scholar.google.com.ph/citations?user=PUW7M-oAAAAJ&amp;hl=en</t>
  </si>
  <si>
    <t>https://scholar.google.com.ph/citations?user=Q5V6-2MAAAAJ&amp;hl=en</t>
  </si>
  <si>
    <t>https://scholar.google.com.ph/citations?user=q6VQWEUAAAAJ&amp;hl=en</t>
  </si>
  <si>
    <t>https://scholar.google.com.ph/citations?user=Q7Rwqu8AAAAJ&amp;hl=en</t>
  </si>
  <si>
    <t>https://scholar.google.com.ph/citations?user=QeE2MP0AAAAJ&amp;hl=en</t>
  </si>
  <si>
    <t>https://scholar.google.com.ph/citations?user=QipNk0AAAAAJ&amp;hl=en</t>
  </si>
  <si>
    <t>https://scholar.google.com.ph/citations?user=QS8xUxoAAAAJ&amp;hl=en</t>
  </si>
  <si>
    <t>https://scholar.google.com.ph/citations?user=Qvy9rp8AAAAJ&amp;hl=en</t>
  </si>
  <si>
    <t>https://scholar.google.com.ph/citations?user=qyrZtGEAAAAJ&amp;hl=en</t>
  </si>
  <si>
    <t>https://scholar.google.com.ph/citations?user=r_Ihr_YAAAAJ&amp;hl=en</t>
  </si>
  <si>
    <t>https://scholar.google.com.ph/citations?user=rOvEiAYAAAAJ&amp;hl=en</t>
  </si>
  <si>
    <t>https://scholar.google.com.ph/citations?user=rUiGAwgAAAAJ&amp;hl=en</t>
  </si>
  <si>
    <t>https://scholar.google.com.ph/citations?user=S2t0-fsAAAAJ&amp;hl=en</t>
  </si>
  <si>
    <t>https://scholar.google.com.ph/citations?user=sD5jAUAAAAAJ&amp;hl=en</t>
  </si>
  <si>
    <t>https://scholar.google.com.ph/citations?user=SeyXaCgAAAAJ&amp;hl=en</t>
  </si>
  <si>
    <t>https://scholar.google.com.ph/citations?user=sP0cHYgAAAAJ&amp;hl=en</t>
  </si>
  <si>
    <t>https://scholar.google.com.ph/citations?user=sUXmi6YAAAAJ&amp;hl=en</t>
  </si>
  <si>
    <t>https://scholar.google.com.ph/citations?user=sW3fKzwAAAAJ&amp;hl=en</t>
  </si>
  <si>
    <t>https://scholar.google.com.ph/citations?user=t3fTZggAAAAJ&amp;hl=en</t>
  </si>
  <si>
    <t>https://scholar.google.com.ph/citations?user=t5ooS9UAAAAJ&amp;hl=en</t>
  </si>
  <si>
    <t>https://scholar.google.com.ph/citations?user=TCt3q_AAAAAJ&amp;hl=en</t>
  </si>
  <si>
    <t>https://scholar.google.com.ph/citations?user=tEoLIlAAAAAJ&amp;hl=en</t>
  </si>
  <si>
    <t>https://scholar.google.com.ph/citations?user=Tj1Zk98AAAAJ&amp;hl=en</t>
  </si>
  <si>
    <t>https://scholar.google.com.ph/citations?user=ty_SRGwAAAAJ&amp;hl=en</t>
  </si>
  <si>
    <t>https://scholar.google.com.ph/citations?user=U0WDO9wAAAAJ&amp;hl=en</t>
  </si>
  <si>
    <t>https://scholar.google.com.ph/citations?user=u3DUSbQAAAAJ&amp;hl=en</t>
  </si>
  <si>
    <t>https://scholar.google.com.ph/citations?user=ucOha3sAAAAJ&amp;hl=en</t>
  </si>
  <si>
    <t>https://scholar.google.com.ph/citations?user=uF5PRRcAAAAJ&amp;hl=en</t>
  </si>
  <si>
    <t>https://scholar.google.com.ph/citations?user=UGzbgaIAAAAJ&amp;hl=en</t>
  </si>
  <si>
    <t>https://scholar.google.com.ph/citations?user=UUhJBGYAAAAJ&amp;hl=en</t>
  </si>
  <si>
    <t>https://scholar.google.com.ph/citations?user=UXEZZS0AAAAJ&amp;hl=en</t>
  </si>
  <si>
    <t>https://scholar.google.com.ph/citations?user=UYjGdNcAAAAJ&amp;hl=en</t>
  </si>
  <si>
    <t>https://scholar.google.com.ph/citations?user=v_0-fnoAAAAJ&amp;hl=en</t>
  </si>
  <si>
    <t>https://scholar.google.com.ph/citations?user=v1dOouMAAAAJ&amp;hl=en</t>
  </si>
  <si>
    <t>https://scholar.google.com.ph/citations?user=V4JbMjgAAAAJ&amp;hl=en</t>
  </si>
  <si>
    <t>https://scholar.google.com.ph/citations?user=VD8Apj4AAAAJ&amp;hl=en</t>
  </si>
  <si>
    <t>https://scholar.google.com.ph/citations?user=ViBzERkAAAAJ&amp;hl=en</t>
  </si>
  <si>
    <t>https://scholar.google.com.ph/citations?user=VTq1CqgAAAAJ&amp;hl=en</t>
  </si>
  <si>
    <t>https://scholar.google.com.ph/citations?user=wFHeGocAAAAJ&amp;hl=en</t>
  </si>
  <si>
    <t>https://scholar.google.com.ph/citations?user=wKT8TeMAAAAJ&amp;hl=en</t>
  </si>
  <si>
    <t>https://scholar.google.com.ph/citations?user=WnVZxZUAAAAJ&amp;hl=en</t>
  </si>
  <si>
    <t>https://scholar.google.com.ph/citations?user=woKkxz0AAAAJ&amp;hl=en</t>
  </si>
  <si>
    <t>https://scholar.google.com.ph/citations?user=wpt5pmgAAAAJ&amp;hl=en</t>
  </si>
  <si>
    <t>https://scholar.google.com.ph/citations?user=X21AFaMAAAAJ&amp;hl=en</t>
  </si>
  <si>
    <t>https://scholar.google.com.ph/citations?user=xyV9lRMAAAAJ&amp;hl=en</t>
  </si>
  <si>
    <t>https://scholar.google.com.ph/citations?user=Y4LlGqYAAAAJ&amp;hl=en</t>
  </si>
  <si>
    <t>https://scholar.google.com.ph/citations?user=y8pVoPMAAAAJ&amp;hl=en</t>
  </si>
  <si>
    <t>https://scholar.google.com.ph/citations?user=ydzOUwcAAAAJ&amp;hl=en</t>
  </si>
  <si>
    <t>https://scholar.google.com.ph/citations?user=yFS538MAAAAJ&amp;hl=en</t>
  </si>
  <si>
    <t>https://scholar.google.com.ph/citations?user=Yu63i0UAAAAJ&amp;hl=en</t>
  </si>
  <si>
    <t>https://scholar.google.com.ph/citations?user=Z9b6qjUAAAAJ&amp;hl=en</t>
  </si>
  <si>
    <t>https://scholar.google.com.ph/citations?user=zBA-sD8AAAAJ&amp;hl=en</t>
  </si>
  <si>
    <t>https://scholar.google.com.ph/citations?user=zdTB77IAAAAJ&amp;hl=en</t>
  </si>
  <si>
    <t>https://scholar.google.com.ph/citations?user=Zk5yIpsAAAAJ&amp;hl=en</t>
  </si>
  <si>
    <t>https://scholar.google.com.ph/citations?user=ZlxKpwEAAAAJ&amp;hl=en</t>
  </si>
  <si>
    <t>https://scholar.google.com.ph/citations?user=zn2TBnIAAAAJ&amp;hl=en</t>
  </si>
  <si>
    <t>https://scholar.google.com.ph/citations?user=zpYl8EcAAAAJ&amp;hl=en</t>
  </si>
  <si>
    <t>https://scholar.google.com.ph/citations?user=zXIoStcAAAAJ&amp;hl=en</t>
  </si>
  <si>
    <t>https://scholar.google.com/citations?user=_7calRUAAAAJ&amp;hl=en</t>
  </si>
  <si>
    <t>https://scholar.google.com/citations?user=_Fo84nUAAAAJ&amp;hl=en</t>
  </si>
  <si>
    <t>https://scholar.google.com/citations?user=_FWnFqAAAAAJ&amp;hl=en</t>
  </si>
  <si>
    <t>https://scholar.google.com/citations?user=_zniZ9wAAAAJ&amp;hl=en</t>
  </si>
  <si>
    <t>https://scholar.google.com/citations?user=0Ek20l8AAAAJ&amp;hl=en</t>
  </si>
  <si>
    <t>https://scholar.google.com/citations?user=0evtZSYAAAAJ&amp;hl=en</t>
  </si>
  <si>
    <t>https://scholar.google.com/citations?user=0GQ846EAAAAJ&amp;hl=en</t>
  </si>
  <si>
    <t>https://scholar.google.com/citations?user=0NcBk8UAAAAJ&amp;hl=en</t>
  </si>
  <si>
    <t>https://scholar.google.com/citations?user=0tk4ILQAAAAJ&amp;hl=en</t>
  </si>
  <si>
    <t>https://scholar.google.com/citations?user=1-CwLYIAAAAJ&amp;hl=en</t>
  </si>
  <si>
    <t>https://scholar.google.com/citations?user=1wATtH4AAAAJ&amp;hl=en</t>
  </si>
  <si>
    <t>https://scholar.google.com/citations?user=1WgeAaUAAAAJ&amp;hl=en</t>
  </si>
  <si>
    <t>https://scholar.google.com/citations?user=2_RsG9IAAAAJ&amp;hl=en</t>
  </si>
  <si>
    <t>https://scholar.google.com/citations?user=2ec_E1UAAAAJ&amp;hl=en</t>
  </si>
  <si>
    <t>https://scholar.google.com/citations?user=2h2zINcAAAAJ&amp;hl=en</t>
  </si>
  <si>
    <t>https://scholar.google.com/citations?user=2HzowwUAAAAJ&amp;hl=en</t>
  </si>
  <si>
    <t>https://scholar.google.com/citations?user=2Jao6ucAAAAJ&amp;hl=en</t>
  </si>
  <si>
    <t>https://scholar.google.com/citations?user=2lA4ax0AAAAJ&amp;hl=en</t>
  </si>
  <si>
    <t>https://scholar.google.com/citations?user=2oexqBEAAAAJ&amp;hl=en</t>
  </si>
  <si>
    <t>https://scholar.google.com/citations?user=2QrL8M0AAAAJ&amp;hl=en</t>
  </si>
  <si>
    <t>https://scholar.google.com/citations?user=2tjH9nEAAAAJ&amp;hl=en</t>
  </si>
  <si>
    <t>https://scholar.google.com/citations?user=2ygYangAAAAJ&amp;hl=en</t>
  </si>
  <si>
    <t>https://scholar.google.com/citations?user=3EbC4xMAAAAJ&amp;hl=en</t>
  </si>
  <si>
    <t>https://scholar.google.com/citations?user=3g1pFGgAAAAJ&amp;hl=en</t>
  </si>
  <si>
    <t>https://scholar.google.com/citations?user=3g76V9YAAAAJ&amp;hl=en</t>
  </si>
  <si>
    <t>https://scholar.google.com/citations?user=3QSbxggAAAAJ&amp;hl=en</t>
  </si>
  <si>
    <t>https://scholar.google.com/citations?user=3yiEgloAAAAJ&amp;hl=en</t>
  </si>
  <si>
    <t>https://scholar.google.com/citations?user=4_XxLMUAAAAJ&amp;hl=en</t>
  </si>
  <si>
    <t>https://scholar.google.com/citations?user=4Evqn2wAAAAJ&amp;hl=en</t>
  </si>
  <si>
    <t>https://scholar.google.com/citations?user=54V9vIYAAAAJ&amp;hl=en</t>
  </si>
  <si>
    <t>https://scholar.google.com/citations?user=5aXhaXgAAAAJ&amp;hl=en</t>
  </si>
  <si>
    <t>https://scholar.google.com/citations?user=5-gYUd4AAAAJ&amp;hl=en</t>
  </si>
  <si>
    <t>https://scholar.google.com/citations?user=5kaD7z0AAAAJ&amp;hl=en</t>
  </si>
  <si>
    <t>https://scholar.google.com/citations?user=5RQSmioAAAAJ&amp;hl=en</t>
  </si>
  <si>
    <t>https://scholar.google.com/citations?user=6iqc8gUAAAAJ&amp;hl=en</t>
  </si>
  <si>
    <t>https://scholar.google.com/citations?user=6NKqhUIAAAAJ&amp;hl=en</t>
  </si>
  <si>
    <t>https://scholar.google.com/citations?user=6PhMbRIAAAAJ&amp;hl=en</t>
  </si>
  <si>
    <t>https://scholar.google.com/citations?user=6pQQuqEAAAAJ&amp;hl=en</t>
  </si>
  <si>
    <t>https://scholar.google.com/citations?user=6U4EpNgAAAAJ&amp;hl=en</t>
  </si>
  <si>
    <t>https://scholar.google.com/citations?user=7Q9a6oAAAAAJ&amp;hl=en</t>
  </si>
  <si>
    <t>https://scholar.google.com/citations?user=7vjmZsIAAAAJ&amp;hl=en</t>
  </si>
  <si>
    <t>https://scholar.google.com/citations?user=7Vo9khoAAAAJ&amp;hl=en</t>
  </si>
  <si>
    <t>https://scholar.google.com/citations?user=98HMqmMAAAAJ&amp;hl=en</t>
  </si>
  <si>
    <t>https://scholar.google.com/citations?user=9D84p4QAAAAJ&amp;hl=en</t>
  </si>
  <si>
    <t>https://scholar.google.com/citations?user=9L3ZVM4AAAAJ&amp;hl=en</t>
  </si>
  <si>
    <t>https://scholar.google.com/citations?user=9nASgH4AAAAJ&amp;hl=en</t>
  </si>
  <si>
    <t>https://scholar.google.com/citations?user=9QvYdroAAAAJ&amp;hl=en</t>
  </si>
  <si>
    <t>https://scholar.google.com/citations?user=9R3x_0gAAAAJ&amp;hl=en</t>
  </si>
  <si>
    <t>https://scholar.google.com/citations?user=9ViHWNsAAAAJ&amp;hl=en</t>
  </si>
  <si>
    <t>https://scholar.google.com/citations?user=9zJEZhEAAAAJ&amp;hl=en</t>
  </si>
  <si>
    <t>https://scholar.google.com/citations?user=a053tlYAAAAJ&amp;hl=en</t>
  </si>
  <si>
    <t>https://scholar.google.com/citations?user=ab6yFIAAAAAJ&amp;hl=en</t>
  </si>
  <si>
    <t>https://scholar.google.com/citations?user=ABWbHGAAAAAJ&amp;hl=en</t>
  </si>
  <si>
    <t>https://scholar.google.com/citations?user=AfHMFccAAAAJ&amp;hl=en</t>
  </si>
  <si>
    <t>https://scholar.google.com/citations?user=AnI_WTkAAAAJ&amp;hl=en</t>
  </si>
  <si>
    <t>https://scholar.google.com/citations?user=aydS2XsAAAAJ&amp;hl=en</t>
  </si>
  <si>
    <t>https://scholar.google.com/citations?user=BI0L1WIAAAAJ&amp;hl=en</t>
  </si>
  <si>
    <t>https://scholar.google.com/citations?user=BK9-s6EAAAAJ&amp;hl=en</t>
  </si>
  <si>
    <t>https://scholar.google.com/citations?user=byXzQ4sAAAAJ&amp;hl=en</t>
  </si>
  <si>
    <t>https://scholar.google.com/citations?user=bZ98GoIAAAAJ&amp;hl=en</t>
  </si>
  <si>
    <t>https://scholar.google.com/citations?user=BZCjLCUAAAAJ&amp;hl=en</t>
  </si>
  <si>
    <t>https://scholar.google.com/citations?user=Cb-z1MwAAAAJ&amp;hl=en</t>
  </si>
  <si>
    <t>https://scholar.google.com/citations?user=co_6DWAAAAAJ&amp;hl=en</t>
  </si>
  <si>
    <t>https://scholar.google.com/citations?user=COxIKCIAAAAJ&amp;hl=en</t>
  </si>
  <si>
    <t>https://scholar.google.com/citations?user=CXfsog0AAAAJ&amp;hl=en</t>
  </si>
  <si>
    <t>https://scholar.google.com/citations?user=CZ1SucoAAAAJ&amp;hl=en</t>
  </si>
  <si>
    <t>https://scholar.google.com/citations?user=dLQr294AAAAJ&amp;hl=en</t>
  </si>
  <si>
    <t>https://scholar.google.com/citations?user=DtYuDMQAAAAJ&amp;hl=en</t>
  </si>
  <si>
    <t>https://scholar.google.com/citations?user=dUgx9EoAAAAJ&amp;hl=en</t>
  </si>
  <si>
    <t>https://scholar.google.com/citations?user=DZGlBXUAAAAJ&amp;hl=en</t>
  </si>
  <si>
    <t>https://scholar.google.com/citations?user=e_hkalQAAAAJ&amp;hl=en</t>
  </si>
  <si>
    <t>https://scholar.google.com/citations?user=eC15r2EAAAAJ&amp;hl=en</t>
  </si>
  <si>
    <t>https://scholar.google.com/citations?user=efWsZUoAAAAJ&amp;hl=en</t>
  </si>
  <si>
    <t>https://scholar.google.com/citations?user=EioqMwYAAAAJ&amp;hl=en</t>
  </si>
  <si>
    <t>https://scholar.google.com/citations?user=EkbBTRoAAAAJ&amp;hl=en</t>
  </si>
  <si>
    <t>https://scholar.google.com/citations?user=EPD8e8gAAAAJ&amp;hl=en</t>
  </si>
  <si>
    <t>https://scholar.google.com/citations?user=eRBYQ3oAAAAJ&amp;hl=en</t>
  </si>
  <si>
    <t>https://scholar.google.com/citations?user=fL5sYiQAAAAJ&amp;hl=en</t>
  </si>
  <si>
    <t>https://scholar.google.com/citations?user=fmEGMO8AAAAJ&amp;hl=en</t>
  </si>
  <si>
    <t>https://scholar.google.com/citations?user=FPK6hXMAAAAJ&amp;hl=en</t>
  </si>
  <si>
    <t>https://scholar.google.com/citations?user=FuM6UagAAAAJ&amp;hl=en</t>
  </si>
  <si>
    <t>https://scholar.google.com/citations?user=FvVr6oAAAAAJ&amp;hl=en</t>
  </si>
  <si>
    <t>https://scholar.google.com/citations?user=fz_OulMAAAAJ&amp;hl=en</t>
  </si>
  <si>
    <t>https://scholar.google.com/citations?user=gcqlmDsAAAAJ&amp;hl=en</t>
  </si>
  <si>
    <t>https://scholar.google.com/citations?user=GFVFQb4AAAAJ&amp;hl=en</t>
  </si>
  <si>
    <t>https://scholar.google.com/citations?user=ghp3SkwAAAAJ&amp;hl=en</t>
  </si>
  <si>
    <t>https://scholar.google.com/citations?user=grpe040AAAAJ&amp;hl=en</t>
  </si>
  <si>
    <t>https://scholar.google.com/citations?user=gy7r1eQAAAAJ&amp;hl=en</t>
  </si>
  <si>
    <t>https://scholar.google.com/citations?user=gYKMgEUAAAAJ&amp;hl=en</t>
  </si>
  <si>
    <t>https://scholar.google.com/citations?user=h5Ak7bsAAAAJ&amp;hl=en</t>
  </si>
  <si>
    <t>https://scholar.google.com/citations?user=HBmyDgsAAAAJ&amp;hl=en&amp;authuser=1</t>
  </si>
  <si>
    <t>https://scholar.google.com/citations?user=hILMtUQAAAAJ&amp;hl=en</t>
  </si>
  <si>
    <t>https://scholar.google.com/citations?user=hJyPX4cAAAAJ&amp;hl=en</t>
  </si>
  <si>
    <t>https://scholar.google.com/citations?user=hnJ7PQgAAAAJ&amp;hl=en</t>
  </si>
  <si>
    <t>https://scholar.google.com/citations?user=HO7_3i8AAAAJ&amp;hl=en</t>
  </si>
  <si>
    <t>https://scholar.google.com/citations?user=HS5AqWAAAAAJ&amp;hl=en</t>
  </si>
  <si>
    <t>https://scholar.google.com/citations?user=HSr3W8AAAAAJ&amp;hl=en</t>
  </si>
  <si>
    <t>https://scholar.google.com/citations?user=hYWa_bwAAAAJ&amp;hl=en</t>
  </si>
  <si>
    <t>https://scholar.google.com/citations?user=hZSH7SEAAAAJ&amp;hl=en</t>
  </si>
  <si>
    <t>https://scholar.google.com/citations?user=IVQMUt8AAAAJ&amp;hl=en</t>
  </si>
  <si>
    <t>https://scholar.google.com/citations?user=IYZUu40AAAAJ&amp;hl=en</t>
  </si>
  <si>
    <t>https://scholar.google.com/citations?user=J2SGlSQAAAAJ&amp;hl=en</t>
  </si>
  <si>
    <t>https://scholar.google.com/citations?user=jNU-JocAAAAJ&amp;hl=en</t>
  </si>
  <si>
    <t>https://scholar.google.com/citations?user=K_llbN8AAAAJ&amp;hl=en</t>
  </si>
  <si>
    <t>https://scholar.google.com/citations?user=k5-qrW0AAAAJ&amp;hl=en</t>
  </si>
  <si>
    <t>https://scholar.google.com/citations?user=KffJRdgAAAAJ&amp;hl=en</t>
  </si>
  <si>
    <t>https://scholar.google.com/citations?user=KGmQ_24AAAAJ&amp;hl=en</t>
  </si>
  <si>
    <t>https://scholar.google.com/citations?user=KiN6gZAAAAAJ&amp;hl=en</t>
  </si>
  <si>
    <t>https://scholar.google.com/citations?user=kVoSdycAAAAJ&amp;hl=en</t>
  </si>
  <si>
    <t>https://scholar.google.com/citations?user=kzhQW1AAAAAJ&amp;hl=en</t>
  </si>
  <si>
    <t>https://scholar.google.com/citations?user=LEcBhAMAAAAJ&amp;hl=en</t>
  </si>
  <si>
    <t>https://scholar.google.com/citations?user=lOLIQZ8AAAAJ&amp;hl=en</t>
  </si>
  <si>
    <t>https://scholar.google.com/citations?user=LriirLMAAAAJ&amp;hl=en</t>
  </si>
  <si>
    <t>https://scholar.google.com/citations?user=M0xBwLcAAAAJ&amp;hl=en</t>
  </si>
  <si>
    <t>https://scholar.google.com/citations?user=mgAKQw0AAAAJ&amp;hl=en</t>
  </si>
  <si>
    <t>https://scholar.google.com/citations?user=MKhLuNsAAAAJ&amp;hl=en</t>
  </si>
  <si>
    <t>https://scholar.google.com/citations?user=mS9yrUQAAAAJ&amp;hl=en</t>
  </si>
  <si>
    <t>https://scholar.google.com/citations?user=mwhaXroAAAAJ&amp;hl=en</t>
  </si>
  <si>
    <t>https://scholar.google.com/citations?user=MzffdqIAAAAJ&amp;hl=en</t>
  </si>
  <si>
    <t>https://scholar.google.com/citations?user=NBcJNaYAAAAJ&amp;hl=en</t>
  </si>
  <si>
    <t>https://scholar.google.com/citations?user=NDDMft0AAAAJ&amp;hl=en</t>
  </si>
  <si>
    <t>https://scholar.google.com/citations?user=nE6IM7sAAAAJ&amp;hl=en</t>
  </si>
  <si>
    <t>https://scholar.google.com/citations?user=NQc4iR0AAAAJ&amp;hl=en</t>
  </si>
  <si>
    <t>https://scholar.google.com/citations?user=NTTlUnoAAAAJ&amp;hl=en</t>
  </si>
  <si>
    <t>https://scholar.google.com/citations?user=NuvqUNQAAAAJ&amp;hl=en</t>
  </si>
  <si>
    <t>https://scholar.google.com/citations?user=nwnBOYMAAAAJ&amp;hl=en</t>
  </si>
  <si>
    <t>https://scholar.google.com/citations?user=NWRrbEoAAAAJ&amp;hl=en</t>
  </si>
  <si>
    <t>https://scholar.google.com/citations?user=NZdIdD4AAAAJ&amp;hl=en</t>
  </si>
  <si>
    <t>https://scholar.google.com/citations?user=O6q8ZLQAAAAJ&amp;hl=en</t>
  </si>
  <si>
    <t>https://scholar.google.com/citations?user=OcZic6cAAAAJ&amp;hl=en</t>
  </si>
  <si>
    <t>https://scholar.google.com/citations?user=ooX-QMMAAAAJ&amp;hl=en</t>
  </si>
  <si>
    <t>https://scholar.google.com/citations?user=ouQGyL8AAAAJ&amp;hl=en</t>
  </si>
  <si>
    <t>https://scholar.google.com/citations?user=ovfmgh8AAAAJ&amp;hl=en</t>
  </si>
  <si>
    <t>https://scholar.google.com/citations?user=-P2oJ9sAAAAJ&amp;hl=en</t>
  </si>
  <si>
    <t>https://scholar.google.com/citations?user=PnDRSNgAAAAJ&amp;hl=en</t>
  </si>
  <si>
    <t>https://scholar.google.com/citations?user=PVPzSb8AAAAJ&amp;hl=en</t>
  </si>
  <si>
    <t>https://scholar.google.com/citations?user=pZuyPwYAAAAJ&amp;hl=en</t>
  </si>
  <si>
    <t>https://scholar.google.com/citations?user=Q00ktPsAAAAJ&amp;hl=en</t>
  </si>
  <si>
    <t>https://scholar.google.com/citations?user=Q6LkV4MAAAAJ&amp;hl=en</t>
  </si>
  <si>
    <t>https://scholar.google.com/citations?user=qg1e5xsAAAAJ&amp;hl=en</t>
  </si>
  <si>
    <t>https://scholar.google.com/citations?user=qqD3_6YAAAAJ&amp;hl=en</t>
  </si>
  <si>
    <t>https://scholar.google.com/citations?user=QqHjkDcAAAAJ&amp;hl=en</t>
  </si>
  <si>
    <t>https://scholar.google.com/citations?user=RpdvnXkAAAAJ&amp;hl=en</t>
  </si>
  <si>
    <t>https://scholar.google.com/citations?user=RScL_n4AAAAJ&amp;hl=en</t>
  </si>
  <si>
    <t>https://scholar.google.com/citations?user=rYlme9cAAAAJ&amp;hl=en</t>
  </si>
  <si>
    <t>https://scholar.google.com/citations?user=RYM94sIAAAAJ&amp;hl=en</t>
  </si>
  <si>
    <t>https://scholar.google.com/citations?user=Sbf5NZoAAAAJ&amp;hl=en</t>
  </si>
  <si>
    <t>https://scholar.google.com/citations?user=seDOjF4AAAAJ&amp;hl=en</t>
  </si>
  <si>
    <t>https://scholar.google.com/citations?user=SeZ5RgcAAAAJ&amp;hl=en</t>
  </si>
  <si>
    <t>https://scholar.google.com/citations?user=sGcFnWwAAAAJ&amp;hl=en</t>
  </si>
  <si>
    <t>https://scholar.google.com/citations?user=sswn0tcAAAAJ&amp;hl=en</t>
  </si>
  <si>
    <t>https://scholar.google.com/citations?user=sSZITKgAAAAJ&amp;hl=en</t>
  </si>
  <si>
    <t>https://scholar.google.com/citations?user=t-7_VOkAAAAJ&amp;hl=en</t>
  </si>
  <si>
    <t>https://scholar.google.com/citations?user=thJhOCUAAAAJ&amp;hl=en</t>
  </si>
  <si>
    <t>https://scholar.google.com/citations?user=to9o38sAAAAJ&amp;hl=en</t>
  </si>
  <si>
    <t>https://scholar.google.com/citations?user=tP4H50wAAAAJ&amp;hl=en</t>
  </si>
  <si>
    <t>https://scholar.google.com/citations?user=tsK2A0QAAAAJ&amp;hl=en</t>
  </si>
  <si>
    <t>https://scholar.google.com/citations?user=TV1WdUoAAAAJ&amp;hl=en</t>
  </si>
  <si>
    <t>https://scholar.google.com/citations?user=Tv9y_u8AAAAJ&amp;hl=en</t>
  </si>
  <si>
    <t>https://scholar.google.com/citations?user=tVzJVwgAAAAJ&amp;hl=en</t>
  </si>
  <si>
    <t>https://scholar.google.com/citations?user=tZ24ViQAAAAJ&amp;hl=en</t>
  </si>
  <si>
    <t>https://scholar.google.com/citations?user=tZAaPyAAAAAJ&amp;hl=en</t>
  </si>
  <si>
    <t>https://scholar.google.com/citations?user=U5H2bdUAAAAJ&amp;hl=en</t>
  </si>
  <si>
    <t>https://scholar.google.com/citations?user=uFu5Z2YAAAAJ&amp;hl=en</t>
  </si>
  <si>
    <t>https://scholar.google.com/citations?user=uMCwoLUAAAAJ&amp;hl=en</t>
  </si>
  <si>
    <t>https://scholar.google.com/citations?user=uPA_5joAAAAJ&amp;hl=en</t>
  </si>
  <si>
    <t>https://scholar.google.com/citations?user=UpPlMYwAAAAJ&amp;hl=en</t>
  </si>
  <si>
    <t>https://scholar.google.com/citations?user=uR8UA58AAAAJ&amp;hl=en</t>
  </si>
  <si>
    <t>https://scholar.google.com/citations?user=uTGLxrgAAAAJ&amp;hl=en</t>
  </si>
  <si>
    <t>https://scholar.google.com/citations?user=uUI4_K8AAAAJ&amp;hl=en</t>
  </si>
  <si>
    <t>https://scholar.google.com/citations?user=VCcJk2oAAAAJ&amp;hl=en</t>
  </si>
  <si>
    <t>https://scholar.google.com/citations?user=VeNqwrEAAAAJ&amp;hl=en</t>
  </si>
  <si>
    <t>https://scholar.google.com/citations?user=vfdT-50AAAAJ&amp;hl=en</t>
  </si>
  <si>
    <t>https://scholar.google.com/citations?user=VG_liY4AAAAJ&amp;hl=en</t>
  </si>
  <si>
    <t>https://scholar.google.com/citations?user=VvOjB2MAAAAJ&amp;hl=en</t>
  </si>
  <si>
    <t>https://scholar.google.com/citations?user=w5GSE3MAAAAJ&amp;hl=en</t>
  </si>
  <si>
    <t>https://scholar.google.com/citations?user=wAyQ1M0AAAAJ&amp;hl=en</t>
  </si>
  <si>
    <t>https://scholar.google.com/citations?user=wDQswpQAAAAJ&amp;hl=en</t>
  </si>
  <si>
    <t>https://scholar.google.com/citations?user=-Ws1rSEAAAAJ&amp;hl=en</t>
  </si>
  <si>
    <t>https://scholar.google.com/citations?user=-x9OGtsAAAAJ&amp;hl=en</t>
  </si>
  <si>
    <t>https://scholar.google.com/citations?user=xBvA-LcAAAAJ&amp;hl=en</t>
  </si>
  <si>
    <t>https://scholar.google.com/citations?user=xfW8UvkAAAAJ&amp;hl=en</t>
  </si>
  <si>
    <t>https://scholar.google.com/citations?user=xfZKraEAAAAJ&amp;hl=en</t>
  </si>
  <si>
    <t>https://scholar.google.com/citations?user=Xi-5jXIAAAAJ&amp;hl=en</t>
  </si>
  <si>
    <t>https://scholar.google.com/citations?user=XQmR8u4AAAAJ&amp;hl=en</t>
  </si>
  <si>
    <t>https://scholar.google.com/citations?user=xsSNcewAAAAJ&amp;hl=en</t>
  </si>
  <si>
    <t>https://scholar.google.com/citations?user=XzRcQIAAAAAJ&amp;hl=en</t>
  </si>
  <si>
    <t>https://scholar.google.com/citations?user=Y2mu1nAAAAAJ&amp;hl=en</t>
  </si>
  <si>
    <t>https://scholar.google.com/citations?user=YEo9SUgAAAAJ&amp;hl=en</t>
  </si>
  <si>
    <t>https://scholar.google.com/citations?user=Yfw_SakAAAAJ&amp;hl=en</t>
  </si>
  <si>
    <t>https://scholar.google.com/citations?user=YKHNB98AAAAJ&amp;hl=en</t>
  </si>
  <si>
    <t>https://scholar.google.com/citations?user=Ypg--VcAAAAJ&amp;hl=en</t>
  </si>
  <si>
    <t>https://scholar.google.com/citations?user=yWNwg7gAAAAJ&amp;hl=en</t>
  </si>
  <si>
    <t>https://scholar.google.com/citations?user=YxRHl94AAAAJ&amp;hl=en</t>
  </si>
  <si>
    <t>https://scholar.google.com/citations?user=Z1qu-3MAAAAJ&amp;hl=en</t>
  </si>
  <si>
    <t>https://scholar.google.com/citations?user=zAJ4Me0AAAAJ&amp;hl=en</t>
  </si>
  <si>
    <t>https://scholar.google.com/citations?user=zkSxDEUAAAAJ&amp;hl=en</t>
  </si>
  <si>
    <t>https://scholar.google.com/citations?user=zlSPLp8AAAAJ&amp;hl=en</t>
  </si>
  <si>
    <t>https://scholar.google.com/citations?user=zRUW2ksAAAAJ&amp;hl=en</t>
  </si>
  <si>
    <t>https://scholar.google.com/citations?user=zzD4c9oAAAAJ&amp;hl=en</t>
  </si>
  <si>
    <t>https://scholar.google.com.ph/citations?user=Zj4OF3wAAAAJ&amp;hl=en</t>
  </si>
  <si>
    <t>https://scholar.google.com/citations?user=FBjPT3wAAAAJ&amp;hl</t>
  </si>
  <si>
    <t>https://scholar.google.com/citations?user=_wGTm9wAAAAJ&amp;hl=en</t>
  </si>
  <si>
    <t>https://scholar.google.com/citations?user=0ls-w1wAAAAJ&amp;hl=en</t>
  </si>
  <si>
    <t>https://scholar.google.com/citations?user=0P1TlN4AAAAJ&amp;hl=en</t>
  </si>
  <si>
    <t>https://scholar.google.com/citations?user=0S3b1RUAAAAJ&amp;hl=en</t>
  </si>
  <si>
    <t>https://scholar.google.com/citations?user=0SjiQpwAAAAJ&amp;hl=en</t>
  </si>
  <si>
    <t>https://scholar.google.com/citations?user=0UHgueMAAAAJ&amp;hl=en</t>
  </si>
  <si>
    <t>https://scholar.google.com/citations?user=1TPJPWwAAAAJ&amp;hl=en</t>
  </si>
  <si>
    <t>https://scholar.google.com/citations?user=2OBkQ18AAAAJ&amp;hl=en</t>
  </si>
  <si>
    <t>https://scholar.google.com/citations?user=3flRpM4AAAAJ&amp;hl=en</t>
  </si>
  <si>
    <t>https://scholar.google.com/citations?user=5wsSlFwAAAAJ&amp;hl=en</t>
  </si>
  <si>
    <t>https://scholar.google.com/citations?user=6BCysMwAAAAJ&amp;hl=en</t>
  </si>
  <si>
    <t>https://scholar.google.com/citations?user=6Ya0ym4AAAAJ&amp;hl=en</t>
  </si>
  <si>
    <t>https://scholar.google.com/citations?user=7_aWvEQAAAAJ&amp;hl=en</t>
  </si>
  <si>
    <t>https://scholar.google.com/citations?user=AJwfgaoAAAAJ&amp;hl=en</t>
  </si>
  <si>
    <t>https://scholar.google.com/citations?user=AOP2DRQAAAAJ&amp;hl=en</t>
  </si>
  <si>
    <t>https://scholar.google.com/citations?user=arxHS-YAAAAJ&amp;hl=en</t>
  </si>
  <si>
    <t>https://scholar.google.com/citations?user=bF9UpJsAAAAJ&amp;hl=en</t>
  </si>
  <si>
    <t>https://scholar.google.com/citations?user=byrLx34AAAAJ&amp;hl=en</t>
  </si>
  <si>
    <t>https://scholar.google.com/citations?user=c3GvDHgAAAAJ&amp;hl=en</t>
  </si>
  <si>
    <t>https://scholar.google.com/citations?user=dKISiTYAAAAJ&amp;hl=en</t>
  </si>
  <si>
    <t>https://scholar.google.com/citations?user=doce54QAAAAJ&amp;hl=en</t>
  </si>
  <si>
    <t>https://scholar.google.com/citations?user=eB55IYYAAAAJ&amp;hl=en</t>
  </si>
  <si>
    <t>https://scholar.google.com/citations?user=FkES0FkAAAAJ&amp;hl=en</t>
  </si>
  <si>
    <t>https://scholar.google.com/citations?user=fNjo9pAAAAAJ&amp;hl=en</t>
  </si>
  <si>
    <t>https://scholar.google.com/citations?user=fUBqE7kAAAAJ&amp;hl=en</t>
  </si>
  <si>
    <t>https://scholar.google.com/citations?user=fu-EDusAAAAJ&amp;hl=en</t>
  </si>
  <si>
    <t>https://scholar.google.com/citations?user=gZKiYWwAAAAJ&amp;hl=en</t>
  </si>
  <si>
    <t>https://scholar.google.com/citations?user=H3h-6zMAAAAJ&amp;hl=en</t>
  </si>
  <si>
    <t>https://scholar.google.com/citations?user=h3jUS-EAAAAJ&amp;hl=en</t>
  </si>
  <si>
    <t>https://scholar.google.com/citations?user=H4iL3V0AAAAJ&amp;hl=en</t>
  </si>
  <si>
    <t>https://scholar.google.com/citations?user=hra8PVAAAAAJ&amp;hl=en</t>
  </si>
  <si>
    <t>https://scholar.google.com/citations?user=J16Ac4kAAAAJ&amp;hl=en</t>
  </si>
  <si>
    <t>https://scholar.google.com/citations?user=jgcEZPgAAAAJ&amp;hl=en</t>
  </si>
  <si>
    <t>https://scholar.google.com/citations?user=JqcxamAAAAAJ&amp;hl=en</t>
  </si>
  <si>
    <t>https://scholar.google.com/citations?user=JvRmVhUAAAAJ&amp;hl=en</t>
  </si>
  <si>
    <t>https://scholar.google.com/citations?user=Kg4UUj4AAAAJ&amp;hl=en</t>
  </si>
  <si>
    <t>https://scholar.google.com/citations?user=kNoHPjEAAAAJ&amp;hl=en</t>
  </si>
  <si>
    <t>https://scholar.google.com/citations?user=kpbXtqsAAAAJ&amp;hl=en</t>
  </si>
  <si>
    <t>https://scholar.google.com/citations?user=Kq3hMdYAAAAJ&amp;hl=en</t>
  </si>
  <si>
    <t>https://scholar.google.com/citations?user=krg22b8AAAAJ&amp;hl=en</t>
  </si>
  <si>
    <t>https://scholar.google.com/citations?user=KSv7KvMAAAAJ&amp;hl=en</t>
  </si>
  <si>
    <t>https://scholar.google.com/citations?user=lhqW9cQAAAAJ&amp;hl=en</t>
  </si>
  <si>
    <t>https://scholar.google.com/citations?user=Lw3YsRYAAAAJ&amp;hl=en</t>
  </si>
  <si>
    <t>https://scholar.google.com/citations?user=m1ybMHIAAAAJ&amp;hl=en</t>
  </si>
  <si>
    <t>https://scholar.google.com/citations?user=McofhAwAAAAJ&amp;hl=en</t>
  </si>
  <si>
    <t>https://scholar.google.com/citations?user=MKWAzCUAAAAJ&amp;hl=en</t>
  </si>
  <si>
    <t>https://scholar.google.com/citations?user=n5WmOJ0AAAAJ&amp;hl=en</t>
  </si>
  <si>
    <t>https://scholar.google.com/citations?user=NBCtqiIAAAAJ&amp;hl=en</t>
  </si>
  <si>
    <t>https://scholar.google.com/citations?user=o1BUz-MAAAAJ&amp;hl=en</t>
  </si>
  <si>
    <t>https://scholar.google.com/citations?user=OaHXcpsAAAAJ&amp;hl=en</t>
  </si>
  <si>
    <t>https://scholar.google.com/citations?user=okyGXcAAAAAJ&amp;hl=en</t>
  </si>
  <si>
    <t>https://scholar.google.com/citations?user=olIYV_QAAAAJ&amp;hl=en</t>
  </si>
  <si>
    <t>https://scholar.google.com/citations?user=pE7IqHwAAAAJ&amp;hl=en</t>
  </si>
  <si>
    <t>https://scholar.google.com/citations?user=rbh-JkAAAAAJ&amp;hl=en</t>
  </si>
  <si>
    <t>https://scholar.google.com/citations?user=rHvFzZUAAAAJ&amp;hl=en</t>
  </si>
  <si>
    <t>https://scholar.google.com/citations?user=RRVZtWgAAAAJ&amp;hl=en</t>
  </si>
  <si>
    <t>https://scholar.google.com/citations?user=s4OmX3MAAAAJ&amp;hl=en</t>
  </si>
  <si>
    <t>https://scholar.google.com/citations?user=sAL9a0sAAAAJ&amp;hl=en</t>
  </si>
  <si>
    <t>https://scholar.google.com/citations?user=TGNBWx4AAAAJ&amp;hl=en</t>
  </si>
  <si>
    <t>https://scholar.google.com/citations?user=tJaShosAAAAJ&amp;hl=en</t>
  </si>
  <si>
    <t>https://scholar.google.com/citations?user=u4YjaNgAAAAJ&amp;hl=en</t>
  </si>
  <si>
    <t>https://scholar.google.com/citations?user=uGmaJv4AAAAJ&amp;hl=en</t>
  </si>
  <si>
    <t>https://scholar.google.com/citations?user=vJiwFDMAAAAJ&amp;hl=en</t>
  </si>
  <si>
    <t>https://scholar.google.com/citations?user=VkCclDUAAAAJ&amp;hl=en</t>
  </si>
  <si>
    <t>https://scholar.google.com/citations?user=VP_AYC4AAAAJ&amp;hl=en</t>
  </si>
  <si>
    <t>https://scholar.google.com/citations?user=vzajmWkAAAAJ&amp;hl=en</t>
  </si>
  <si>
    <t>https://scholar.google.com/citations?user=W0oQCxIAAAAJ&amp;hl=en</t>
  </si>
  <si>
    <t>https://scholar.google.com/citations?user=w7DdG-YAAAAJ&amp;hl=en</t>
  </si>
  <si>
    <t>https://scholar.google.com/citations?user=WD3VY6gAAAAJ&amp;hl=en</t>
  </si>
  <si>
    <t>https://scholar.google.com/citations?user=wVaPW3wAAAAJ&amp;hl=en</t>
  </si>
  <si>
    <t>https://scholar.google.com/citations?user=wvDQBB4AAAAJ&amp;hl=en</t>
  </si>
  <si>
    <t>https://scholar.google.com/citations?user=xgr9J9MAAAAJ&amp;hl=en</t>
  </si>
  <si>
    <t>https://scholar.google.com/citations?user=xolGcEIAAAAJ&amp;hl=en</t>
  </si>
  <si>
    <t>https://scholar.google.com/citations?user=XRYodhsAAAAJ&amp;hl=en</t>
  </si>
  <si>
    <t>https://scholar.google.com/citations?user=ybNYWkgAAAAJ&amp;hl=en</t>
  </si>
  <si>
    <t>https://scholar.google.com/citations?user=YC1OjFQAAAAJ&amp;hl=en</t>
  </si>
  <si>
    <t>https://scholar.google.com/citations?user=yeen0jEAAAAJ&amp;hl=en</t>
  </si>
  <si>
    <t>https://scholar.google.com/citations?user=YpkooCgAAAAJ&amp;hl=en</t>
  </si>
  <si>
    <t>https://scholar.google.com/citations?user=yTqXdKknw1cC&amp;hl=en</t>
  </si>
  <si>
    <t>https://scholar.google.com/citations?user=0zKTrQcAAAAJ&amp;hl=en</t>
  </si>
  <si>
    <t>https://scholar.google.com/citations?user=1DMN1tcAAAAJ&amp;hl=en</t>
  </si>
  <si>
    <t>https://scholar.google.com/citations?user=6EYtzVEAAAAJ&amp;hl=en</t>
  </si>
  <si>
    <t>https://scholar.google.com/citations?user=83x28PgAAAAJ&amp;hl=en</t>
  </si>
  <si>
    <t>https://scholar.google.com/citations?user=BG5iIkoAAAAJ&amp;hl=en</t>
  </si>
  <si>
    <t>https://scholar.google.com/citations?user=BNAax5UAAAAJ&amp;hl=en</t>
  </si>
  <si>
    <t>https://scholar.google.com/citations?user=cFcDO2wAAAAJ&amp;hl=en</t>
  </si>
  <si>
    <t>https://scholar.google.com/citations?user=d9KrbTsAAAAJ&amp;hl=en</t>
  </si>
  <si>
    <t>https://scholar.google.com/citations?user=fzDyhcgAAAAJ&amp;hl=en</t>
  </si>
  <si>
    <t>https://scholar.google.com/citations?user=g2lYgo0AAAAJ&amp;hl=en</t>
  </si>
  <si>
    <t>https://scholar.google.com/citations?user=-GG7MfEAAAAJ&amp;hl=en</t>
  </si>
  <si>
    <t>https://scholar.google.com/citations?user=HLK7uAkAAAAJ&amp;hl=en</t>
  </si>
  <si>
    <t>https://scholar.google.com/citations?user=JYxqf2gAAAAJ&amp;hl=en</t>
  </si>
  <si>
    <t>https://scholar.google.com/citations?user=l_KyksEAAAAJ&amp;hl=en</t>
  </si>
  <si>
    <t>https://scholar.google.com/citations?user=nGcuwnMAAAAJ&amp;hl=en</t>
  </si>
  <si>
    <t>https://scholar.google.com/citations?user=pxMRFR4AAAAJ&amp;hl=en</t>
  </si>
  <si>
    <t>https://scholar.google.com/citations?user=qDjmiRoAAAAJ&amp;hl=en</t>
  </si>
  <si>
    <t>https://scholar.google.com/citations?user=RjhjeEEAAAAJ&amp;hl=en</t>
  </si>
  <si>
    <t>https://scholar.google.com/citations?user=trL3_roAAAAJ&amp;hl=en</t>
  </si>
  <si>
    <t>https://scholar.google.com/citations?user=vhnVsuwAAAAJ&amp;hl=en</t>
  </si>
  <si>
    <t>https://scholar.google.com/citations?user=YmyOoaYAAAAJ&amp;hl=en</t>
  </si>
  <si>
    <t>https://scholar.google.com/citations?user=Y-Ne1ugAAAAJ&amp;hl=en</t>
  </si>
  <si>
    <t>https://scholar.google.com/citations?user=z361kwcAAAAJ&amp;hl=en</t>
  </si>
  <si>
    <t>https://scholar.google.com/citations?user=KUDbYw4AAAAJ&amp;hl=en</t>
  </si>
  <si>
    <t>Raphael Bostic</t>
  </si>
  <si>
    <t>https://scholar.google.com/citations?user=7xP-KuAAAAAJ&amp;hl=en&amp;authuser=1</t>
  </si>
  <si>
    <t>https://scholar.google.com/citations?user=YC_-mUAAAAAJ&amp;hl=en&amp;authuser=1</t>
  </si>
  <si>
    <t>https://scholar.google.com/citations?user=xzBMH0cAAAAJ&amp;hl=en&amp;authuser=1</t>
  </si>
  <si>
    <t>Bum Seok Chun</t>
  </si>
  <si>
    <t>https://scholar.google.com/citations?user=D7vYZmQAAAAJ&amp;hl=en&amp;authuser=1</t>
  </si>
  <si>
    <t>https://scholar.google.com/citations?user=vnPLdPoAAAAJ&amp;hl=en&amp;authuser=1</t>
  </si>
  <si>
    <t>Carmen M. Concepcion Rodriguez</t>
  </si>
  <si>
    <t>Dohyung Kim</t>
  </si>
  <si>
    <t>https://scholar.google.com/citations?user=EPPBXzYAAAAJ&amp;hl</t>
  </si>
  <si>
    <t>https://scholar.google.com/citations?user=pz0XHdoAAAAJ&amp;hl</t>
  </si>
  <si>
    <t>https://scholar.google.com/citations?user=3z-SNzQAAAAJ&amp;hl</t>
  </si>
  <si>
    <t>Lucius Hallett</t>
  </si>
  <si>
    <t>https://scholar.google.com/citations?user=ewXHmhMAAAAJ&amp;hl=en</t>
  </si>
  <si>
    <t>https://scholar.google.com/citations?user=SHUhpRUAAAAJ&amp;hl=en</t>
  </si>
  <si>
    <t>https://scholar.google.com/citations?user=mVCOqbcAAAAJ&amp;hl=en</t>
  </si>
  <si>
    <t>https://scholar.google.com/citations?user=krBpDDUAAAAJ&amp;hl</t>
  </si>
  <si>
    <t>https://scholar.google.com/citations?user=dADJ0sUAAAAJ&amp;hl</t>
  </si>
  <si>
    <t>https://scholar.google.com/citations?user=uxN_efQAAAAJ&amp;hl</t>
  </si>
  <si>
    <t>https://scholar.google.com/citations?user=t6bK08gAAAAJ&amp;hl</t>
  </si>
  <si>
    <t>https://scholar.google.com/citations?user=_vKaB3IAAAAJ&amp;hl</t>
  </si>
  <si>
    <t>https://scholar.google.com/citations?user=iVO4g8AAAAAJ&amp;hl=en</t>
  </si>
  <si>
    <t>https://scholar.google.com/citations?user=NXtVUS4AAAAJ&amp;hl</t>
  </si>
  <si>
    <t>https://scholar.google.com/citations?user=gMsi7LwAAAAJ&amp;hl</t>
  </si>
  <si>
    <t>https://scholar.google.com/citations?user=GDyHr80AAAAJ&amp;hl=en&amp;authuser=1</t>
  </si>
  <si>
    <t>https://scholar.google.com/citations?user=SFivcPsAAAAJ&amp;hl=en&amp;authuser=1</t>
  </si>
  <si>
    <t>https://scholar.google.com/citations?user=Sm2cKuQAAAAJ&amp;hl=en&amp;authuser=1</t>
  </si>
  <si>
    <t>https://scholar.google.com/citations?user=MAeIzQMAAAAJ&amp;hl=en&amp;authuser=1</t>
  </si>
  <si>
    <t>https://scholar.google.com/citations?user=S5BU-SsAAAAJ&amp;hl=en&amp;authuser=1</t>
  </si>
  <si>
    <t>https://scholar.google.com/citations?user=jMEA5yMAAAAJ&amp;hl=en&amp;authuser=1</t>
  </si>
  <si>
    <t>https://scholar.google.com/citations?user=Cmsrsv8AAAAJ&amp;hl=en&amp;authuser=1</t>
  </si>
  <si>
    <t>https://scholar.google.com/citations?user=JNNCh48AAAAJ&amp;hl=en&amp;authuser=1</t>
  </si>
  <si>
    <t>https://scholar.google.com/citations?user=E05-_50AAAAJ&amp;hl=en&amp;authuser=1</t>
  </si>
  <si>
    <t>https://scholar.google.com/citations?user=S0y4lCAAAAAJ&amp;hl=en&amp;authuser=1</t>
  </si>
  <si>
    <t>https://scholar.google.com/citations?user=UiKzYNMAAAAJ&amp;hl=en&amp;authuser=1</t>
  </si>
  <si>
    <t>https://scholar.google.com/citations?user=Sr5RBXgAAAAJ&amp;hl=en</t>
  </si>
  <si>
    <t>https://scholar.google.com/citations?user=KBDa5yMAAAAJ&amp;hl=en</t>
  </si>
  <si>
    <t>https://scholar.google.com/citations?user=8fcMBTQAAAAJ&amp;hl=en</t>
  </si>
  <si>
    <t>https://scholar.google.com/citations?user=sF_AKKQAAAAJ&amp;hl=en</t>
  </si>
  <si>
    <t>https://scholar.google.com/citations?user=ngiXpvgAAAAJ&amp;hl=en</t>
  </si>
  <si>
    <t>https://scholar.google.com/citations?user=YdGhnsIAAAAJ&amp;hl=en</t>
  </si>
  <si>
    <t>https://scholar.google.com/citations?user=VFfkbKkAAAAJ&amp;hl=en</t>
  </si>
  <si>
    <t>https://scholar.google.com/citations?user=eyT7IMIAAAAJ&amp;hl=en</t>
  </si>
  <si>
    <t>https://scholar.google.com/citations?user=wfHFzcgAAAAJ&amp;hl=en</t>
  </si>
  <si>
    <t>https://scholar.google.com/citations?user=bI9iZugAAAAJ&amp;hl=en</t>
  </si>
  <si>
    <t>https://scholar.google.com/citations?user=zbew56MAAAAJ&amp;hl=en</t>
  </si>
  <si>
    <t>https://scholar.google.com/citations?user=j20zJ8oAAAAJ&amp;hl=en</t>
  </si>
  <si>
    <t>https://scholar.google.com/citations?user=hR1VV0EAAAAJ&amp;hl=en</t>
  </si>
  <si>
    <t>https://scholar.google.com/citations?user=MepaZWoAAAAJ&amp;hl=en</t>
  </si>
  <si>
    <t>https://scholar.google.com/citations?user=vmdRIzYAAAAJ&amp;hl=en</t>
  </si>
  <si>
    <t>https://scholar.google.com/citations?user=l-wjYAwAAAAJ&amp;hl=en</t>
  </si>
  <si>
    <t>https://scholar.google.com/citations?user=1UvO8dcAAAAJ&amp;hl=en</t>
  </si>
  <si>
    <t>https://scholar.google.com/citations?user=_fEEqz8AAAAJ&amp;hl=en</t>
  </si>
  <si>
    <t>https://scholar.google.com/citations?user=TBvz3IUAAAAJ&amp;hl=en</t>
  </si>
  <si>
    <t>https://scholar.google.com/citations?user=fWC-YFcAAAAJ&amp;hl=en</t>
  </si>
  <si>
    <t>https://scholar.google.com/citations?user=6M-FNBEAAAAJ&amp;hl=en</t>
  </si>
  <si>
    <t>https://scholar.google.com/citations?user=IDlEWUIAAAAJ&amp;hl=en</t>
  </si>
  <si>
    <t>https://scholar.google.com/citations?user=C3TOa-4AAAAJ&amp;hl=en</t>
  </si>
  <si>
    <t>https://scholar.google.com/citations?user=mMAhI9IAAAAJ&amp;hl=en</t>
  </si>
  <si>
    <t>https://scholar.google.com/citations?user=eGRiu4cAAAAJ&amp;hl=en</t>
  </si>
  <si>
    <t>https://scholar.google.com/citations?user=3OQUG7IAAAAJ&amp;hl=en</t>
  </si>
  <si>
    <t>https://scholar.google.com/citations?user=VcmwudUAAAAJ&amp;hl=en</t>
  </si>
  <si>
    <t>https://scholar.google.com/citations?user=nlM7EOYAAAAJ&amp;hl=en</t>
  </si>
  <si>
    <t>https://scholar.google.com/citations?user=tvl8clUAAAAJ&amp;hl=en</t>
  </si>
  <si>
    <t>https://scholar.google.com/citations?user=pHlUNNUAAAAJ&amp;hl=en</t>
  </si>
  <si>
    <t>https://scholar.google.com/citations?user=pC7ynw8AAAAJ&amp;hl=en</t>
  </si>
  <si>
    <t>https://scholar.google.com/citations?user=NAvongwAAAAJ&amp;hl=en</t>
  </si>
  <si>
    <t>https://scholar.google.com/citations?user=AAf0iL8AAAAJ&amp;hl=en</t>
  </si>
  <si>
    <t>https://scholar.google.com/citations?user=qxHjFfYAAAAJ&amp;hl=en</t>
  </si>
  <si>
    <t>https://scholar.google.com/citations?user=Mk29S08AAAAJ&amp;hl=en</t>
  </si>
  <si>
    <t>Phuong Nguyen-Hoang</t>
  </si>
  <si>
    <t>Hoang</t>
  </si>
  <si>
    <t>https://scholar.google.com/citations?user=uSknpnsAAAAJ&amp;hl=en</t>
  </si>
  <si>
    <t>https://scholar.google.com/citations?user=DwCrbKMAAAAJ&amp;hl=en</t>
  </si>
  <si>
    <t>CY2017</t>
  </si>
  <si>
    <t>Malega</t>
  </si>
  <si>
    <t>Ben</t>
  </si>
  <si>
    <t>Kelcie</t>
  </si>
  <si>
    <t>Lei</t>
  </si>
  <si>
    <t>Meng</t>
  </si>
  <si>
    <t>Roberts</t>
  </si>
  <si>
    <t>Danya</t>
  </si>
  <si>
    <t>Rumore</t>
  </si>
  <si>
    <t>Pittman</t>
  </si>
  <si>
    <t>Wenwen</t>
  </si>
  <si>
    <t>Yunji</t>
  </si>
  <si>
    <t>Alberto</t>
  </si>
  <si>
    <t>Fuentes</t>
  </si>
  <si>
    <t>Emmanuel</t>
  </si>
  <si>
    <t>Boamah</t>
  </si>
  <si>
    <t>Martine</t>
  </si>
  <si>
    <t>August</t>
  </si>
  <si>
    <t>Kristina</t>
  </si>
  <si>
    <t>Currans</t>
  </si>
  <si>
    <t>Goddard</t>
  </si>
  <si>
    <t>Brunet</t>
  </si>
  <si>
    <t>Maura</t>
  </si>
  <si>
    <t>Allaire</t>
  </si>
  <si>
    <t>Rosentraub</t>
  </si>
  <si>
    <t>DeCaro</t>
  </si>
  <si>
    <t>Ariel</t>
  </si>
  <si>
    <t>Bierbaum</t>
  </si>
  <si>
    <t>Laiyin</t>
  </si>
  <si>
    <t>Zhu</t>
  </si>
  <si>
    <t>Karner</t>
  </si>
  <si>
    <t>Alina</t>
  </si>
  <si>
    <t>Gross</t>
  </si>
  <si>
    <t>Allie</t>
  </si>
  <si>
    <t>Clayton</t>
  </si>
  <si>
    <t>Howard</t>
  </si>
  <si>
    <t>Dina</t>
  </si>
  <si>
    <t>Adbulkarim</t>
  </si>
  <si>
    <t>Dohyung</t>
  </si>
  <si>
    <t>Don</t>
  </si>
  <si>
    <t>Leonard</t>
  </si>
  <si>
    <t>Stith</t>
  </si>
  <si>
    <t>Lilly</t>
  </si>
  <si>
    <t>Vonasek</t>
  </si>
  <si>
    <t>Joyce</t>
  </si>
  <si>
    <t>Pressley</t>
  </si>
  <si>
    <t>Lieberknecht</t>
  </si>
  <si>
    <t>Krista</t>
  </si>
  <si>
    <t>Evans</t>
  </si>
  <si>
    <t>Hollstein</t>
  </si>
  <si>
    <t>Bjorkman</t>
  </si>
  <si>
    <t>Marcus</t>
  </si>
  <si>
    <t>Hendricks</t>
  </si>
  <si>
    <t>Clary</t>
  </si>
  <si>
    <t>Moe</t>
  </si>
  <si>
    <t>Chowdhury</t>
  </si>
  <si>
    <t>Noah</t>
  </si>
  <si>
    <t>Durst</t>
  </si>
  <si>
    <t>Pascal</t>
  </si>
  <si>
    <t>Haegeli</t>
  </si>
  <si>
    <t>Tamara</t>
  </si>
  <si>
    <t>Laninga</t>
  </si>
  <si>
    <t>Tim</t>
  </si>
  <si>
    <t>Green</t>
  </si>
  <si>
    <t>Andrzej</t>
  </si>
  <si>
    <t>Zarzycki</t>
  </si>
  <si>
    <t>Natasha</t>
  </si>
  <si>
    <t>Iskander</t>
  </si>
  <si>
    <t>Dvorak</t>
  </si>
  <si>
    <t>Klein</t>
  </si>
  <si>
    <t>Linda</t>
  </si>
  <si>
    <t>Shi</t>
  </si>
  <si>
    <t>Taro</t>
  </si>
  <si>
    <t>Narahara</t>
  </si>
  <si>
    <t>Judith</t>
  </si>
  <si>
    <t>Long</t>
  </si>
  <si>
    <t>Doucet</t>
  </si>
  <si>
    <t>Aslıgül</t>
  </si>
  <si>
    <t>Göçmen</t>
  </si>
  <si>
    <t>Daoqin</t>
  </si>
  <si>
    <t>Tong</t>
  </si>
  <si>
    <t>Middlebrooks</t>
  </si>
  <si>
    <t>Ashley</t>
  </si>
  <si>
    <t>Steffens</t>
  </si>
  <si>
    <t>Knowler</t>
  </si>
  <si>
    <t>Felipe</t>
  </si>
  <si>
    <t>Correa</t>
  </si>
  <si>
    <t>Bevan</t>
  </si>
  <si>
    <t>Cunningham</t>
  </si>
  <si>
    <t>Jessica</t>
  </si>
  <si>
    <t>Sewell</t>
  </si>
  <si>
    <t>Davidson</t>
  </si>
  <si>
    <t>Kami</t>
  </si>
  <si>
    <t>Pothukuchi</t>
  </si>
  <si>
    <t>Kathleen</t>
  </si>
  <si>
    <t>Baker</t>
  </si>
  <si>
    <t>Kimberly</t>
  </si>
  <si>
    <t>Burton</t>
  </si>
  <si>
    <t>Cameron</t>
  </si>
  <si>
    <t>DeChano-Cook</t>
  </si>
  <si>
    <t>Lucius</t>
  </si>
  <si>
    <t>Hallett</t>
  </si>
  <si>
    <t>Renee</t>
  </si>
  <si>
    <t>Irvin</t>
  </si>
  <si>
    <t>Sammy</t>
  </si>
  <si>
    <t>Anderson</t>
  </si>
  <si>
    <t>Ryberg</t>
  </si>
  <si>
    <t>Webber</t>
  </si>
  <si>
    <t>Mahyar</t>
  </si>
  <si>
    <t>Arefi</t>
  </si>
  <si>
    <t>Sun</t>
  </si>
  <si>
    <t>Han</t>
  </si>
  <si>
    <t>Betsy</t>
  </si>
  <si>
    <t>Trisalyn</t>
  </si>
  <si>
    <t>AnnaLee</t>
  </si>
  <si>
    <t>Saxenian</t>
  </si>
  <si>
    <t>McNutt</t>
  </si>
  <si>
    <t>Veeck</t>
  </si>
  <si>
    <t>Justice</t>
  </si>
  <si>
    <t>Wolch</t>
  </si>
  <si>
    <t>Tajbakhsh</t>
  </si>
  <si>
    <t>Massey</t>
  </si>
  <si>
    <t>Bullard</t>
  </si>
  <si>
    <t>Kohfeld</t>
  </si>
  <si>
    <t>Reese</t>
  </si>
  <si>
    <t>Faga</t>
  </si>
  <si>
    <t>Carole</t>
  </si>
  <si>
    <t>Galante</t>
  </si>
  <si>
    <t>Whitzman</t>
  </si>
  <si>
    <t>Chansheng</t>
  </si>
  <si>
    <t>He</t>
  </si>
  <si>
    <t>DongMei</t>
  </si>
  <si>
    <t>Earl</t>
  </si>
  <si>
    <t>Gooding</t>
  </si>
  <si>
    <t>Gwen</t>
  </si>
  <si>
    <t>Urey</t>
  </si>
  <si>
    <t>Jack</t>
  </si>
  <si>
    <t>Crowley</t>
  </si>
  <si>
    <t>Emerson</t>
  </si>
  <si>
    <t>Busquets</t>
  </si>
  <si>
    <t>Gaber</t>
  </si>
  <si>
    <t>Ken</t>
  </si>
  <si>
    <t>Lertzman</t>
  </si>
  <si>
    <t>Ezell</t>
  </si>
  <si>
    <t>Servon</t>
  </si>
  <si>
    <t>Marilyn</t>
  </si>
  <si>
    <t>Jaccard</t>
  </si>
  <si>
    <t>Reinberger</t>
  </si>
  <si>
    <t>Maya</t>
  </si>
  <si>
    <t>Wiley</t>
  </si>
  <si>
    <t>Nan</t>
  </si>
  <si>
    <t>Ellin</t>
  </si>
  <si>
    <t>Nezar</t>
  </si>
  <si>
    <t>Alsayyad</t>
  </si>
  <si>
    <t>Cox</t>
  </si>
  <si>
    <t>W</t>
  </si>
  <si>
    <t>Keating</t>
  </si>
  <si>
    <t>Dunn</t>
  </si>
  <si>
    <t>http://aamu.edu/academics/alns/crp/pages/default.aspx</t>
  </si>
  <si>
    <t>http://geoplan.asu.edu/</t>
  </si>
  <si>
    <t>http://cla.auburn.edu/polisci/graduate-programs/master-of-community-planning/about-the-program/</t>
  </si>
  <si>
    <t>http://cms.bsu.edu/Academics/CollegesandDepartments/CAP/Programs/UrbanPlanning.aspx</t>
  </si>
  <si>
    <t>http://planning.calpoly.edu/</t>
  </si>
  <si>
    <t>http://cpp.edu/~urp/index.shtml</t>
  </si>
  <si>
    <t>http://csun.edu/social-behavioral-sciences/urban-studies-planning</t>
  </si>
  <si>
    <t>http://clemson.edu/caah/departments/city-and-regional-planning/</t>
  </si>
  <si>
    <t>http://csuohio.edu/urban/mupd/mupd</t>
  </si>
  <si>
    <t>http://arch.columbia.edu/programs/10-m-s-urban-planning</t>
  </si>
  <si>
    <t>http://aap.cornell.edu/academics/crp</t>
  </si>
  <si>
    <t>http://dal.ca/faculty/architecture-planning/school-of-planning.html</t>
  </si>
  <si>
    <t>http://ecu.edu/cs-cas/plan/</t>
  </si>
  <si>
    <t>http://emich.edu/geo/planning/</t>
  </si>
  <si>
    <t>http://ewu.edu/cbpa/programs/urban-regional-planning</t>
  </si>
  <si>
    <t>http://cdsi.fau.edu/surp/</t>
  </si>
  <si>
    <t>http://coss.fsu.edu/durp/</t>
  </si>
  <si>
    <t>http://planning.gatech.edu/</t>
  </si>
  <si>
    <t>http://gsd.harvard.edu/#/academic-programs/urban-planning-design/urban-planning/index.html</t>
  </si>
  <si>
    <t>http://iup.edu/georegionalplan/</t>
  </si>
  <si>
    <t>http://design.iastate.edu/communityplanning/</t>
  </si>
  <si>
    <t>http://jsums.edu/planning/</t>
  </si>
  <si>
    <t>http://apdesign.k-state.edu/larcp/</t>
  </si>
  <si>
    <t>http://mcgill.ca/urbanplanning/school-urban-planning</t>
  </si>
  <si>
    <t>http://miamioh.edu/cas/academics/departments/geography/academics/majors/urban-regional-planning-major/index.html</t>
  </si>
  <si>
    <t>http://spdc.msu.edu/programs/urban_and_regional_planning</t>
  </si>
  <si>
    <t>http://sbs.mnsu.edu/ursi/</t>
  </si>
  <si>
    <t>http://geosciences.missouristate.edu/</t>
  </si>
  <si>
    <t>http://dusp.mit.edu/</t>
  </si>
  <si>
    <t>http://morgan.edu/sap/crep</t>
  </si>
  <si>
    <t>http://architecture.njit.edu/academics/graduate/mip.php</t>
  </si>
  <si>
    <t>http://wagner.nyu.edu/urbanplanning</t>
  </si>
  <si>
    <t>http://nau.edu/SBS/GPR/Degrees-Programs/Geography/</t>
  </si>
  <si>
    <t>http://knowlton.osu.edu/programs/city-and-regional-planning</t>
  </si>
  <si>
    <t>http://pdx.edu/usp/master-urban-and-regional-planning-murp</t>
  </si>
  <si>
    <t>http://pratt.edu/academics/architecture/city-and-regional-planning/</t>
  </si>
  <si>
    <t>http://queensu.ca/sgs/urban-regional-planning</t>
  </si>
  <si>
    <t>http://bloustein.rutgers.edu/graduate/uppd/</t>
  </si>
  <si>
    <t>http://sebs.rutgers.edu/</t>
  </si>
  <si>
    <t>http://ryerson.ca/surp/</t>
  </si>
  <si>
    <t>http://slu.edu/sustainability/graduate-programs/ms-in-urban-planning-and-development</t>
  </si>
  <si>
    <t>http://sjsu.edu/urbanplanning/</t>
  </si>
  <si>
    <t>http://savannahstate.edu/graduate/degrees-grad-us.shtml</t>
  </si>
  <si>
    <t>http://rem.sfu.ca/programs/mrm-planning/</t>
  </si>
  <si>
    <t>http://albany.edu/gp/</t>
  </si>
  <si>
    <t>http://tyler.temple.edu/programs/planning-community-development</t>
  </si>
  <si>
    <t>http://laup.arch.tamu.edu/</t>
  </si>
  <si>
    <t>http://bjmlspa.tsu.edu/</t>
  </si>
  <si>
    <t>http://newschool.edu/public-engagement/ms-urban-policy-analysis-management/</t>
  </si>
  <si>
    <t>http://ase.tufts.edu/uep/</t>
  </si>
  <si>
    <t>http://ced.berkeley.edu/academics/city-regional-planning/</t>
  </si>
  <si>
    <t>http://ppd.soceco.uci.edu/</t>
  </si>
  <si>
    <t>http://luskin.ucla.edu/urban-planning</t>
  </si>
  <si>
    <t>http://planning.unc.edu/</t>
  </si>
  <si>
    <t>http://urbanisme.umontreal.ca/</t>
  </si>
  <si>
    <t>http://.ulaval.ca/en/academics/faculties-departments-and-schools/planning-architecture-art-and-design.html</t>
  </si>
  <si>
    <t>http://ap.buffalo.edu/academics/graduate-degrees/mup.html</t>
  </si>
  <si>
    <t>http://planning.eas.ualberta.ca/</t>
  </si>
  <si>
    <t>http://capla.arizona.edu/planning-program</t>
  </si>
  <si>
    <t>http://scarp.ubc.ca/</t>
  </si>
  <si>
    <t>http://evds.ucalgary.ca/content/master-planning-mplan</t>
  </si>
  <si>
    <t>http://daap.uc.edu/academics/planning.html</t>
  </si>
  <si>
    <t>http://ucdenver.edu/academics/colleges/ArchitecturePlanning/Academics/DegreePrograms/MURP/Pages/MURP.aspx</t>
  </si>
  <si>
    <t>http://sppa.udel.edu/grad-education/graduate-education/m-a-in-urban-affairs-public-policy</t>
  </si>
  <si>
    <t>http://dcp.ufl.edu/urp/</t>
  </si>
  <si>
    <t>http://ced.uga.edu/degrees/mepd/</t>
  </si>
  <si>
    <t>http://uoguelph.ca/sedrd/rural-planning-development</t>
  </si>
  <si>
    <t>http://manoa.hawaii.edu/durp/</t>
  </si>
  <si>
    <t>http://uidaho.edu/caa/programs/biop</t>
  </si>
  <si>
    <t>http://upp.uic.edu/</t>
  </si>
  <si>
    <t>http://urban.illinois.edu/</t>
  </si>
  <si>
    <t>http://urban.uiowa.edu/</t>
  </si>
  <si>
    <t>http://urbanplanning.ku.edu/</t>
  </si>
  <si>
    <t>http://supa.louisville.edu/</t>
  </si>
  <si>
    <t>http://umanitoba.ca/faculties/architecture/programs/cityplanning/index.html</t>
  </si>
  <si>
    <t>http://arch.umd.edu/ursp/urban-studies-and-planning</t>
  </si>
  <si>
    <t>http://umass.edu/larp/home</t>
  </si>
  <si>
    <t>http://memphis.edu/planning/</t>
  </si>
  <si>
    <t>http://taubmancollege.umich.edu/urbanplanning</t>
  </si>
  <si>
    <t>http://hhh.umn.edu/masters-degrees/master-urban-and-regional-planning</t>
  </si>
  <si>
    <t>http://info.umkc.edu/aupd/academic-programs/urban-planning-design/</t>
  </si>
  <si>
    <t>http://architecture.unl.edu/degree-programs/community-and-regional-planning</t>
  </si>
  <si>
    <t>http://saap.unm.edu/</t>
  </si>
  <si>
    <t>http://uno.edu/cola/planning-and-urban-studies/</t>
  </si>
  <si>
    <t>http://unbc.ca/environmental-planning</t>
  </si>
  <si>
    <t>http://ou.edu/architecture/regional_city_planning.html</t>
  </si>
  <si>
    <t>http://pppm.uoregon.edu/</t>
  </si>
  <si>
    <t>http://design.upenn.edu/city-regional-planning/graduate/work</t>
  </si>
  <si>
    <t>http://gspia.pitt.edu/</t>
  </si>
  <si>
    <t>http://planificacion.uprrp.edu/</t>
  </si>
  <si>
    <t>http://arts.usask.ca/rup/</t>
  </si>
  <si>
    <t>http://spa.usf.edu/graduate/murp/</t>
  </si>
  <si>
    <t>http://usm.maine.edu/muskie</t>
  </si>
  <si>
    <t>http://uta.edu/cappa/academics/planning-landscape-architecture/planning/index.php</t>
  </si>
  <si>
    <t>http://soa.utexas.edu/programs/community-and-regional-planning</t>
  </si>
  <si>
    <t>http://cacp.utsa.edu/academic-programs/urban-and-regional-planning/explore-urban-and-regional-planning/</t>
  </si>
  <si>
    <t>http://utoledo.edu/llss/geography/</t>
  </si>
  <si>
    <t>http://geography.utoronto.ca/graduate-planning/</t>
  </si>
  <si>
    <t>http://plan.cap.utah.edu/</t>
  </si>
  <si>
    <t>http://arch.virginia.edu/urban-environmental-planning</t>
  </si>
  <si>
    <t>http://urbdp.be.washington.edu/</t>
  </si>
  <si>
    <t>http://uwaterloo.ca/planning/</t>
  </si>
  <si>
    <t>http://urpl.wisc.edu/</t>
  </si>
  <si>
    <t>http://.uwm.edu/sarup/program/planning/</t>
  </si>
  <si>
    <t>http://priceschool.usc.edu/programs/masters/mpl/</t>
  </si>
  <si>
    <t>http://wilder.vcu.edu/academic/urban/</t>
  </si>
  <si>
    <t>http://uap.vt.edu/</t>
  </si>
  <si>
    <t>http://clas.wayne.edu/DUSP/Master-of-Urban-Planning-Program</t>
  </si>
  <si>
    <t>http://wcupa.edu/_academics/sch_sba.geo/</t>
  </si>
  <si>
    <t>http://wmich.edu/geography/community-regional-planning</t>
  </si>
  <si>
    <t>http://westfield.ma.edu/academics/geography-and-regional-planning-department</t>
  </si>
  <si>
    <t>http://fesplanning.apps01.yorku.ca</t>
  </si>
  <si>
    <t/>
  </si>
  <si>
    <t>https://researchgate.net/profile/Berneece_Herbert</t>
  </si>
  <si>
    <t>https://researchgate.net/profile/Jacob_Oluwoye</t>
  </si>
  <si>
    <t>https://researchgate.net/profile/Kim_Hill4</t>
  </si>
  <si>
    <t>https://researchgate.net/profile/Michael_Kuby</t>
  </si>
  <si>
    <t>https://researchgate.net/profile/Kelli_Larson</t>
  </si>
  <si>
    <t>https://researchgate.net/profile/Deirdre_Pfeiffer</t>
  </si>
  <si>
    <t>https://researchgate.net/profile/Elizabeth_Wentz</t>
  </si>
  <si>
    <t>https://researchgate.net/profile/Jay_Mittal2</t>
  </si>
  <si>
    <t>https://researchgate.net/profile/Lohren_Deeg</t>
  </si>
  <si>
    <t>https://researchgate.net/profile/Sanglim_Yoo</t>
  </si>
  <si>
    <t>https://researchgate.net/profile/Adrienne_Greve/</t>
  </si>
  <si>
    <t>https://researchgate.net/profile/Cornelius_Nuworsoo</t>
  </si>
  <si>
    <t>https://researchgate.net/profile/Vicente_Del_Rio</t>
  </si>
  <si>
    <t>https://researchgate.net/profile/William_Siembieda</t>
  </si>
  <si>
    <t>https://researchgate.net/profile/Jerry_Mitchell</t>
  </si>
  <si>
    <t>https://researchgate.net/profile/Henrik_Minassians</t>
  </si>
  <si>
    <t>https://researchgate.net/profile/Zeynep_Aytug3</t>
  </si>
  <si>
    <t>https://researchgate.net/profile/Caitlin_Dyckman</t>
  </si>
  <si>
    <t>https://researchgate.net/profile/Cliff_Ellis</t>
  </si>
  <si>
    <t>https://researchgate.net/profile/Mickey_Lauria</t>
  </si>
  <si>
    <t>https://researchgate.net/profile/Eric_Morris6</t>
  </si>
  <si>
    <t>https://researchgate.net/profile/Thomas_Schurch</t>
  </si>
  <si>
    <t>https://researchgate.net/profile/James_Spencer6</t>
  </si>
  <si>
    <t>https://researchgate.net/profile/Sanda_Kaufman</t>
  </si>
  <si>
    <t>https://researchgate.net/profile/Robert_Simons3</t>
  </si>
  <si>
    <t>https://researchgate.net/profile/Rosie_Tighe</t>
  </si>
  <si>
    <t>https://researchgate.net/profile/Lance_Freeman</t>
  </si>
  <si>
    <t>https://researchgate.net/profile/Elliott_Sclar</t>
  </si>
  <si>
    <t>https://researchgate.net/profile/Thomas_Campanella2</t>
  </si>
  <si>
    <t>https://researchgate.net/profile/John_Forester</t>
  </si>
  <si>
    <t>https://researchgate.net/profile/Jennifer_Minner</t>
  </si>
  <si>
    <t>https://researchgate.net/profile/Stephan_Schmidt9</t>
  </si>
  <si>
    <t>https://researchgate.net/profile/Mildred_Warner</t>
  </si>
  <si>
    <t>https://researchgate.net/profile/Misun_Hur</t>
  </si>
  <si>
    <t>https://researchgate.net/profile/Anuradha_Mukherji</t>
  </si>
  <si>
    <t>https://researchgate.net/profile/Mulatu_Wubneh</t>
  </si>
  <si>
    <t>https://researchgate.net/profile/Kerry_Brooks</t>
  </si>
  <si>
    <t>https://researchgate.net/profile/Eric_Dumbaugh</t>
  </si>
  <si>
    <t>https://researchgate.net/profile/Yanmei_Li8</t>
  </si>
  <si>
    <t>https://researchgate.net/profile/Diana_Mitsova</t>
  </si>
  <si>
    <t>https://researchgate.net/profile/Jesse_Saginor</t>
  </si>
  <si>
    <t>https://researchgate.net/profile/William_Butler11</t>
  </si>
  <si>
    <t>https://researchgate.net/profile/Timothy_Chapin</t>
  </si>
  <si>
    <t>https://researchgate.net/profile/Petra_Doan</t>
  </si>
  <si>
    <t>https://researchgate.net/profile/Michael_Duncan9</t>
  </si>
  <si>
    <t>https://researchgate.net/profile/Rebecca_Miles4</t>
  </si>
  <si>
    <t>https://researchgate.net/profile/William_Drummond2</t>
  </si>
  <si>
    <t>https://researchgate.net/profile/Bruce_Stiftel</t>
  </si>
  <si>
    <t>https://researchgate.net/profile/Michael_Hooper4</t>
  </si>
  <si>
    <t>https://researchgate.net/profile/Richard_Peiser</t>
  </si>
  <si>
    <t>https://researchgate.net/profile/Peter_Rowe8</t>
  </si>
  <si>
    <t>https://researchgate.net/profile/Sudeshna_Ghosh</t>
  </si>
  <si>
    <t>https://researchgate.net/profile/Calvin_Masilela3</t>
  </si>
  <si>
    <t>https://researchgate.net/profile/Monica_Haddad</t>
  </si>
  <si>
    <t>https://researchgate.net/profile/Francis_Owusu3</t>
  </si>
  <si>
    <t>https://researchgate.net/profile/Edmund_Merem</t>
  </si>
  <si>
    <t>https://researchgate.net/profile/La_Barbara_Wigfall</t>
  </si>
  <si>
    <t>https://researchgate.net/profile/Madhav_Badami</t>
  </si>
  <si>
    <t>https://researchgate.net/profile/Ahmed_El-Geneidy</t>
  </si>
  <si>
    <t>https://researchgate.net/profile/Richard_Shearmur</t>
  </si>
  <si>
    <t>https://researchgate.net/profile/David_Prytherch2</t>
  </si>
  <si>
    <t>https://researchgate.net/profile/Zenia_Kotval</t>
  </si>
  <si>
    <t>https://researchgate.net/profile/Raymond_Asomani-Boateng</t>
  </si>
  <si>
    <t>https://researchgate.net/profile/Russell_Fricano</t>
  </si>
  <si>
    <t>https://researchgate.net/profile/Rajinder_Jutla</t>
  </si>
  <si>
    <t>https://researchgate.net/profile/Alice_Berger2</t>
  </si>
  <si>
    <t>https://researchgate.net/profile/David_Geltner</t>
  </si>
  <si>
    <t>https://researchgate.net/profile/Chris_Zegras</t>
  </si>
  <si>
    <t>https://researchgate.net/profile/Mary_Anne_Akers</t>
  </si>
  <si>
    <t>https://researchgate.net/profile/Tonya_Sanders</t>
  </si>
  <si>
    <t>https://researchgate.net/profile/Siddhartha_Sen5</t>
  </si>
  <si>
    <t>https://researchgate.net/profile/Hyeonshic_Shin</t>
  </si>
  <si>
    <t>https://researchgate.net/profile/Ingrid_Ellen</t>
  </si>
  <si>
    <t>https://researchgate.net/profile/Zhan_Guo</t>
  </si>
  <si>
    <t>https://researchgate.net/profile/Mitchell_Moss</t>
  </si>
  <si>
    <t>https://researchgate.net/profile/Paul_Smoke</t>
  </si>
  <si>
    <t>https://researchgate.net/profile/Alan_Lew</t>
  </si>
  <si>
    <t>https://researchgate.net/profile/Gulsah_Akar</t>
  </si>
  <si>
    <t>https://researchgate.net/profile/Maria_Conroy</t>
  </si>
  <si>
    <t>https://researchgate.net/profile/Bernadette_Hanlon</t>
  </si>
  <si>
    <t>https://researchgate.net/profile/Jesus_Lara3</t>
  </si>
  <si>
    <t>https://researchgate.net/profile/Mattijs_Van_Maasakkers</t>
  </si>
  <si>
    <t>https://researchgate.net/profile/Lisa_Bates2</t>
  </si>
  <si>
    <t>https://researchgate.net/profile/Yiping_Fang</t>
  </si>
  <si>
    <t>https://researchgate.net/profile/Karen_Gibson5</t>
  </si>
  <si>
    <t>https://researchgate.net/profile/Aaron_Golub</t>
  </si>
  <si>
    <t>https://researchgate.net/profile/Nathan_McClintock</t>
  </si>
  <si>
    <t>https://researchgate.net/profile/Connie_Ozawa</t>
  </si>
  <si>
    <t>https://researchgate.net/profile/Vivek_Shandas</t>
  </si>
  <si>
    <t>https://researchgate.net/profile/Marisa_Zapata</t>
  </si>
  <si>
    <t>https://researchgate.net/profile/Ayse_Yonder</t>
  </si>
  <si>
    <t>https://researchgate.net/profile/Clinton_Andrews</t>
  </si>
  <si>
    <t>https://researchgate.net/profile/James_Defilippis2</t>
  </si>
  <si>
    <t>https://researchgate.net/profile/Robert_Lake3</t>
  </si>
  <si>
    <t>https://researchgate.net/profile/Kathe_Newman</t>
  </si>
  <si>
    <t>https://researchgate.net/profile/Michael_Smart2</t>
  </si>
  <si>
    <t>https://researchgate.net/profile/David_Amborski</t>
  </si>
  <si>
    <t>https://researchgate.net/profile/Jaclene_Begley</t>
  </si>
  <si>
    <t>https://researchgate.net/profile/Christopher_De_Sousa/</t>
  </si>
  <si>
    <t>https://researchgate.net/profile/Raktim_Mitra</t>
  </si>
  <si>
    <t>https://researchgate.net/profile/Sarah_Coffin</t>
  </si>
  <si>
    <t>https://researchgate.net/profile/Asha_Agrawal</t>
  </si>
  <si>
    <t>https://researchgate.net/profile/Shishir_Mathur2</t>
  </si>
  <si>
    <t>https://researchgate.net/profile/Hilary_Nixon</t>
  </si>
  <si>
    <t>https://researchgate.net/profile/Deden_Rukmana</t>
  </si>
  <si>
    <t>https://researchgate.net/profile/Ray_Bromley</t>
  </si>
  <si>
    <t>https://researchgate.net/profile/Lynn_Mandarano</t>
  </si>
  <si>
    <t>https://researchgate.net/profile/Philip_Berke/</t>
  </si>
  <si>
    <t>https://researchgate.net/profile/Samuel_Brody</t>
  </si>
  <si>
    <t>https://researchgate.net/profile/Cecilia_Giusti4</t>
  </si>
  <si>
    <t>https://researchgate.net/profile/Chanam_Lee</t>
  </si>
  <si>
    <t>https://researchgate.net/profile/Ming-Han_Li</t>
  </si>
  <si>
    <t>https://researchgate.net/profile/Forster_Ndubisi</t>
  </si>
  <si>
    <t>https://researchgate.net/profile/Walter_Peacock/</t>
  </si>
  <si>
    <t>https://researchgate.net/profile/George_Rogers2</t>
  </si>
  <si>
    <t>https://researchgate.net/profile/Shannon_Van_Zandt</t>
  </si>
  <si>
    <t>https://researchgate.net/profile/Glenn_Johnson5</t>
  </si>
  <si>
    <t>https://researchgate.net/profile/Qisheng_Pan</t>
  </si>
  <si>
    <t>https://researchgate.net/profile/Lalita_Sen</t>
  </si>
  <si>
    <t>https://researchgate.net/profile/Laura_Solitare</t>
  </si>
  <si>
    <t>https://researchgate.net/profile/Darrick_Hamilton</t>
  </si>
  <si>
    <t>https://researchgate.net/profile/Rachel_Meltzer</t>
  </si>
  <si>
    <t>https://researchgate.net/profile/Sheldon_Krimsky</t>
  </si>
  <si>
    <t>https://researchgate.net/profile/Charisma_Acey</t>
  </si>
  <si>
    <t>https://researchgate.net/profile/Karen_Chapple</t>
  </si>
  <si>
    <t>https://researchgate.net/profile/Daniel_Chatman</t>
  </si>
  <si>
    <t>https://researchgate.net/profile/Jason_Corburn</t>
  </si>
  <si>
    <t>https://researchgate.net/profile/John_Radke</t>
  </si>
  <si>
    <t>https://researchgate.net/profile/Daniel_Rodriguez87</t>
  </si>
  <si>
    <t>https://researchgate.net/profile/Paul_Waddell</t>
  </si>
  <si>
    <t>https://researchgate.net/profile/Victoria_Basolo</t>
  </si>
  <si>
    <t>https://researchgate.net/profile/Martha_Feldman</t>
  </si>
  <si>
    <t>https://researchgate.net/profile/Seth_Pipkin</t>
  </si>
  <si>
    <t>https://researchgate.net/profile/Evelyn_Blumenberg/</t>
  </si>
  <si>
    <t>https://researchgate.net/profile/Susanna_Hecht</t>
  </si>
  <si>
    <t>https://researchgate.net/profile/Michael_Lens</t>
  </si>
  <si>
    <t>https://researchgate.net/profile/Michael_Manville</t>
  </si>
  <si>
    <t>https://researchgate.net/profile/Paavo_Monkkonen</t>
  </si>
  <si>
    <t>https://researchgate.net/profile/Michael_Storper</t>
  </si>
  <si>
    <t>https://researchgate.net/profile/Lois_Takahashi</t>
  </si>
  <si>
    <t>https://researchgate.net/profile/Brian_Taylor10</t>
  </si>
  <si>
    <t>https://researchgate.net/profile/Chris_Tilly/</t>
  </si>
  <si>
    <t>https://researchgate.net/profile/Todd_Bendor2</t>
  </si>
  <si>
    <t>https://researchgate.net/profile/T_Lester</t>
  </si>
  <si>
    <t>https://researchgate.net/profile/Mai_Nguyen31</t>
  </si>
  <si>
    <t>https://researchgate.net/profile/Spurlock_Danielle</t>
  </si>
  <si>
    <t>https://researchgate.net/profile/Meenu_Tewari</t>
  </si>
  <si>
    <t>https://researchgate.net/profile/Samina_Raja2</t>
  </si>
  <si>
    <t>https://researchgate.net/profile/Robert_Shibley</t>
  </si>
  <si>
    <t>https://researchgate.net/profile/Robert_Silverman5</t>
  </si>
  <si>
    <t>https://researchgate.net/profile/Ernest_Sternberg</t>
  </si>
  <si>
    <t>https://researchgate.net/profile/Henry_Taylor_Jr</t>
  </si>
  <si>
    <t>https://researchgate.net/profile/Ying_Liu38</t>
  </si>
  <si>
    <t>https://researchgate.net/profile/Kristof_Assche</t>
  </si>
  <si>
    <t>https://researchgate.net/profile/Theresa_Garvin</t>
  </si>
  <si>
    <t>https://researchgate.net/profile/T_Mcgee2</t>
  </si>
  <si>
    <t>https://researchgate.net/profile/Rob_Shields</t>
  </si>
  <si>
    <t>https://researchgate.net/profile/Manish_Shirgaokar</t>
  </si>
  <si>
    <t>https://researchgate.net/profile/Kyle_Whitfield</t>
  </si>
  <si>
    <t>https://researchgate.net/profile/Arthur_Nelson</t>
  </si>
  <si>
    <t>https://researchgate.net/profile/Andrew_Sanderford</t>
  </si>
  <si>
    <t>https://researchgate.net/profile/Leonora_Angeles</t>
  </si>
  <si>
    <t>https://researchgate.net/profile/Lawrence_Frank3</t>
  </si>
  <si>
    <t>https://researchgate.net/profile/Jordi_Honey-Roses</t>
  </si>
  <si>
    <t>https://researchgate.net/profile/Thomas_Hutton3</t>
  </si>
  <si>
    <t>https://researchgate.net/profile/Michael_Leaf</t>
  </si>
  <si>
    <t>https://researchgate.net/profile/Tim_Mcdaniels</t>
  </si>
  <si>
    <t>https://researchgate.net/profile/Maged_Senbel</t>
  </si>
  <si>
    <t>https://researchgate.net/profile/Mark_Stevens12</t>
  </si>
  <si>
    <t>https://researchgate.net/profile/Johanna_Looye</t>
  </si>
  <si>
    <t>https://researchgate.net/profile/David_Varady</t>
  </si>
  <si>
    <t>https://researchgate.net/profile/Xinhao_Wang</t>
  </si>
  <si>
    <t>https://researchgate.net/profile/Carrie_Makarewicz</t>
  </si>
  <si>
    <t>https://researchgate.net/profile/Austin_Troy</t>
  </si>
  <si>
    <t>https://researchgate.net/profile/Andrea_Sarzynski</t>
  </si>
  <si>
    <t>https://researchgate.net/profile/Abhinav_Alakshendra</t>
  </si>
  <si>
    <t>https://researchgate.net/profile/Zhong-Ren_Peng</t>
  </si>
  <si>
    <t>https://researchgate.net/profile/Ruth_Steiner</t>
  </si>
  <si>
    <t>https://researchgate.net/profile/Paul_Zwick</t>
  </si>
  <si>
    <t>https://researchgate.net/profile/Stephen_Ramos</t>
  </si>
  <si>
    <t>https://researchgate.net/profile/Rosanna_Rivero</t>
  </si>
  <si>
    <t>https://researchgate.net/profile/Peter_Flachsbart</t>
  </si>
  <si>
    <t>https://researchgate.net/profile/Karl_Kim</t>
  </si>
  <si>
    <t>https://researchgate.net/profile/Luciano_Minerbi/</t>
  </si>
  <si>
    <t>https://researchgate.net/profile/Karen_Umemoto/</t>
  </si>
  <si>
    <t>https://researchgate.net/profile/Lilian_Alessa</t>
  </si>
  <si>
    <t>https://researchgate.net/profile/Lorie_Higgins</t>
  </si>
  <si>
    <t>https://researchgate.net/profile/Michael_Lowry3</t>
  </si>
  <si>
    <t>https://researchgate.net/profile/Jaap_Vos</t>
  </si>
  <si>
    <t>https://researchgate.net/profile/Philip_Watson5</t>
  </si>
  <si>
    <t>https://researchgate.net/profile/Philip_Ashton</t>
  </si>
  <si>
    <t>https://researchgate.net/profile/John_Betancur</t>
  </si>
  <si>
    <t>https://researchgate.net/profile/Teresa_Cordova</t>
  </si>
  <si>
    <t>https://researchgate.net/profile/Joshua_Drucker</t>
  </si>
  <si>
    <t>https://researchgate.net/profile/Brenda_Parker3</t>
  </si>
  <si>
    <t>https://researchgate.net/profile/Janet_Smith17</t>
  </si>
  <si>
    <t>https://researchgate.net/profile/Nik_Theodore</t>
  </si>
  <si>
    <t>https://researchgate.net/profile/Nebiyou_Tilahu</t>
  </si>
  <si>
    <t>https://researchgate.net/profile/Rachel_Weber</t>
  </si>
  <si>
    <t>https://researchgate.net/profile/Moira_Zellner</t>
  </si>
  <si>
    <t>https://researchgate.net/profile/Arnab_Chakraborty8</t>
  </si>
  <si>
    <t>https://researchgate.net/profile/Bumsoo_Lee</t>
  </si>
  <si>
    <t>https://researchgate.net/profile/Faranak_Miraftab</t>
  </si>
  <si>
    <t>https://researchgate.net/profile/Daniel_Schneider13</t>
  </si>
  <si>
    <t>https://researchgate.net/profile/Bev_Wilson</t>
  </si>
  <si>
    <t>https://researchgate.net/profile/Jerry_Anthony</t>
  </si>
  <si>
    <t>https://researchgate.net/profile/Charles_Connerly/</t>
  </si>
  <si>
    <t>https://researchgate.net/profile/Haifeng_Qian4</t>
  </si>
  <si>
    <t>https://researchgate.net/profile/Scott_Spak</t>
  </si>
  <si>
    <t>https://researchgate.net/profile/Steven_Spears</t>
  </si>
  <si>
    <t>https://researchgate.net/profile/Bonnie_Johnson4</t>
  </si>
  <si>
    <t>https://researchgate.net/profile/Ward_Lyles</t>
  </si>
  <si>
    <t>https://researchgate.net/profile/Kirk_Mcclure</t>
  </si>
  <si>
    <t>https://researchgate.net/profile/Stacey_White5</t>
  </si>
  <si>
    <t>https://researchgate.net/profile/John_Gilderbloom2</t>
  </si>
  <si>
    <t>https://researchgate.net/profile/Frank_Goetzke</t>
  </si>
  <si>
    <t>https://researchgate.net/profile/David_Imbroscio</t>
  </si>
  <si>
    <t>https://researchgate.net/profile/David_Simpson23</t>
  </si>
  <si>
    <t>https://researchgate.net/profile/Casey_Dawkins</t>
  </si>
  <si>
    <t>https://researchgate.net/profile/Sonia_Hirt</t>
  </si>
  <si>
    <t>https://researchgate.net/profile/Gerrit_Jan_Knaap</t>
  </si>
  <si>
    <t>https://researchgate.net/profile/Willow_Lung-Amam_PhD</t>
  </si>
  <si>
    <t>https://researchgate.net/profile/Elizabeth_Brabec</t>
  </si>
  <si>
    <t>https://researchgate.net/profile/Charles_Santo</t>
  </si>
  <si>
    <t>https://researchgate.net/profile/Maria_Arquero_de_Alarcon</t>
  </si>
  <si>
    <t>https://researchgate.net/profile/Lan_Deng2</t>
  </si>
  <si>
    <t>https://researchgate.net/profile/Robert_Goodspeed</t>
  </si>
  <si>
    <t>https://researchgate.net/profile/Larissa_Larsen</t>
  </si>
  <si>
    <t>https://researchgate.net/profile/Jonathan_Levine4</t>
  </si>
  <si>
    <t>https://researchgate.net/profile/Richard_Norton</t>
  </si>
  <si>
    <t>https://researchgate.net/profile/Ana_Paula_Pimentel_Walker</t>
  </si>
  <si>
    <t>https://researchgate.net/profile/Ragui_Assaad</t>
  </si>
  <si>
    <t>https://researchgate.net/profile/John_Bryson4</t>
  </si>
  <si>
    <t>https://researchgate.net/profile/Michael_Frisch5</t>
  </si>
  <si>
    <t>https://researchgate.net/profile/Jacob_Wagner3</t>
  </si>
  <si>
    <t>https://researchgate.net/profile/Rodrigo_Cantarero</t>
  </si>
  <si>
    <t>https://researchgate.net/profile/Daniel_Piatkowski</t>
  </si>
  <si>
    <t>https://researchgate.net/profile/Zhenghong_Tang</t>
  </si>
  <si>
    <t>https://researchgate.net/profile/Renia_Ehrenfeucht</t>
  </si>
  <si>
    <t>https://researchgate.net/profile/Claudia_Isaac</t>
  </si>
  <si>
    <t>https://researchgate.net/profile/Caroline_Scruggs</t>
  </si>
  <si>
    <t>https://researchgate.net/profile/Anna_Brand3</t>
  </si>
  <si>
    <t>https://researchgate.net/profile/Marla_Nelson/</t>
  </si>
  <si>
    <t>https://researchgate.net/profile/Bethany_Stich</t>
  </si>
  <si>
    <t>https://researchgate.net/profile/Bryce_Lowery</t>
  </si>
  <si>
    <t>https://researchgate.net/profile/Guoqiang_Shen2</t>
  </si>
  <si>
    <t>https://researchgate.net/profile/Richard_Margerum</t>
  </si>
  <si>
    <t>https://researchgate.net/profile/Marc_Schlossberg</t>
  </si>
  <si>
    <t>https://researchgate.net/profile/Yizhao_Yang</t>
  </si>
  <si>
    <t>https://researchgate.net/profile/Eugenie_Birch</t>
  </si>
  <si>
    <t>https://researchgate.net/profile/Thomas_Daniels5</t>
  </si>
  <si>
    <t>https://researchgate.net/profile/John_Landis3</t>
  </si>
  <si>
    <t>https://researchgate.net/profile/D_Vitiello</t>
  </si>
  <si>
    <t>https://researchgate.net/profile/George_Dougherty/</t>
  </si>
  <si>
    <t>https://researchgate.net/profile/Marcela_Rivas</t>
  </si>
  <si>
    <t>https://researchgate.net/profile/Criseida_Navarro-Diaz</t>
  </si>
  <si>
    <t>https://researchgate.net/profile/Robin_Ersing</t>
  </si>
  <si>
    <t>https://researchgate.net/profile/Ardeshir_Anjomani</t>
  </si>
  <si>
    <t>https://researchgate.net/profile/Ivonne_Audirac</t>
  </si>
  <si>
    <t>https://researchgate.net/profile/Maria_Martinez-Cosio</t>
  </si>
  <si>
    <t>https://researchgate.net/profile/Elizabeth_Mueller2</t>
  </si>
  <si>
    <t>https://researchgate.net/profile/Patricia_Wilson10</t>
  </si>
  <si>
    <t>https://researchgate.net/profile/Robert_Young28</t>
  </si>
  <si>
    <t>https://researchgate.net/profile/Ming_Zhang34</t>
  </si>
  <si>
    <t>https://researchgate.net/profile/Bhuiyan_Alam</t>
  </si>
  <si>
    <t>https://researchgate.net/profile/Kevin_Czajkowski</t>
  </si>
  <si>
    <t>https://researchgate.net/profile/Patrick_Lawrence2</t>
  </si>
  <si>
    <t>https://researchgate.net/profile/David_Nemeth</t>
  </si>
  <si>
    <t>https://researchgate.net/profile/Neil_Reid2</t>
  </si>
  <si>
    <t>https://researchgate.net/profile/M_Schlemper</t>
  </si>
  <si>
    <t>https://researchgate.net/profile/Sujata_Shetty</t>
  </si>
  <si>
    <t>https://researchgate.net/profile/Amrita_Daniere</t>
  </si>
  <si>
    <t>https://researchgate.net/profile/Kanishka_Goonewardena</t>
  </si>
  <si>
    <t>https://researchgate.net/profile/Paul_Hess4</t>
  </si>
  <si>
    <t>https://researchgate.net/profile/Susan_Ruddick</t>
  </si>
  <si>
    <t>https://researchgate.net/profile/Sarah_Hinners</t>
  </si>
  <si>
    <t>https://researchgate.net/profile/Michael_Larice</t>
  </si>
  <si>
    <t>https://researchgate.net/profile/Ellen_Bassett</t>
  </si>
  <si>
    <t>https://researchgate.net/profile/Tim_Beatley</t>
  </si>
  <si>
    <t>https://researchgate.net/profile/Guoping_Huang2</t>
  </si>
  <si>
    <t>https://researchgate.net/profile/Andrew_Mondschein</t>
  </si>
  <si>
    <t>https://researchgate.net/profile/Marina_Alberti</t>
  </si>
  <si>
    <t>https://researchgate.net/profile/Christine_Bae2</t>
  </si>
  <si>
    <t>https://researchgate.net/profile/Manish_Chalana</t>
  </si>
  <si>
    <t>https://researchgate.net/profile/Sofia_Dermisi</t>
  </si>
  <si>
    <t>https://researchgate.net/profile/Qing_Shen9</t>
  </si>
  <si>
    <t>https://researchgate.net/profile/Jan_Whittington</t>
  </si>
  <si>
    <t>https://researchgate.net/profile/Jeffrey_Casello</t>
  </si>
  <si>
    <t>https://researchgate.net/profile/Luna_Khirfan</t>
  </si>
  <si>
    <t>https://researchgate.net/profile/Markus_Moos/</t>
  </si>
  <si>
    <t>https://researchgate.net/profile/Mark_Seasons</t>
  </si>
  <si>
    <t>https://researchgate.net/profile/Kenneth_Genskow</t>
  </si>
  <si>
    <t>https://researchgate.net/profile/James_Lagro_Jr</t>
  </si>
  <si>
    <t>https://researchgate.net/profile/David_Marcouiller</t>
  </si>
  <si>
    <t>https://researchgate.net/profile/Kirk_Harris</t>
  </si>
  <si>
    <t>https://researchgate.net/profile/Robert_Schneider22/</t>
  </si>
  <si>
    <t>https://researchgate.net/profile/Tridib_Banerjee2</t>
  </si>
  <si>
    <t>https://researchgate.net/profile/Marlon_Boarnet</t>
  </si>
  <si>
    <t>https://researchgate.net/profile/Raphael_Bostic</t>
  </si>
  <si>
    <t>https://researchgate.net/profile/Eric_Heikkila</t>
  </si>
  <si>
    <t>https://researchgate.net/profile/Martin_Krieger2</t>
  </si>
  <si>
    <t>https://researchgate.net/profile/Dowell_Myers</t>
  </si>
  <si>
    <t>https://researchgate.net/profile/Christian_Redfearn</t>
  </si>
  <si>
    <t>https://researchgate.net/profile/Lisa_Schweitzer</t>
  </si>
  <si>
    <t>https://researchgate.net/profile/David_Sloane2</t>
  </si>
  <si>
    <t>https://researchgate.net/profile/Elsie_Harper-Anderson</t>
  </si>
  <si>
    <t>https://researchgate.net/profile/Ralph_Hall4</t>
  </si>
  <si>
    <t>https://researchgate.net/profile/Thomas_Sanchez</t>
  </si>
  <si>
    <t>https://researchgate.net/profile/Max_Stephenson/</t>
  </si>
  <si>
    <t>https://researchgate.net/profile/Robin_Boyle2</t>
  </si>
  <si>
    <t>https://researchgate.net/profile/Kristen_Crossney</t>
  </si>
  <si>
    <t>https://researchgate.net/profile/Dave_Lemberg/</t>
  </si>
  <si>
    <t>https://researchgate.net/profile/Benjamin_Ofori-Amoah</t>
  </si>
  <si>
    <t>https://researchgate.net/profile/Carsten_Braun2</t>
  </si>
  <si>
    <t>https://researchgate.net/profile/Timothy_Ledoux2</t>
  </si>
  <si>
    <t>https://linkedin.com/in/berneece-herbert-b4485313</t>
  </si>
  <si>
    <t>https://linkedin.com/in/chukudi-izeogu-95254b29</t>
  </si>
  <si>
    <t>https://linkedin.com/in/jacob-oluwoye-b3965440</t>
  </si>
  <si>
    <t>https://linkedin.com/in/joochul-kim-31878014</t>
  </si>
  <si>
    <t>https://linkedin.com/in/michael-kuby-90baaa28</t>
  </si>
  <si>
    <t>https://linkedin.com/in/kelli-larson-3427416</t>
  </si>
  <si>
    <t>https://linkedin.com/in/deirdre-pfeiffer-a29a393</t>
  </si>
  <si>
    <t>https://linkedin.com/in/elizabeth-wentz-668b43109</t>
  </si>
  <si>
    <t>https://linkedin.com/in/jaymit</t>
  </si>
  <si>
    <t>https://linkedin.com/in/rebecca-retzlaff-4529a6a</t>
  </si>
  <si>
    <t>https://linkedin.com/in/michael-burayidi-a382b210</t>
  </si>
  <si>
    <t>https://linkedin.com/in/lohren-deeg-30054b12</t>
  </si>
  <si>
    <t>https://linkedin.com/in/bruce-frankel-5b8407a</t>
  </si>
  <si>
    <t>https://linkedin.com/in/scott-truex-0298a72</t>
  </si>
  <si>
    <t>https://linkedin.com/in/sanglim-yoo-19946626</t>
  </si>
  <si>
    <t>https://linkedin.com/in/mrboswell</t>
  </si>
  <si>
    <t>https://linkedin.com/in/hemadandekar</t>
  </si>
  <si>
    <t>https://linkedin.com/in/adrienne-greve-58718513</t>
  </si>
  <si>
    <t>https://linkedin.com/in/kelly-main-a545a341</t>
  </si>
  <si>
    <t>https://linkedin.com/in/vicente-del-rio-92910612</t>
  </si>
  <si>
    <t>https://linkedin.com/in/william-siembieda-50063529</t>
  </si>
  <si>
    <t>https://linkedin.com/in/felix-barreto-b63a1854</t>
  </si>
  <si>
    <t>https://linkedin.com/in/julianna-delgado-9337a3b0</t>
  </si>
  <si>
    <t>https://linkedin.com/in/jerry-mitchell-b19a8222</t>
  </si>
  <si>
    <t>https://linkedin.com/in/rick-willson-faicp-74048331</t>
  </si>
  <si>
    <t>https://linkedin.com/in/kenya-covington-20a2a785</t>
  </si>
  <si>
    <t>https://linkedin.com/in/robert-b-kent-08679913</t>
  </si>
  <si>
    <t>https://linkedin.com/in/henrik-minassians-3bb82751</t>
  </si>
  <si>
    <t>https://linkedin.com/in/craig-olwert-84357b6</t>
  </si>
  <si>
    <t>https://linkedin.com/in/mintesnot-woldeamanuel-070b9a10</t>
  </si>
  <si>
    <t>https://linkedin.com/in/caitlin-dyckman-2608364</t>
  </si>
  <si>
    <t>https://linkedin.com/in/cliff-ellis-635b7036</t>
  </si>
  <si>
    <t>https://linkedin.com/in/mickey-lauria-bab84512</t>
  </si>
  <si>
    <t>https://linkedin.com/in/thomas-scott-82a32455</t>
  </si>
  <si>
    <t>https://linkedin.com/in/james-h-jim-spencer-4156464a</t>
  </si>
  <si>
    <t>https://linkedin.com/in/sanda-kaufman-4b42767</t>
  </si>
  <si>
    <t>https://linkedin.com/in/brian-mikelbank-99843984</t>
  </si>
  <si>
    <t>https://linkedin.com/in/roby-simons-2a3a8563</t>
  </si>
  <si>
    <t>https://linkedin.com/in/rosietighe</t>
  </si>
  <si>
    <t>https://linkedin.com/in/robertcbeauregard</t>
  </si>
  <si>
    <t>https://linkedin.com/in/lance-freeman-16a0246</t>
  </si>
  <si>
    <t>https://linkedin.com/in/malohutson</t>
  </si>
  <si>
    <t>https://linkedin.com/in/elliott-sclar-05343013</t>
  </si>
  <si>
    <t>https://linkedin.com/in/weiping-wu-25825295</t>
  </si>
  <si>
    <t>https://linkedin.com/in/victoria-beard-2b66b566</t>
  </si>
  <si>
    <t>https://linkedin.com/in/thomas-j-campanella-002a1a75</t>
  </si>
  <si>
    <t>https://linkedin.com/in/jeffrey-chusid-466bb0ba</t>
  </si>
  <si>
    <t>https://linkedin.com/in/kieran-donaghy-3a12863b</t>
  </si>
  <si>
    <t>https://linkedin.com/in/john-forester-752b878</t>
  </si>
  <si>
    <t>https://linkedin.com/in/neema-kudva-67731329</t>
  </si>
  <si>
    <t>https://linkedin.com/in/stephanschmidtcornell</t>
  </si>
  <si>
    <t>https://linkedin.com/in/michael-tomlan-37a9329</t>
  </si>
  <si>
    <t>https://linkedin.com/in/mildred-warner-b5758223</t>
  </si>
  <si>
    <t>https://linkedin.com/in/misunhur</t>
  </si>
  <si>
    <t>https://linkedin.com/in/anuradhamukherji</t>
  </si>
  <si>
    <t>https://linkedin.com/in/robert-jones-6886aab7</t>
  </si>
  <si>
    <t>https://linkedin.com/in/heatherlyke</t>
  </si>
  <si>
    <t>https://linkedin.com/in/kerry-brooks-1593226</t>
  </si>
  <si>
    <t>https://linkedin.com/in/margo-hill-6880bb48</t>
  </si>
  <si>
    <t>https://linkedin.com/in/eric-dumbaugh-9818b913</t>
  </si>
  <si>
    <t>https://linkedin.com/in/yanmeili</t>
  </si>
  <si>
    <t>https://linkedin.com/in/diana-mitsova-a220547b</t>
  </si>
  <si>
    <t>https://linkedin.com/in/john-l-renne-83a5b115</t>
  </si>
  <si>
    <t>https://linkedin.com/in/jesse-saginor-phd-aicp-19721529</t>
  </si>
  <si>
    <t>https://linkedin.com/in/tim-chapin-64b0a46</t>
  </si>
  <si>
    <t>https://linkedin.com/in/petra-doan-6396a026</t>
  </si>
  <si>
    <t>https://linkedin.com/in/rebecca-miles-73a2a416</t>
  </si>
  <si>
    <t>https://linkedin.com/in/nishabotchwey</t>
  </si>
  <si>
    <t>https://linkedin.com/in/bill-drummond-14950b9</t>
  </si>
  <si>
    <t>https://linkedin.com/in/catherine-ross-1216b88</t>
  </si>
  <si>
    <t>https://linkedin.com/in/bruce-stiftel-faicp-72616610</t>
  </si>
  <si>
    <t>https://linkedin.com/in/brian-stone-574b656</t>
  </si>
  <si>
    <t>https://linkedin.com/in/timothy-f-welch-3ab67a105</t>
  </si>
  <si>
    <t>https://linkedin.com/in/jose-a-gomez-ibanez-2aa61117</t>
  </si>
  <si>
    <t>https://linkedin.com/in/michael-hooper-a63a2a18</t>
  </si>
  <si>
    <t>https://linkedin.com/in/alex-krieger-51834a20</t>
  </si>
  <si>
    <t>https://linkedin.com/in/richard-peiser-3a6942a</t>
  </si>
  <si>
    <t>https://linkedin.com/in/peter-rowe-168ba646</t>
  </si>
  <si>
    <t>https://linkedin.com/in/john-benhart-74280132</t>
  </si>
  <si>
    <t>https://linkedin.com/in/sudeshna-ghosh-87809721</t>
  </si>
  <si>
    <t>https://linkedin.com/in/richard-hoch-3aa24610</t>
  </si>
  <si>
    <t>https://linkedin.com/in/calvin-masilela-13b01325</t>
  </si>
  <si>
    <t>https://linkedin.com/in/carlton-basmajian-861b8b2</t>
  </si>
  <si>
    <t>https://linkedin.com/in/timothy-borich-3372b968</t>
  </si>
  <si>
    <t>https://linkedin.com/in/steven-p-bradbury-7b611597</t>
  </si>
  <si>
    <t>https://linkedin.com/in/061997</t>
  </si>
  <si>
    <t>https://linkedin.com/in/monica-haddad-79937015</t>
  </si>
  <si>
    <t>https://linkedin.com/in/francisowusu</t>
  </si>
  <si>
    <t>https://linkedin.com/in/janerongerude</t>
  </si>
  <si>
    <t>https://linkedin.com/in/edmund-merem-a995b319</t>
  </si>
  <si>
    <t>https://linkedin.com/in/evandro-c-santos-ph-d-1763519a</t>
  </si>
  <si>
    <t>https://linkedin.com/in/joan-wesley-70965810</t>
  </si>
  <si>
    <t>https://linkedin.com/in/jason-brody-97647b9a</t>
  </si>
  <si>
    <t>https://linkedin.com/in/huston-gibson-28155337</t>
  </si>
  <si>
    <t>https://linkedin.com/in/john-keller-38832015</t>
  </si>
  <si>
    <t>https://linkedin.com/in/larry-lawhon-024a609</t>
  </si>
  <si>
    <t>https://linkedin.com/in/katherine-nesse-9709b75</t>
  </si>
  <si>
    <t>https://linkedin.com/in/labarbara-wigfall-2a30358</t>
  </si>
  <si>
    <t>https://linkedin.com/in/madhav-badami-78592526</t>
  </si>
  <si>
    <t>https://linkedin.com/in/lisa-bornstein-83194b3</t>
  </si>
  <si>
    <t>https://linkedin.com/in/david-f-brown-a8118642</t>
  </si>
  <si>
    <t>https://linkedin.com/in/ahmed-el-geneidy-0a135841</t>
  </si>
  <si>
    <t>https://linkedin.com/in/nik-luka-31031a1</t>
  </si>
  <si>
    <t>https://linkedin.com/in/amelie-davis-a0581959</t>
  </si>
  <si>
    <t>https://linkedin.com/in/david-prytherch-07140a7</t>
  </si>
  <si>
    <t>https://linkedin.com/in/peilei-fan-8032974</t>
  </si>
  <si>
    <t>https://linkedin.com/in/ekassens</t>
  </si>
  <si>
    <t>https://linkedin.com/in/zeenat-kotval-k-ba7b8913</t>
  </si>
  <si>
    <t>https://linkedin.com/in/patricia-machemer-0019bb72</t>
  </si>
  <si>
    <t>https://linkedin.com/in/eric-strauss-09908b23</t>
  </si>
  <si>
    <t>https://linkedin.com/in/mark-wilson-b538509</t>
  </si>
  <si>
    <t>https://linkedin.com/in/asomani-boateng-raymond-462b7522</t>
  </si>
  <si>
    <t>https://linkedin.com/in/russell-j-fricano-ph-d-aicp-6b20b027</t>
  </si>
  <si>
    <t>https://linkedin.com/in/beth-wielde-heidelberg-66284b18</t>
  </si>
  <si>
    <t>https://linkedin.com/in/dr-miriam-porter-4372a4b</t>
  </si>
  <si>
    <t>https://linkedin.com/in/rajinder-jutla-591236114</t>
  </si>
  <si>
    <t>https://linkedin.com/in/paul-rollinson-846a332b</t>
  </si>
  <si>
    <t>https://linkedin.com/in/alan-berger-b346b976</t>
  </si>
  <si>
    <t>https://linkedin.com/in/joseph-ferreira-5889365</t>
  </si>
  <si>
    <t>https://linkedin.com/in/dennis-frenchman-b027756</t>
  </si>
  <si>
    <t>https://linkedin.com/in/david-geltner-70414181</t>
  </si>
  <si>
    <t>https://linkedin.com/in/amy-glasmeier-0184b918</t>
  </si>
  <si>
    <t>https://linkedin.com/in/david-hsu-49a362</t>
  </si>
  <si>
    <t>https://linkedin.com/in/eric-klopfer-069120</t>
  </si>
  <si>
    <t>https://linkedin.com/in/balakrishnan-rajagopal-8a96043b</t>
  </si>
  <si>
    <t>https://linkedin.com/in/brent-ryan-7b255a5</t>
  </si>
  <si>
    <t>https://linkedin.com/in/albert-saiz-526b2762</t>
  </si>
  <si>
    <t>https://linkedin.com/in/annewhistonspirn</t>
  </si>
  <si>
    <t>https://linkedin.com/in/lawrence-susskind-20a1b53</t>
  </si>
  <si>
    <t>https://linkedin.com/in/phillip-thompson-7243381</t>
  </si>
  <si>
    <t>https://linkedin.com/in/sarah-williams-9a051b4</t>
  </si>
  <si>
    <t>https://linkedin.com/in/christopher-zegras-902a331</t>
  </si>
  <si>
    <t>https://linkedin.com/in/jinhuazhao</t>
  </si>
  <si>
    <t>https://linkedin.com/in/mary-anne-akers-22826612</t>
  </si>
  <si>
    <t>https://linkedin.com/in/tonya-sanders-phd-ma-a07aa25</t>
  </si>
  <si>
    <t>https://linkedin.com/in/siddhartha-sen-12b68433</t>
  </si>
  <si>
    <t>https://linkedin.com/in/hyeonshic-shin-5661368a</t>
  </si>
  <si>
    <t>https://linkedin.com/in/darius-sollohub-b250b2a1</t>
  </si>
  <si>
    <t>https://linkedin.com/in/zhan-guo-479a0414</t>
  </si>
  <si>
    <t>https://linkedin.com/in/mitchell-moss-34640413</t>
  </si>
  <si>
    <t>https://linkedin.com/in/paul-smoke-a9292b1b</t>
  </si>
  <si>
    <t>https://linkedin.com/in/alanalew</t>
  </si>
  <si>
    <t>https://0</t>
  </si>
  <si>
    <t>https://linkedin.com/in/maria-manta-conroy-a98309</t>
  </si>
  <si>
    <t>https://linkedin.com/in/bernadette-hanlon-60a9655</t>
  </si>
  <si>
    <t>https://linkedin.com/in/rachelgarshickkleit</t>
  </si>
  <si>
    <t>https://linkedin.com/in/jjlara</t>
  </si>
  <si>
    <t>https://linkedin.com/in/mattijs-van-maasakkers-6316843</t>
  </si>
  <si>
    <t>https://linkedin.com/in/naomiadiv</t>
  </si>
  <si>
    <t>https://linkedin.com/in/sy-adler-15a3b739</t>
  </si>
  <si>
    <t>https://linkedin.com/in/lisa-bates-32b1141a</t>
  </si>
  <si>
    <t>https://linkedin.com/in/jennifer-dill-bb749840</t>
  </si>
  <si>
    <t>https://linkedin.com/in/yiping-fang-6a185274</t>
  </si>
  <si>
    <t>https://linkedin.com/in/matthew-gebhardt-04482153</t>
  </si>
  <si>
    <t>https://linkedin.com/in/karen-gibson-79b7b976</t>
  </si>
  <si>
    <t>https://linkedin.com/in/aaron-golub-1301565</t>
  </si>
  <si>
    <t>https://linkedin.com/in/jenny-liu-5221bb8</t>
  </si>
  <si>
    <t>https://linkedin.com/in/nathanmcclintock/</t>
  </si>
  <si>
    <t>https://twitter.com/McClintockPDX</t>
  </si>
  <si>
    <t>https://urbanfood.org/</t>
  </si>
  <si>
    <t>https://nz.linkedin.com/in/connie-ozawa-3aa5158</t>
  </si>
  <si>
    <t>https://linkedin.com/in/greg-schrock-60a24056</t>
  </si>
  <si>
    <t>https://linkedin.com/in/vivek-shandas-638a26</t>
  </si>
  <si>
    <t>https://linkedin.com/in/liming-wang-16b8a341</t>
  </si>
  <si>
    <t>https://linkedin.com/in/marisa-zapata-7746184</t>
  </si>
  <si>
    <t>https://nl.linkedin.com/in/john-shapiro-96283934?trk=pub-pbmap</t>
  </si>
  <si>
    <t>https://linkedin.com/in/ayse-yonder-05684a3</t>
  </si>
  <si>
    <t>https://linkedin.com/in/clinton-andrews-276b4a6</t>
  </si>
  <si>
    <t>https://linkedin.com/in/robert-w-burchell-00502115</t>
  </si>
  <si>
    <t>https://linkedin.com/in/james-defilippis-711b0254</t>
  </si>
  <si>
    <t>https://linkedin.com/in/robert-lake-426a7418</t>
  </si>
  <si>
    <t>https://linkedin.com/in/david-listokin-7276b717</t>
  </si>
  <si>
    <t>https://linkedin.com/in/anton-tony-nelessen-08385427</t>
  </si>
  <si>
    <t>https://linkedin.com/in/fpopper</t>
  </si>
  <si>
    <t>https://linkedin.com/in/mi-shih-69b32343</t>
  </si>
  <si>
    <t>https://linkedin.com/in/mike-smart-3b5a363</t>
  </si>
  <si>
    <t>https://linkedin.com/in/lynawiggins</t>
  </si>
  <si>
    <t>https://linkedin.com/in/jeanmarie-hartman-226450a</t>
  </si>
  <si>
    <t>https://linkedin.com/in/wolfram-hoefer-4917942b</t>
  </si>
  <si>
    <t>https://linkedin.com/in/laura-lawson-7b856246</t>
  </si>
  <si>
    <t>https://linkedin.com/in/drtulloch</t>
  </si>
  <si>
    <t>https://linkedin.com/in/david-amborski-2031a1b</t>
  </si>
  <si>
    <t>https://linkedin.com/in/jackie-begley-40023870</t>
  </si>
  <si>
    <t>https://linkedin.com/in/nina-marie-lister-47b143a</t>
  </si>
  <si>
    <t>https://linkedin.com/in/shelagh-mccartney-a248391</t>
  </si>
  <si>
    <t>https://linkedin.com/in/raktimmitra</t>
  </si>
  <si>
    <t>https://linkedin.com/in/pamela-robinson-9681ab12</t>
  </si>
  <si>
    <t>https://ca.linkedin.com/in/zhixi-cecilia-zhuang-6b354a39</t>
  </si>
  <si>
    <t>https://linkedin.com/in/sarah-coffin-28aa2713</t>
  </si>
  <si>
    <t>https://linkedin.com/in/asha-weinstein-agrawal-41267b9</t>
  </si>
  <si>
    <t>https://linkedin.com/in/shishir-mathur-b158402b</t>
  </si>
  <si>
    <t>https://linkedin.com/in/hilarynixon</t>
  </si>
  <si>
    <t>https://linkedin.com/in/dayana-salazar-4674b322</t>
  </si>
  <si>
    <t>https://linkedin.com/in/behrooz-kalantari-b004b448</t>
  </si>
  <si>
    <t>https://linkedin.com/in/dedenrukmana</t>
  </si>
  <si>
    <t>https://linkedin.com/in/deborah-howe-71bb7830</t>
  </si>
  <si>
    <t>https://linkedin.com/in/lynn-mandarano-63341634</t>
  </si>
  <si>
    <t>https://linkedin.com/in/berke-philip-405a59100</t>
  </si>
  <si>
    <t>https://linkedin.com/in/cecilia-giusti-0a944637</t>
  </si>
  <si>
    <t>https://linkedin.com/in/chang-shan-huang-9a9b7515</t>
  </si>
  <si>
    <t>https://linkedin.com/in/dawn-jourdan-18a61025</t>
  </si>
  <si>
    <t>https://linkedin.com/in/chanam-lee-37a20442</t>
  </si>
  <si>
    <t>https://linkedin.com/in/minghanli</t>
  </si>
  <si>
    <t>https://linkedin.com/in/forster-ndubisi-87ba4221</t>
  </si>
  <si>
    <t>https://linkedin.com/in/george-rogers-6188a68a</t>
  </si>
  <si>
    <t>https://linkedin.com/in/shannon-van-zandt-5b872312</t>
  </si>
  <si>
    <t>https://linkedin.com/in/glenn-s-johnson-ph-d-925673ab</t>
  </si>
  <si>
    <t>https://linkedin.com/in/jeffrey-lowe-38234b6</t>
  </si>
  <si>
    <t>https://linkedin.com/in/earthea-nance-67676328</t>
  </si>
  <si>
    <t>https://linkedin.com/in/pan-qisheng-7670b916</t>
  </si>
  <si>
    <t>https://linkedin.com/in/lalita-sen-bba7427</t>
  </si>
  <si>
    <t>https://linkedin.com/in/laura-solitare-5b370584</t>
  </si>
  <si>
    <t>https://linkedin.com/in/darrick-hamilton-37010b15</t>
  </si>
  <si>
    <t>https://linkedin.com/in/alex-schwartz-3aa5903</t>
  </si>
  <si>
    <t>https://linkedin.com/in/julianagyeman</t>
  </si>
  <si>
    <t>https://linkedin.com/in/mary-davis-0539b726</t>
  </si>
  <si>
    <t>https://linkedin.com/in/justin-hollander-4675933</t>
  </si>
  <si>
    <t>https://linkedin.com/in/sheldon-krimsky-53769412</t>
  </si>
  <si>
    <t>https://linkedin.com/in/aceycharisma</t>
  </si>
  <si>
    <t>https://linkedin.com/in/karen-chapple-7128476</t>
  </si>
  <si>
    <t>https://linkedin.com/in/daniel-chatman-a3362178</t>
  </si>
  <si>
    <t>https://linkedin.com/in/jason-corburn-5036499</t>
  </si>
  <si>
    <t>https://linkedin.com/in/raymond-lifchez-3b97a99</t>
  </si>
  <si>
    <t>https://linkedin.com/in/elizabeth-macdonald-2907b73a</t>
  </si>
  <si>
    <t>https://linkedin.com/in/johndenero</t>
  </si>
  <si>
    <t>https://linkedin.com/in/carolina-reid-02467010</t>
  </si>
  <si>
    <t>https://linkedin.com/in/daniel-rodriguez-81657633</t>
  </si>
  <si>
    <t>https://linkedin.com/in/paulwaddell</t>
  </si>
  <si>
    <t>https://linkedin.com/in/victoria-basolo-893497a</t>
  </si>
  <si>
    <t>https://linkedin.com/in/scott-bollens-b2354a46</t>
  </si>
  <si>
    <t>https://linkedin.com/in/martha-feldman-641490a</t>
  </si>
  <si>
    <t>https://linkedin.com/in/david-feldman-6180906</t>
  </si>
  <si>
    <t>https://linkedin.com/in/jae-hong-kim-902b4578</t>
  </si>
  <si>
    <t>https://linkedin.com/in/richard-matthew-62755b9</t>
  </si>
  <si>
    <t>https://linkedin.com/in/seth-pipkin-27328239</t>
  </si>
  <si>
    <t>https://linkedin.com/in/maria-rendon-40148b8b</t>
  </si>
  <si>
    <t>https://linkedin.com/in/rodolfo-d-torres-544a8134</t>
  </si>
  <si>
    <t>https://linkedin.com/in/evelyn-blumenberg-b433b89</t>
  </si>
  <si>
    <t>https://linkedin.com/in/randall-crane-a135435</t>
  </si>
  <si>
    <t>https://linkedin.com/in/leobardo-estrada-b133745</t>
  </si>
  <si>
    <t>https://linkedin.com/in/susanna-hecht-32138913</t>
  </si>
  <si>
    <t>https://linkedin.com/in/michael-lens-a0b4a8</t>
  </si>
  <si>
    <t>https://linkedin.com/in/paavo-monkkonen-41b9163b</t>
  </si>
  <si>
    <t>https://linkedin.com/in/paul-ong-b18ba718</t>
  </si>
  <si>
    <t>https://linkedin.com/in/michael-storper-5383236</t>
  </si>
  <si>
    <t>https://linkedin.com/in/lois-takahashi-6423019</t>
  </si>
  <si>
    <t>https://linkedin.com/in/brian-taylor-59389b6</t>
  </si>
  <si>
    <t>https://linkedin.com/in/rui-wang-328b3736</t>
  </si>
  <si>
    <t>https://linkedin.com/in/toddbendor</t>
  </si>
  <si>
    <t>https://linkedin.com/in/nikhilkaza</t>
  </si>
  <si>
    <t>https://linkedin.com/in/bill-lester-0564735?authType=NAME_SEARCH&amp;authToken=htSm&amp;locale=en_US&amp;srchid=3569073011462609180161&amp;srchindex=1&amp;srchtotal=1&amp;trk=vsrp_people_res_name&amp;trkInfo=VSRPsearchId%3A3569073011462609180161%2CVSRPtargetId%3A16075650%2CVSRPcmpt%3Aprimary%2CVSRPnm%3Atrue%2CauthType%3ANAME_SEARCH</t>
  </si>
  <si>
    <t>https://linkedin.com/in/nichola-lowe-21970614</t>
  </si>
  <si>
    <t>https://linkedin.com/in/emil-malizia-a69a0b13</t>
  </si>
  <si>
    <t>https://linkedin.com/in/noreen-mcdonald-84b11419</t>
  </si>
  <si>
    <t>https://linkedin.com/in/mai-nguyen-02185b27</t>
  </si>
  <si>
    <t>https://linkedin.com/in/roberto-quercia-33956615</t>
  </si>
  <si>
    <t>https://linkedin.com/in/bill-rohe-178b5814</t>
  </si>
  <si>
    <t>https://linkedin.com/in/yan-song-2b435619</t>
  </si>
  <si>
    <t>https://linkedin.com/in/danielle-spurlock-7b543017</t>
  </si>
  <si>
    <t>https://linkedin.com/in/meenu-tewari-5827197</t>
  </si>
  <si>
    <t>https://linkedin.com/in/andrew-whittemore-578b063</t>
  </si>
  <si>
    <t>https://linkedin.com/in/so-ra-baek-371ba9b</t>
  </si>
  <si>
    <t>https://linkedin.com/in/jiyoung-park-4bba181b</t>
  </si>
  <si>
    <t>https://linkedin.com/in/samina-raja-b35802b</t>
  </si>
  <si>
    <t>https://linkedin.com/in/robert-g-shibley-faia-aicp-18335312</t>
  </si>
  <si>
    <t>https://linkedin.com/in/rob-silverman-3831aa2</t>
  </si>
  <si>
    <t>https://linkedin.com/in/henry-taylor-4223838</t>
  </si>
  <si>
    <t>https://linkedin.com/in/sandeep-agrawal-9b64b74a</t>
  </si>
  <si>
    <t>https://linkedin.com/in/kristof-van-assche-2655372</t>
  </si>
  <si>
    <t>https://linkedin.com/in/leith-deacon-aa79a920</t>
  </si>
  <si>
    <t>https://linkedin.com/in/theresa-garvin-5475993a</t>
  </si>
  <si>
    <t>https://linkedin.com/in/tara-mcgee-11156929</t>
  </si>
  <si>
    <t>https://linkedin.com/in/rob-shields-9009a530</t>
  </si>
  <si>
    <t>https://linkedin.com/in/manish-shirgaokar-99997a8</t>
  </si>
  <si>
    <t>https://linkedin.com/in/kyle-whitfield-628a942</t>
  </si>
  <si>
    <t>https://linkedin.com/in/gary-pivo-03665a21</t>
  </si>
  <si>
    <t>https://linkedin.com/in/leonora-angeles-98a4162b</t>
  </si>
  <si>
    <t>https://linkedin.com/in/penelope-gurstein-4912971a</t>
  </si>
  <si>
    <t>https://linkedin.com/in/jordi-honey-roses-2724424</t>
  </si>
  <si>
    <t>https://linkedin.com/in/thomas-hutton-7bb8a214</t>
  </si>
  <si>
    <t>https://linkedin.com/in/tim-mcdaniels-14042b40</t>
  </si>
  <si>
    <t>https://linkedin.com/in/maged-senbel-a9a52621</t>
  </si>
  <si>
    <t>https://linkedin.com/in/chris-auffrey-66588330</t>
  </si>
  <si>
    <t>https://linkedin.com/in/carla-chifos-b386709</t>
  </si>
  <si>
    <t>https://linkedin.com/in/david-j-edelman-mcp-phd-faicp-fsu-eur-ing-sia-kivi-260266a</t>
  </si>
  <si>
    <t>https://linkedin.com/in/rainer-vom-hofe-9295b09</t>
  </si>
  <si>
    <t>https://linkedin.com/in/johanna-looye-6163629</t>
  </si>
  <si>
    <t>https://linkedin.com/in/vikas-mehta-3258837</t>
  </si>
  <si>
    <t>https://linkedin.com/in/danilo-palazzo-a9116b19</t>
  </si>
  <si>
    <t>https://linkedin.com/in/david-varady-57ba0014</t>
  </si>
  <si>
    <t>https://linkedin.com/in/xinhao-wang-550a9713</t>
  </si>
  <si>
    <t>https://linkedin.com/in/carrie-makarewicz-8a444a4</t>
  </si>
  <si>
    <t>https://linkedin.com/in/jeremy-nemeth-6b543861</t>
  </si>
  <si>
    <t>https://linkedin.com/in/austin-troy-6355b04</t>
  </si>
  <si>
    <t>https://linkedin.com/in/nina-david-1493b2b1</t>
  </si>
  <si>
    <t>https://linkedin.com/in/andrea-sarzynski-88831b31</t>
  </si>
  <si>
    <t>https://linkedin.com/in/ilir-bejleri-06a61010</t>
  </si>
  <si>
    <t>https://linkedin.com/in/kathryn-frank-61773477</t>
  </si>
  <si>
    <t>https://linkedin.com/in/kristin-larsen-57423646</t>
  </si>
  <si>
    <t>https://linkedin.com/in/ruth-steiner-9293218</t>
  </si>
  <si>
    <t>https://linkedin.com/in/stephen-ramos-0324303</t>
  </si>
  <si>
    <t>https://linkedin.com/in/rosannarivero</t>
  </si>
  <si>
    <t>https://linkedin.com/in/umit-yilmaz-90a85022</t>
  </si>
  <si>
    <t>https://linkedin.com/in/ashok-das-3669a44</t>
  </si>
  <si>
    <t>https://linkedin.com/in/priyam-das-80650bb</t>
  </si>
  <si>
    <t>https://linkedin.com/in/peter-flachsbart-1aba4027</t>
  </si>
  <si>
    <t>https://linkedin.com/in/dolores-foley-2244607</t>
  </si>
  <si>
    <t>https://linkedin.com/in/karl-kim-8765b0</t>
  </si>
  <si>
    <t>https://linkedin.com/in/luciano-minerbi-4b28512a</t>
  </si>
  <si>
    <t>https://linkedin.com/in/shen-suwan-334a5223</t>
  </si>
  <si>
    <t>https://linkedin.com/in/daniele-spirandelli-2b42b3</t>
  </si>
  <si>
    <t>https://linkedin.com/in/karen-umemoto-22b5352a</t>
  </si>
  <si>
    <t>https://linkedin.com/in/lilian-alessa-b559bb9b</t>
  </si>
  <si>
    <t>https://linkedin.com/in/gary-austin-b6553bb</t>
  </si>
  <si>
    <t>https://linkedin.com/in/lorie-higgins-35054bb</t>
  </si>
  <si>
    <t>https://linkedin.com/in/michaelblowry</t>
  </si>
  <si>
    <t>https://linkedin.com/in/shrestha-manoj-a1037330</t>
  </si>
  <si>
    <t>https://linkedin.com/in/jaap-vos-101a3bb</t>
  </si>
  <si>
    <t>https://linkedin.com/in/phil-watson-9a07469</t>
  </si>
  <si>
    <t>https://linkedin.com/in/ning-ai-1b504744</t>
  </si>
  <si>
    <t>https://linkedin.com/in/kheir-al-kodmany-31533537</t>
  </si>
  <si>
    <t>https://linkedin.com/in/philip-ashton-9a6a765</t>
  </si>
  <si>
    <t>https://linkedin.com/in/teresa-cordova-87a593100</t>
  </si>
  <si>
    <t>https://linkedin.com/in/joshua-drucker-055b275</t>
  </si>
  <si>
    <t>https://linkedin.com/in/kazuya-kawamura-a7590927</t>
  </si>
  <si>
    <t>https://linkedin.com/in/brenda-parker-81330484</t>
  </si>
  <si>
    <t>https://linkedin.com/in/david-perry-18230231</t>
  </si>
  <si>
    <t>https://linkedin.com/in/janet-smith-82a37ba</t>
  </si>
  <si>
    <t>https://linkedin.com/in/stacey-sutton-0013a85a</t>
  </si>
  <si>
    <t>https://linkedin.com/in/nik-theodore-35072b8</t>
  </si>
  <si>
    <t>https://linkedin.com/in/nebiyou-tilahun-1865985</t>
  </si>
  <si>
    <t>https://linkedin.com/in/vidyarthi-sanjeev-5940a418</t>
  </si>
  <si>
    <t>https://linkedin.com/in/rachel-weber-1b6404a</t>
  </si>
  <si>
    <t>https://linkedin.com/in/curtis-winkle-9408a45b</t>
  </si>
  <si>
    <t>https://linkedin.com/in/moira-zellner-9297843</t>
  </si>
  <si>
    <t>https://linkedin.com/in/arnabchakraborty</t>
  </si>
  <si>
    <t>https://linkedin.com/in/elizabethmedwards</t>
  </si>
  <si>
    <t>https://linkedin.com/in/andrew-greenlee-742aa051</t>
  </si>
  <si>
    <t>https://linkedin.com/in/stacy-harwood-13531365</t>
  </si>
  <si>
    <t>https://linkedin.com/in/bumsoo-lee-0a2a33b3</t>
  </si>
  <si>
    <t>https://linkedin.com/in/faranak-miraftab-73004366</t>
  </si>
  <si>
    <t>https://linkedin.com/in/rob-olshansky-45344411</t>
  </si>
  <si>
    <t>https://linkedin.com/in/bev-wilson-aicp-0a00545</t>
  </si>
  <si>
    <t>https://linkedin.com/in/jerryanthony</t>
  </si>
  <si>
    <t>https://linkedin.com/in/charles-connerly-a9a39519</t>
  </si>
  <si>
    <t>https://linkedin.com/in/lucie-laurian-81223459</t>
  </si>
  <si>
    <t>https://linkedin.com/in/haifeng-qian-9398016</t>
  </si>
  <si>
    <t>https://linkedin.com/in/steven-spears-19275565</t>
  </si>
  <si>
    <t>https://linkedin.com/in/bonnie-johnson-6072356</t>
  </si>
  <si>
    <t>https://linkedin.com/in/ward-lyles-925a0a29</t>
  </si>
  <si>
    <t>https://linkedin.com/in/kirk-mcclure-6882556</t>
  </si>
  <si>
    <t>https://linkedin.com/in/john-gilderbloom-41a4a899</t>
  </si>
  <si>
    <t>https://linkedin.com/in/frank-goetzke-40652019</t>
  </si>
  <si>
    <t>https://linkedin.com/in/dave-simpson-7097315</t>
  </si>
  <si>
    <t>https://linkedin.com/in/casey-dawkins-12a9985</t>
  </si>
  <si>
    <t>https://linkedin.com/in/chengri-ding-89b27421</t>
  </si>
  <si>
    <t>https://linkedin.com/in/hirt-sonia-4961b311</t>
  </si>
  <si>
    <t>https://linkedin.com/in/hiroyuki-iseki-21ba085</t>
  </si>
  <si>
    <t>https://linkedin.com/in/gerrit-knaap-11355110</t>
  </si>
  <si>
    <t>https://linkedin.com/in/willow-lung-amam-ph-d-020b875</t>
  </si>
  <si>
    <t>https://linkedin.com/in/elizabethbrabec</t>
  </si>
  <si>
    <t>https://linkedin.com/in/elisabeth-hamin-19414580</t>
  </si>
  <si>
    <t>https://linkedin.com/in/flavia-montenegro-menezes-2b090153</t>
  </si>
  <si>
    <t>https://linkedin.com/in/ellen-pader-40258812</t>
  </si>
  <si>
    <t>https://linkedin.com/in/henry-renski-53205b1a</t>
  </si>
  <si>
    <t>https://linkedin.com/in/reza-banai-a706b121</t>
  </si>
  <si>
    <t>https://linkedin.com/in/susan-roakes-9008579</t>
  </si>
  <si>
    <t>https://linkedin.com/in/charlie-santo-900879aa</t>
  </si>
  <si>
    <t>https://linkedin.com/in/scott-d-campbell-33089b44</t>
  </si>
  <si>
    <t>https://linkedin.com/in/marquero</t>
  </si>
  <si>
    <t>https://linkedin.com/in/lan-deng-20552813</t>
  </si>
  <si>
    <t>https://linkedin.com/in/margaret-dewar-b489b6a</t>
  </si>
  <si>
    <t>https://linkedin.com/in/robertgoodspeed</t>
  </si>
  <si>
    <t>https://linkedin.com/in/richard-norton-b2020a26</t>
  </si>
  <si>
    <t>https://linkedin.com/in/ana-paula-pimentel-walker-175689a7</t>
  </si>
  <si>
    <t>https://linkedin.com/in/june-thomas-a78b7b3a</t>
  </si>
  <si>
    <t>https://linkedin.com/in/ryan-allen-731b4410</t>
  </si>
  <si>
    <t>https://linkedin.com/in/ragui-assaad-8a78416</t>
  </si>
  <si>
    <t>https://linkedin.com/in/john-m-bryson-1b482036</t>
  </si>
  <si>
    <t>https://linkedin.com/in/yingling-fan-7b450a10</t>
  </si>
  <si>
    <t>https://linkedin.com/in/edward-goetz-965801109</t>
  </si>
  <si>
    <t>https://linkedin.com/in/carissa-schively-slotterback-524b6054</t>
  </si>
  <si>
    <t>https://linkedin.com/in/stephanie-frank-a1088914</t>
  </si>
  <si>
    <t>https://linkedin.com/in/michael-frisch-8587627</t>
  </si>
  <si>
    <t>https://linkedin.com/in/sungyop-kim-49a99269</t>
  </si>
  <si>
    <t>https://linkedin.com/in/joy-d-swallow-faia-44024557</t>
  </si>
  <si>
    <t>https://linkedin.com/in/jake-wagner-41a9026</t>
  </si>
  <si>
    <t>https://linkedin.com/in/rodrigo-cantarero-66444647</t>
  </si>
  <si>
    <t>https://linkedin.com/in/yunwoo-nam-0107b48</t>
  </si>
  <si>
    <t>https://linkedin.com/in/daniel-piatkowski-39977b48</t>
  </si>
  <si>
    <t>https://linkedin.com/in/gordon-scholz-1961b329</t>
  </si>
  <si>
    <t>https://linkedin.com/in/zhenghong-tang-90219a70</t>
  </si>
  <si>
    <t>https://linkedin.com/in/renia-ehrenfeucht-1331357</t>
  </si>
  <si>
    <t>https://linkedin.com/in/moises-gonzales-68a36046</t>
  </si>
  <si>
    <t>https://linkedin.com/in/claudia-isaac-42aa877</t>
  </si>
  <si>
    <t>https://linkedin.com/in/ted-jojola-10314510</t>
  </si>
  <si>
    <t>https://linkedin.com/in/carolinescruggs</t>
  </si>
  <si>
    <t>https://linkedin.com/in/anna-livia-brand-8b3942a</t>
  </si>
  <si>
    <t>https://linkedin.com/in/marla-nelson-aa097b1b</t>
  </si>
  <si>
    <t>https://linkedin.com/in/bethany-stich-b14a9477</t>
  </si>
  <si>
    <t>https://linkedin.com/in/michelle-thompson-b4122b1a</t>
  </si>
  <si>
    <t>https://linkedin.com/in/bryce-lowery-09b26814</t>
  </si>
  <si>
    <t>https://linkedin.com/in/guoqiangshen</t>
  </si>
  <si>
    <t>https://linkedin.com/in/rebecca-lewis-6205934</t>
  </si>
  <si>
    <t>https://linkedin.com/in/gerardo-sandoval-113b1a31</t>
  </si>
  <si>
    <t>https://linkedin.com/in/marc-schlossberg-1148715</t>
  </si>
  <si>
    <t>https://linkedin.com/in/stefanal</t>
  </si>
  <si>
    <t>https://linkedin.com/in/eugenie-birch-08ba1710</t>
  </si>
  <si>
    <t>https://linkedin.com/in/tom-daniels-772b844</t>
  </si>
  <si>
    <t>https://linkedin.com/in/erick-guerra-8522406</t>
  </si>
  <si>
    <t>https://linkedin.com/in/john-landis-30403710</t>
  </si>
  <si>
    <t>https://linkedin.com/in/megan-s-ryerson-031b721</t>
  </si>
  <si>
    <t>https://linkedin.com/in/sabina-deitrick-416a6710</t>
  </si>
  <si>
    <t>https://linkedin.com/in/georgedougherty</t>
  </si>
  <si>
    <t>https://linkedin.com/in/criseida-navarro-diaz-phd-01a7a946</t>
  </si>
  <si>
    <t>https://linkedin.com/in/gerardo-a-navas-d%C3%A1vila-338b4143?trk=pub-pbmap</t>
  </si>
  <si>
    <t>https://linkedin.com/in/robin-ersing-8b616047</t>
  </si>
  <si>
    <t>https://linkedin.com/in/yu-seung-kim-b93ba05</t>
  </si>
  <si>
    <t>https://linkedin.com/in/ardeshir-ard-anjomani-388b535</t>
  </si>
  <si>
    <t>https://linkedin.com/in/martinezcosio</t>
  </si>
  <si>
    <t>https://linkedin.com/in/junfeng-jiao-6386b122</t>
  </si>
  <si>
    <t>https://linkedin.com/in/elizabeth-mueller-37834a8</t>
  </si>
  <si>
    <t>https://linkedin.com/in/michael-oden-5301a23a</t>
  </si>
  <si>
    <t>https://linkedin.com/in/bjorn-sletto-bbb0028</t>
  </si>
  <si>
    <t>https://linkedin.com/in/jake-wegmann-b325aa3</t>
  </si>
  <si>
    <t>https://linkedin.com/in/mingzhang-yin-724ab8103</t>
  </si>
  <si>
    <t>https://linkedin.com/in/czajkowski-kevin-6313a412</t>
  </si>
  <si>
    <t>https://linkedin.com/in/dan-hammel-452054ba</t>
  </si>
  <si>
    <t>https://linkedin.com/in/nemeth-david-11385624</t>
  </si>
  <si>
    <t>https://linkedin.com/in/neil-reid-b9188a10</t>
  </si>
  <si>
    <t>https://linkedin.com/in/sujata-shetty-641a1310</t>
  </si>
  <si>
    <t>https://linkedin.com/in/kanishka-goonewardena-0aa127a</t>
  </si>
  <si>
    <t>https://linkedin.com/in/paul-hess-743a578</t>
  </si>
  <si>
    <t>https://linkedin.com/in/susan-ruddick-06a32421</t>
  </si>
  <si>
    <t>https://linkedin.com/in/keith-bartholomew-a8a3b46</t>
  </si>
  <si>
    <t>https://linkedin.com/in/reid-ewing-3aa78a30</t>
  </si>
  <si>
    <t>https://linkedin.com/in/sarah-hinners-22a45151</t>
  </si>
  <si>
    <t>https://linkedin.com/in/michael-larice-36445910</t>
  </si>
  <si>
    <t>https://linkedin.com/in/brenda-scheer-faia-faicp-9b0934b</t>
  </si>
  <si>
    <t>https://linkedin.com/in/ellen-bassett-a722287a</t>
  </si>
  <si>
    <t>https://linkedin.com/in/tim-beatley-3b290010</t>
  </si>
  <si>
    <t>https://linkedin.com/in/guoping-huang-7687a112</t>
  </si>
  <si>
    <t>https://linkedin.com/in/andrew-mondschein-77ab2493</t>
  </si>
  <si>
    <t>https://linkedin.com/in/suzanne-moomaw-93146174</t>
  </si>
  <si>
    <t>https://linkedin.com/in/dan-abramson-7132866</t>
  </si>
  <si>
    <t>https://linkedin.com/in/marina-alberti-b8111921</t>
  </si>
  <si>
    <t>https://linkedin.com/in/christine-bae-17092ab</t>
  </si>
  <si>
    <t>https://linkedin.com/in/branden-born-8b5b543</t>
  </si>
  <si>
    <t>https://linkedin.com/in/manish-chalana-20125b39</t>
  </si>
  <si>
    <t>https://linkedin.com/in/sofia-dermisi-1962185</t>
  </si>
  <si>
    <t>https://linkedin.com/in/himanshu-grover-ba508730</t>
  </si>
  <si>
    <t>https://linkedin.com/in/bob-mugerauer-a7600014</t>
  </si>
  <si>
    <t>https://linkedin.com/in/mark-purcell-a5b11520</t>
  </si>
  <si>
    <t>https://linkedin.com/in/qing-shen-6534025</t>
  </si>
  <si>
    <t>https://linkedin.com/in/jan-whittington-a6b68210</t>
  </si>
  <si>
    <t>https://linkedin.com/in/mdrescher</t>
  </si>
  <si>
    <t>https://linkedin.com/in/laura-johnson-93b2b988</t>
  </si>
  <si>
    <t>https://linkedin.com/in/luna-khirfan-6779752b</t>
  </si>
  <si>
    <t>https://linkedin.com/in/christinaparker1</t>
  </si>
  <si>
    <t>https://linkedin.com/in/mark-seasons-328b3112</t>
  </si>
  <si>
    <t>https://linkedin.com/in/clarence-woudsma-208b3ab</t>
  </si>
  <si>
    <t>https://linkedin.com/in/ken-genskow-2a8a8711</t>
  </si>
  <si>
    <t>https://linkedin.com/in/james-lagro-jr-31528a10</t>
  </si>
  <si>
    <t>https://linkedin.com/in/david-marcouiller-14569a45</t>
  </si>
  <si>
    <t>https://linkedin.com/in/alfonso-morales-53aa289</t>
  </si>
  <si>
    <t>https://linkedin.com/in/brian-ohm-b1602a57</t>
  </si>
  <si>
    <t>https://linkedin.com/in/kurt-paulsen-a0437923</t>
  </si>
  <si>
    <t>https://linkedin.com/in/nancy-frank-3288766</t>
  </si>
  <si>
    <t>https://linkedin.com/in/dr-kirk-e-harris-06410912</t>
  </si>
  <si>
    <t>https://linkedin.com/in/lingqian-hu-9644b012</t>
  </si>
  <si>
    <t>https://linkedin.com/in/robertjschneider</t>
  </si>
  <si>
    <t>https://linkedin.com/in/tridib-banerjee-9826a13</t>
  </si>
  <si>
    <t>https://linkedin.com/in/marlon-boarnet-6875ba6</t>
  </si>
  <si>
    <t>https://linkedin.com/in/raphael-bostic-5340a51</t>
  </si>
  <si>
    <t>https://linkedin.com/in/genevieve-giuliano-853436a</t>
  </si>
  <si>
    <t>https://linkedin.com/in/martin-krieger-59889910</t>
  </si>
  <si>
    <t>https://linkedin.com/in/dowell-myers-35084014</t>
  </si>
  <si>
    <t>https://linkedin.com/in/christian-redfearn-2127a097</t>
  </si>
  <si>
    <t>https://linkedin.com/in/lisa-schweitzer-987b0614</t>
  </si>
  <si>
    <t>https://linkedin.com/in/david-sloane-23606a34</t>
  </si>
  <si>
    <t>https://linkedin.com/in/meghanzgough</t>
  </si>
  <si>
    <t>https://linkedin.com/in/drelsieharperanderson</t>
  </si>
  <si>
    <t>https://linkedin.com/in/kathryn-howell-851b6850</t>
  </si>
  <si>
    <t>https://linkedin.com/in/damian-pitt-53a9267</t>
  </si>
  <si>
    <t>https://linkedin.com/in/niraj-verma-2659aa95</t>
  </si>
  <si>
    <t>https://linkedin.com/in/david-bieri-a586262</t>
  </si>
  <si>
    <t>https://linkedin.com/in/ralph-buehler-94959061</t>
  </si>
  <si>
    <t>https://linkedin.com/in/ralphphall</t>
  </si>
  <si>
    <t>https://linkedin.com/in/shankey</t>
  </si>
  <si>
    <t>https://linkedin.com/in/shalini-misra-6b807a9a</t>
  </si>
  <si>
    <t>https://linkedin.com/in/tomwsanchez</t>
  </si>
  <si>
    <t>https://twitter.com/tomwsanchez</t>
  </si>
  <si>
    <t>https://tomwsanchez.com/</t>
  </si>
  <si>
    <t>https://linkedin.com/in/kris-wernstedt-4717a356</t>
  </si>
  <si>
    <t>https://linkedin.com/in/diane-zahm-9a834a18</t>
  </si>
  <si>
    <t>https://linkedin.com/in/yang-zhang-40232a35</t>
  </si>
  <si>
    <t>https://linkedin.com/in/robin-boyle-b003315</t>
  </si>
  <si>
    <t>https://linkedin.com/in/carolyn-loh-5a812343</t>
  </si>
  <si>
    <t>https://linkedin.com/in/avis-vidal-41485814</t>
  </si>
  <si>
    <t>https://linkedin.com/in/gary-coutu-44969452</t>
  </si>
  <si>
    <t>https://linkedin.com/in/kristen-crossney-69359b40</t>
  </si>
  <si>
    <t>https://linkedin.com/in/dorothy-ives-dewey-a202012</t>
  </si>
  <si>
    <t>https://linkedin.com/in/joyfritschle</t>
  </si>
  <si>
    <t>https://linkedin.com/in/matin-katirai-phd-mph-gisp-994672106</t>
  </si>
  <si>
    <t>https://linkedin.com/in/james-lewandowski-33072418</t>
  </si>
  <si>
    <t>https://linkedin.com/in/dave-lemberg-a9345245</t>
  </si>
  <si>
    <t>https://linkedin.com/in/li-yang-83216516</t>
  </si>
  <si>
    <t>https://linkedin.com/in/robert-bristow-a7ab337a</t>
  </si>
  <si>
    <t>https://linkedin.com/in/brian-conz-16586231</t>
  </si>
  <si>
    <t>https://linkedin.com/in/dristi-neog-b8761978</t>
  </si>
  <si>
    <t>Zorica Nedovic-Budic</t>
  </si>
  <si>
    <t>@ProfZoricaNB</t>
  </si>
  <si>
    <t>Nedovic-Budic</t>
  </si>
  <si>
    <t>Zorica</t>
  </si>
  <si>
    <t>https://www.researchgate.net/profile/Zorica_Nedovic-Budic2</t>
  </si>
  <si>
    <t>https://www.linkedin.com/in/zorica-nedovic-budic-1794035/</t>
  </si>
  <si>
    <t xml:space="preserve">UNC </t>
  </si>
  <si>
    <t>https://scholar.google.com/citations?user=gPnD5gYAAAAJ&amp;hl=en</t>
  </si>
  <si>
    <t>https://scholar.google.com/citations?user=xCzNygkAAAAJ&amp;hl=en&amp;oe=ASCII</t>
  </si>
  <si>
    <t>https://scholar.google.com/citations?user=hfAW1i8AAAAJ&amp;hl=en&amp;oe=ASCII</t>
  </si>
  <si>
    <t>https://scholar.google.com/citations?user=uesY7jMAAAAJ&amp;hl=en&amp;oe=ASCII</t>
  </si>
  <si>
    <t>https://scholar.google.com/citations?user=N6mdO10AAAAJ&amp;hl=en&amp;oe=ASCII</t>
  </si>
  <si>
    <t>https://scholar.google.com/citations?user=s8hqUgMAAAAJ&amp;hl=en&amp;oe=ASCII</t>
  </si>
  <si>
    <t>https://scholar.google.com/citations?user=fOszDKwAAAAJ&amp;hl=en&amp;oe=ASCII</t>
  </si>
  <si>
    <t>https://scholar.google.com/citations?user=DEZ6xA0AAAAJ&amp;hl=en&amp;oe=ASCII</t>
  </si>
  <si>
    <t>https://scholar.google.com/citations?user=LwgqhiQAAAAJ&amp;hl=en&amp;oe=ASCII</t>
  </si>
  <si>
    <t>https://scholar.google.com/citations?user=kCpd5XEAAAAJ&amp;hl=en&amp;oe=ASCII</t>
  </si>
  <si>
    <t>https://scholar.google.com/citations?user=iwUHlEgAAAAJ&amp;hl=en&amp;oe=ASCII</t>
  </si>
  <si>
    <t>https://scholar.google.com/citations?user=JnPkA8MAAAAJ&amp;hl=en&amp;oe=ASCII</t>
  </si>
  <si>
    <t>https://scholar.google.com/citations?user=wJatmOgAAAAJ&amp;hl=en&amp;oe=ASCII</t>
  </si>
  <si>
    <t>https://scholar.google.com/citations?user=WM_NNugAAAAJ&amp;hl=en&amp;oe=ASCII</t>
  </si>
  <si>
    <t>https://scholar.google.com/citations?user=1E6fpHgAAAAJ&amp;hl=en&amp;oe=ASCII</t>
  </si>
  <si>
    <t>https://scholar.google.com/citations?user=0AzBJXMAAAAJ&amp;hl=en&amp;oe=ASCII</t>
  </si>
  <si>
    <t>Ahsan Habib</t>
  </si>
  <si>
    <t>Ajay Garde</t>
  </si>
  <si>
    <t>Alan Berger</t>
  </si>
  <si>
    <t>Alan Lew</t>
  </si>
  <si>
    <t>Alec Gershberg</t>
  </si>
  <si>
    <t>Alfred Price</t>
  </si>
  <si>
    <t>Alison Smith</t>
  </si>
  <si>
    <t>Allan Shearer</t>
  </si>
  <si>
    <t>Amelie Davis</t>
  </si>
  <si>
    <t>Amy Glasmeier</t>
  </si>
  <si>
    <t>Ana Walker</t>
  </si>
  <si>
    <t>Anne Salomon</t>
  </si>
  <si>
    <t>Annette Kim</t>
  </si>
  <si>
    <t>Anton Nelessen</t>
  </si>
  <si>
    <t>Arthur Nelson</t>
  </si>
  <si>
    <t>Asha Agrawal</t>
  </si>
  <si>
    <t>Asligul Gocmen</t>
  </si>
  <si>
    <t>Avis Vidal</t>
  </si>
  <si>
    <t>Avrum Shriar</t>
  </si>
  <si>
    <t>https://scholar.google.com/citations?user=u93hCkgAAAAJ&amp;hl=en&amp;oe=ASCII</t>
  </si>
  <si>
    <t>Beth Heidelberg</t>
  </si>
  <si>
    <t>Bethany Stich</t>
  </si>
  <si>
    <t>Beverly Sandalack</t>
  </si>
  <si>
    <t>Biswa Das</t>
  </si>
  <si>
    <t>Brent Ryan</t>
  </si>
  <si>
    <t>Brian Mikelbank</t>
  </si>
  <si>
    <t>Brian Ohm</t>
  </si>
  <si>
    <t>Bruce Frankel</t>
  </si>
  <si>
    <t>Burrell Montz</t>
  </si>
  <si>
    <t>Calvin Masilela</t>
  </si>
  <si>
    <t>Carissa Slotterback</t>
  </si>
  <si>
    <t>Carolina Reid</t>
  </si>
  <si>
    <t>Caroline Scruggs</t>
  </si>
  <si>
    <t>Carolyn Loh</t>
  </si>
  <si>
    <t>Casey Dawkins</t>
  </si>
  <si>
    <t>Catherine Lawson</t>
  </si>
  <si>
    <t>Catherine Ross</t>
  </si>
  <si>
    <t>Charles Connerly</t>
  </si>
  <si>
    <t>Christian Redfearn</t>
  </si>
  <si>
    <t>Clara Irazábal-Zurita</t>
  </si>
  <si>
    <t>Claudia Isaac</t>
  </si>
  <si>
    <t>Clinton Andrews</t>
  </si>
  <si>
    <t>Connie Ozawa</t>
  </si>
  <si>
    <t>Conrad Kickert</t>
  </si>
  <si>
    <t>Daniel Abramson</t>
  </si>
  <si>
    <t>Daniel Chatman</t>
  </si>
  <si>
    <t>Daniel Hammel</t>
  </si>
  <si>
    <t>Daniel Hess</t>
  </si>
  <si>
    <t>David Brown</t>
  </si>
  <si>
    <t>David Edelman</t>
  </si>
  <si>
    <t>David Feldman</t>
  </si>
  <si>
    <t>David Gladstone</t>
  </si>
  <si>
    <t>David Howell</t>
  </si>
  <si>
    <t>David Lewis</t>
  </si>
  <si>
    <t>David Marcouiller</t>
  </si>
  <si>
    <t>David Nemeth</t>
  </si>
  <si>
    <t>David Perry</t>
  </si>
  <si>
    <t>David Simpson</t>
  </si>
  <si>
    <t>David Sloane</t>
  </si>
  <si>
    <t>David Varady</t>
  </si>
  <si>
    <t>Dawn Parker</t>
  </si>
  <si>
    <t>Dayana Salazar</t>
  </si>
  <si>
    <t>https://scholar.google.com/citations?user=B9w3sAMAAAAJ&amp;hl=en&amp;oe=ASCII</t>
  </si>
  <si>
    <t>Diane Davis</t>
  </si>
  <si>
    <t>Diane Zahm</t>
  </si>
  <si>
    <t>Donald Miller</t>
  </si>
  <si>
    <t>Dorothy Dewey</t>
  </si>
  <si>
    <t>Edward Goetz</t>
  </si>
  <si>
    <t>Elías Sanchez</t>
  </si>
  <si>
    <t>Elisabeth Hamin</t>
  </si>
  <si>
    <t>Elizabeth Mueller</t>
  </si>
  <si>
    <t>Ellen Bassett</t>
  </si>
  <si>
    <t>Ellen Pader</t>
  </si>
  <si>
    <t>Emmanuel Boamah</t>
  </si>
  <si>
    <t>Eric Heikkila</t>
  </si>
  <si>
    <t>Eric Morris</t>
  </si>
  <si>
    <t>Eric Rapaport</t>
  </si>
  <si>
    <t>Eric Strauss</t>
  </si>
  <si>
    <t>Eugenie Birch</t>
  </si>
  <si>
    <t>Evandro Santos</t>
  </si>
  <si>
    <t>Felix Barreto</t>
  </si>
  <si>
    <t>Francis Owusu</t>
  </si>
  <si>
    <t>Francisco Uribe</t>
  </si>
  <si>
    <t>Frank Palermo</t>
  </si>
  <si>
    <t>Frank Popper</t>
  </si>
  <si>
    <t>Gabriella Carolini</t>
  </si>
  <si>
    <t>Galen Newman</t>
  </si>
  <si>
    <t>Gary Coutu</t>
  </si>
  <si>
    <t>Gary Painter</t>
  </si>
  <si>
    <t>Gary Taylor</t>
  </si>
  <si>
    <t>Geoffrey Booth</t>
  </si>
  <si>
    <t>George Dougherty</t>
  </si>
  <si>
    <t>George Rogers</t>
  </si>
  <si>
    <t>Gerrit Knaap</t>
  </si>
  <si>
    <t>Glenn Johnson</t>
  </si>
  <si>
    <t>Greg Lindsey</t>
  </si>
  <si>
    <t>Harley Etienne</t>
  </si>
  <si>
    <t>Harvey Jacobs</t>
  </si>
  <si>
    <t>Heather Khan</t>
  </si>
  <si>
    <t>Henrik Minassians</t>
  </si>
  <si>
    <t>Henry Renski</t>
  </si>
  <si>
    <t>Henry Taylor</t>
  </si>
  <si>
    <t>Ingrid Ellen</t>
  </si>
  <si>
    <t>Ivis Zambrana</t>
  </si>
  <si>
    <t>Ivy Hu</t>
  </si>
  <si>
    <t>Jae Chin</t>
  </si>
  <si>
    <t>Jae Kim</t>
  </si>
  <si>
    <t>James Hughes</t>
  </si>
  <si>
    <t>James Lagro</t>
  </si>
  <si>
    <t>James Lewandowski</t>
  </si>
  <si>
    <t>James Mower</t>
  </si>
  <si>
    <t>James Spencer</t>
  </si>
  <si>
    <t>Jan Fritz</t>
  </si>
  <si>
    <t>Jane Lilly</t>
  </si>
  <si>
    <t>Jason Brody</t>
  </si>
  <si>
    <t>Jean Hartman</t>
  </si>
  <si>
    <t>Jennifer Foster</t>
  </si>
  <si>
    <t>https://scholar.google.com/citations?user=0jPZTmUAAAAJ&amp;hl=en&amp;oe=ASCII</t>
  </si>
  <si>
    <t>Jenny Liu</t>
  </si>
  <si>
    <t>Jerold Kayden</t>
  </si>
  <si>
    <t>Jerry Mitchell</t>
  </si>
  <si>
    <t>https://scholar.google.com/citations?user=ZN0J5yQAAAAJ&amp;hl=en&amp;oe=ASCII</t>
  </si>
  <si>
    <t>Jesus Lara</t>
  </si>
  <si>
    <t>Jill Blakley</t>
  </si>
  <si>
    <t>Jill Grant</t>
  </si>
  <si>
    <t>Joan Welch</t>
  </si>
  <si>
    <t>Joan Wesley</t>
  </si>
  <si>
    <t>Johanna Looye</t>
  </si>
  <si>
    <t>John Accordino</t>
  </si>
  <si>
    <t>John Benhart</t>
  </si>
  <si>
    <t>John Betancur</t>
  </si>
  <si>
    <t>John Bryson</t>
  </si>
  <si>
    <t>John Devlin</t>
  </si>
  <si>
    <t>John FitzGibbon</t>
  </si>
  <si>
    <t>John FitzSimons</t>
  </si>
  <si>
    <t>John Fuller</t>
  </si>
  <si>
    <t>John Harris</t>
  </si>
  <si>
    <t>John Keller</t>
  </si>
  <si>
    <t>John Landis</t>
  </si>
  <si>
    <t>John Pipkin</t>
  </si>
  <si>
    <t>John Renne</t>
  </si>
  <si>
    <t>John Zuck</t>
  </si>
  <si>
    <t>Jon Rodiek</t>
  </si>
  <si>
    <t>Jorge Roca</t>
  </si>
  <si>
    <t>Jose Gomez-Ibanez</t>
  </si>
  <si>
    <t>Joy Fritschle</t>
  </si>
  <si>
    <t>Judith Long</t>
  </si>
  <si>
    <t>Julia Rubin</t>
  </si>
  <si>
    <t>June Thomas</t>
  </si>
  <si>
    <t>Kareem Usher</t>
  </si>
  <si>
    <t>Karen Gibson</t>
  </si>
  <si>
    <t>https://scholar.google.com/citations?user=scy4f7oAAAAJ&amp;hl=en&amp;oe=ASCII</t>
  </si>
  <si>
    <t>Katharine Rankin</t>
  </si>
  <si>
    <t>Kathryn Howell</t>
  </si>
  <si>
    <t>Kelly Kinahan</t>
  </si>
  <si>
    <t>Kenneth Chew</t>
  </si>
  <si>
    <t>Kenneth Genskow</t>
  </si>
  <si>
    <t>Kevin Czajkowski</t>
  </si>
  <si>
    <t>https://scholar.google.com/citations?user=XloC2H8AAAAJ&amp;hl=en&amp;oe=ASCII</t>
  </si>
  <si>
    <t>https://scholar.google.com/citations?user=yYvDwKwAAAAJ&amp;hl=en&amp;oe=ASCII</t>
  </si>
  <si>
    <t>Kirk Harris</t>
  </si>
  <si>
    <t>Krista Evans</t>
  </si>
  <si>
    <t>Kristen Crossney</t>
  </si>
  <si>
    <t>Kristof Assche</t>
  </si>
  <si>
    <t>Kurt Paulsen</t>
  </si>
  <si>
    <t>Kyle Whitfield</t>
  </si>
  <si>
    <t>Laura Johnson</t>
  </si>
  <si>
    <t>https://scholar.google.com/citations?user=ZxwZ5xIAAAAJ&amp;hl=en&amp;oe=ASCII</t>
  </si>
  <si>
    <t>Laura Taylor</t>
  </si>
  <si>
    <t>Lawrence Frank</t>
  </si>
  <si>
    <t>Lawrence Martz</t>
  </si>
  <si>
    <t>Lawrence Vale</t>
  </si>
  <si>
    <t>Leobardo Estrada</t>
  </si>
  <si>
    <t>Lisa Bates</t>
  </si>
  <si>
    <t>Lisa Servon</t>
  </si>
  <si>
    <t>Luis Acevedo</t>
  </si>
  <si>
    <t>Lyna Wiggins</t>
  </si>
  <si>
    <t>Malo Hutson</t>
  </si>
  <si>
    <t>Manuel Rodriguez</t>
  </si>
  <si>
    <t>Marcela Rivas</t>
  </si>
  <si>
    <t>Margaret Dewar</t>
  </si>
  <si>
    <t>Maria Alarcon</t>
  </si>
  <si>
    <t>Maria Conroy</t>
  </si>
  <si>
    <t>Maritza Orta</t>
  </si>
  <si>
    <t>Mark Stevens</t>
  </si>
  <si>
    <t>Mark Wilson</t>
  </si>
  <si>
    <t>Mark Winfield</t>
  </si>
  <si>
    <t>Marla Nelson</t>
  </si>
  <si>
    <t>Martin Krieger</t>
  </si>
  <si>
    <t>https://scholar.google.com/citations?user=MMmkrosAAAAJ&amp;hl=en&amp;oe=ASCII</t>
  </si>
  <si>
    <t>Mary Akers</t>
  </si>
  <si>
    <t>Mary Davis</t>
  </si>
  <si>
    <t>Mary Edwards</t>
  </si>
  <si>
    <t>Mary Schlemper</t>
  </si>
  <si>
    <t>Matthias Sweet</t>
  </si>
  <si>
    <t>Mattijs Maasakkers</t>
  </si>
  <si>
    <t>Max Raynaud</t>
  </si>
  <si>
    <t>Max Stephenson</t>
  </si>
  <si>
    <t>Megan Heckert</t>
  </si>
  <si>
    <t>Megan LaFrombois</t>
  </si>
  <si>
    <t>Michael Burayidi</t>
  </si>
  <si>
    <t>Michael Elliott</t>
  </si>
  <si>
    <t>Michael Lowry</t>
  </si>
  <si>
    <t>Michelle Thompson</t>
  </si>
  <si>
    <t>Mikiko Terashima</t>
  </si>
  <si>
    <t>Monica Haddad</t>
  </si>
  <si>
    <t>Nichola Lowe</t>
  </si>
  <si>
    <t>Nicholas Marantz</t>
  </si>
  <si>
    <t>Nihal Perera</t>
  </si>
  <si>
    <t>Nonita Yap</t>
  </si>
  <si>
    <t>Norma Peña-Rivera</t>
  </si>
  <si>
    <t>P. Zegras</t>
  </si>
  <si>
    <t>Pamela Foti</t>
  </si>
  <si>
    <t>Patricia Machemer</t>
  </si>
  <si>
    <t>Patricia Manuel</t>
  </si>
  <si>
    <t>Patricia Wilson</t>
  </si>
  <si>
    <t>Patrick Lawrence</t>
  </si>
  <si>
    <t>Peter Flachsbart</t>
  </si>
  <si>
    <t>Peter Mulvihill</t>
  </si>
  <si>
    <t>Peter Rowe</t>
  </si>
  <si>
    <t>Philip Berke</t>
  </si>
  <si>
    <t>Philip Watson</t>
  </si>
  <si>
    <t>Rachel Kleit</t>
  </si>
  <si>
    <t>Rafael Odlum</t>
  </si>
  <si>
    <t>Ragui Assaad</t>
  </si>
  <si>
    <t>Rainer Hofe</t>
  </si>
  <si>
    <t>Ralph Hall</t>
  </si>
  <si>
    <t>Randall Guensler</t>
  </si>
  <si>
    <t>Rebecca Lewis</t>
  </si>
  <si>
    <t>Reginald Kwok</t>
  </si>
  <si>
    <t>Richard Booth</t>
  </si>
  <si>
    <t>Richard Hoch</t>
  </si>
  <si>
    <t>Richard Jackson</t>
  </si>
  <si>
    <t>Richard Levy</t>
  </si>
  <si>
    <t>Richard Margerum</t>
  </si>
  <si>
    <t>Richard Matthew</t>
  </si>
  <si>
    <t>Richard Norton</t>
  </si>
  <si>
    <t>Richard Peiser</t>
  </si>
  <si>
    <t>Richard Tangum</t>
  </si>
  <si>
    <t>Richard Willson</t>
  </si>
  <si>
    <t>Robert Beauregard</t>
  </si>
  <si>
    <t>Robert Bristow</t>
  </si>
  <si>
    <t>Robert Burchell</t>
  </si>
  <si>
    <t>Robert Jones</t>
  </si>
  <si>
    <t>Robert Kent</t>
  </si>
  <si>
    <t>Robert Lake</t>
  </si>
  <si>
    <t>Robert Paterson</t>
  </si>
  <si>
    <t>https://scholar.google.com/citations?user=IDOfbMYAAAAJ&amp;hl=en&amp;oe=ASCII</t>
  </si>
  <si>
    <t>Robert Shibley</t>
  </si>
  <si>
    <t>Robert Silverman</t>
  </si>
  <si>
    <t>Robert Simons</t>
  </si>
  <si>
    <t>Robert Young</t>
  </si>
  <si>
    <t>Roberto Quercia</t>
  </si>
  <si>
    <t>Rodolfo Torres</t>
  </si>
  <si>
    <t>Roger Keil</t>
  </si>
  <si>
    <t>Rosanna Rivero</t>
  </si>
  <si>
    <t>Russell Fricano</t>
  </si>
  <si>
    <t>Ruth Steiner</t>
  </si>
  <si>
    <t>Ryan Allen</t>
  </si>
  <si>
    <t>Ryan Walker</t>
  </si>
  <si>
    <t>Sabina Deitrick</t>
  </si>
  <si>
    <t>Sammy Anderson</t>
  </si>
  <si>
    <t>Samuel Brody</t>
  </si>
  <si>
    <t>Sandeep Agrawal</t>
  </si>
  <si>
    <t>Sangwoo Sung</t>
  </si>
  <si>
    <t>Scott Bollens</t>
  </si>
  <si>
    <t>Scott Campbell</t>
  </si>
  <si>
    <t>Scott Dempwolf</t>
  </si>
  <si>
    <t>Scott Truex</t>
  </si>
  <si>
    <t>Shannon Zandt</t>
  </si>
  <si>
    <t>https://scholar.google.com/citations?user=oHSO70gAAAAJ&amp;hl=en&amp;oe=ASCII</t>
  </si>
  <si>
    <t>Stacey White</t>
  </si>
  <si>
    <t>https://scholar.google.com/citations?user=IrrSGOYAAAAJ&amp;hl=en&amp;oe=ASCII</t>
  </si>
  <si>
    <t>Stephanie Chang</t>
  </si>
  <si>
    <t>Stephanie Ryberg</t>
  </si>
  <si>
    <t>Stephen Ramos</t>
  </si>
  <si>
    <t>Steve Hankey</t>
  </si>
  <si>
    <t>Steven Bourassa</t>
  </si>
  <si>
    <t>Steven Koven</t>
  </si>
  <si>
    <t>Steven Peuquet</t>
  </si>
  <si>
    <t>Sudeshna Ghosh Banerjee</t>
  </si>
  <si>
    <t>Sun Han</t>
  </si>
  <si>
    <t>Susan Bradbury</t>
  </si>
  <si>
    <t>Susanna Hecht</t>
  </si>
  <si>
    <t>Suzanne Charles</t>
  </si>
  <si>
    <t>Suzanne Moomaw</t>
  </si>
  <si>
    <t>Teresa Cordova</t>
  </si>
  <si>
    <t>Thomas Campanella</t>
  </si>
  <si>
    <t>Thomas Daniels</t>
  </si>
  <si>
    <t>Thomas Hutton</t>
  </si>
  <si>
    <t>Thomas Sanchez</t>
  </si>
  <si>
    <t>Timothy Borich</t>
  </si>
  <si>
    <t>Timothy Chapin</t>
  </si>
  <si>
    <t>Timothy Welch</t>
  </si>
  <si>
    <t>Toni Griffin</t>
  </si>
  <si>
    <t>Tonya Sanders</t>
  </si>
  <si>
    <t>Ute Lehrer</t>
  </si>
  <si>
    <t>Vicente Rio</t>
  </si>
  <si>
    <t>Victoria Beard</t>
  </si>
  <si>
    <t>Walter Peacock</t>
  </si>
  <si>
    <t>Wayne Caldwell</t>
  </si>
  <si>
    <t>Wendy Kellogg</t>
  </si>
  <si>
    <t>William Butler</t>
  </si>
  <si>
    <t>William Cohen</t>
  </si>
  <si>
    <t>William Drummond</t>
  </si>
  <si>
    <t>William Dunn</t>
  </si>
  <si>
    <t>William Fleming</t>
  </si>
  <si>
    <t>William Menking</t>
  </si>
  <si>
    <t>William Siembieda</t>
  </si>
  <si>
    <t>Yanqing Xu</t>
  </si>
  <si>
    <t>https://scholar.google.com/citations?user=M13ND-0AAAAJ&amp;hl=en&amp;oe=ASCII</t>
  </si>
  <si>
    <t>Zenia Kotval</t>
  </si>
  <si>
    <t>Zhixi Zhuang</t>
  </si>
  <si>
    <t>https://scholar.google.com/citations?user=cNymSMUAAAAJ&amp;hl=en&amp;oe=ASCII</t>
  </si>
  <si>
    <t>Christopher De Sousa</t>
  </si>
  <si>
    <t>Scott Smith</t>
  </si>
  <si>
    <t>de Boer</t>
  </si>
  <si>
    <t>Michel Guenette</t>
  </si>
  <si>
    <t>W. Dennis Keating</t>
  </si>
  <si>
    <t>N</t>
  </si>
  <si>
    <t>Sum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</si>
</sst>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0"/>
  </numFmts>
  <fonts count="14" x14ac:knownFonts="1">
    <font>
      <sz val="11"/>
      <color theme="1"/>
      <name val="Calibri"/>
      <family val="2"/>
      <scheme val="minor"/>
    </font>
    <font>
      <b/>
      <sz val="11"/>
      <color theme="1"/>
      <name val="Calibri"/>
      <family val="2"/>
      <scheme val="minor"/>
    </font>
    <font>
      <sz val="11"/>
      <color theme="10"/>
      <name val="Calibri"/>
      <family val="2"/>
      <scheme val="minor"/>
    </font>
    <font>
      <sz val="11"/>
      <name val="Calibri"/>
      <family val="2"/>
      <scheme val="minor"/>
    </font>
    <font>
      <sz val="11"/>
      <color theme="1"/>
      <name val="Calibri"/>
      <family val="2"/>
    </font>
    <font>
      <sz val="11"/>
      <color rgb="FF000000"/>
      <name val="Calibri"/>
      <family val="2"/>
      <scheme val="minor"/>
    </font>
    <font>
      <b/>
      <sz val="11"/>
      <name val="Calibri"/>
      <family val="2"/>
      <scheme val="minor"/>
    </font>
    <font>
      <sz val="10"/>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sz val="11"/>
      <color rgb="FF9C6500"/>
      <name val="Calibri"/>
      <family val="2"/>
      <scheme val="minor"/>
    </font>
    <font>
      <u/>
      <sz val="11"/>
      <color theme="10"/>
      <name val="Calibri"/>
      <family val="2"/>
      <scheme val="minor"/>
    </font>
    <font>
      <sz val="12"/>
      <color rgb="FF006100"/>
      <name val="Calibri"/>
      <family val="2"/>
      <scheme val="minor"/>
    </font>
  </fonts>
  <fills count="4">
    <fill>
      <patternFill patternType="none"/>
    </fill>
    <fill>
      <patternFill patternType="gray125"/>
    </fill>
    <fill>
      <patternFill patternType="solid">
        <fgColor rgb="FFC6EFCE"/>
      </patternFill>
    </fill>
    <fill>
      <patternFill patternType="solid">
        <fgColor rgb="FFFFEB9C"/>
      </patternFill>
    </fill>
  </fills>
  <borders count="2">
    <border>
      <left/>
      <right/>
      <top/>
      <bottom/>
      <diagonal/>
    </border>
    <border>
      <left style="thin">
        <color theme="6"/>
      </left>
      <right style="thin">
        <color theme="6"/>
      </right>
      <top style="thin">
        <color theme="6"/>
      </top>
      <bottom style="medium">
        <color theme="6"/>
      </bottom>
      <diagonal/>
    </border>
  </borders>
  <cellStyleXfs count="5">
    <xf numFmtId="0" fontId="0" fillId="0" borderId="0"/>
    <xf numFmtId="0" fontId="1" fillId="0" borderId="0"/>
    <xf numFmtId="0" fontId="11" fillId="3" borderId="0"/>
    <xf numFmtId="0" fontId="12" fillId="0" borderId="0"/>
    <xf numFmtId="0" fontId="13" fillId="2" borderId="0"/>
  </cellStyleXfs>
  <cellXfs count="43">
    <xf numFmtId="0" fontId="0" fillId="0" borderId="0" xfId="0"/>
    <xf numFmtId="0" fontId="2" fillId="0" borderId="0" xfId="1" applyFont="1"/>
    <xf numFmtId="0" fontId="3" fillId="0" borderId="0" xfId="0" applyFont="1" applyAlignment="1">
      <alignment horizontal="left"/>
    </xf>
    <xf numFmtId="0" fontId="1" fillId="0" borderId="0" xfId="0" applyFont="1"/>
    <xf numFmtId="0" fontId="3" fillId="0" borderId="0" xfId="0" applyFont="1"/>
    <xf numFmtId="0" fontId="5" fillId="0" borderId="0" xfId="0" applyFont="1" applyAlignment="1">
      <alignment vertical="center"/>
    </xf>
    <xf numFmtId="0" fontId="4" fillId="0" borderId="0" xfId="0" applyFont="1" applyAlignment="1">
      <alignment vertical="center"/>
    </xf>
    <xf numFmtId="1" fontId="6" fillId="0" borderId="0" xfId="0" applyNumberFormat="1" applyFont="1"/>
    <xf numFmtId="1" fontId="3" fillId="0" borderId="0" xfId="0" applyNumberFormat="1" applyFont="1"/>
    <xf numFmtId="1" fontId="0" fillId="0" borderId="0" xfId="0" applyNumberFormat="1" applyAlignment="1">
      <alignment horizontal="center"/>
    </xf>
    <xf numFmtId="165" fontId="3" fillId="0" borderId="0" xfId="0" applyNumberFormat="1" applyFont="1"/>
    <xf numFmtId="0" fontId="0" fillId="0" borderId="0" xfId="0" quotePrefix="1" applyAlignment="1">
      <alignment horizontal="center"/>
    </xf>
    <xf numFmtId="165" fontId="6" fillId="0" borderId="0" xfId="0" applyNumberFormat="1" applyFont="1" applyAlignment="1">
      <alignment horizontal="center"/>
    </xf>
    <xf numFmtId="1" fontId="0" fillId="0" borderId="0" xfId="0" applyNumberFormat="1"/>
    <xf numFmtId="9" fontId="7" fillId="0" borderId="0" xfId="0" applyNumberFormat="1" applyFont="1"/>
    <xf numFmtId="164" fontId="0" fillId="0" borderId="0" xfId="0" applyNumberFormat="1"/>
    <xf numFmtId="1" fontId="2" fillId="0" borderId="0" xfId="1" applyNumberFormat="1" applyFont="1"/>
    <xf numFmtId="0" fontId="8" fillId="0" borderId="0" xfId="0" applyFont="1" applyAlignment="1">
      <alignment horizontal="center"/>
    </xf>
    <xf numFmtId="0" fontId="0" fillId="0" borderId="0" xfId="0"/>
    <xf numFmtId="3" fontId="0" fillId="0" borderId="0" xfId="0" applyNumberFormat="1"/>
    <xf numFmtId="0" fontId="0" fillId="0" borderId="0" xfId="0" applyAlignment="1">
      <alignment horizontal="center"/>
    </xf>
    <xf numFmtId="16" fontId="2" fillId="0" borderId="0" xfId="1" applyNumberFormat="1" applyFont="1" applyAlignment="1">
      <alignment horizontal="left"/>
    </xf>
    <xf numFmtId="0" fontId="9" fillId="0" borderId="0" xfId="0" applyFont="1" applyAlignment="1">
      <alignment horizontal="center"/>
    </xf>
    <xf numFmtId="0" fontId="10" fillId="0" borderId="1" xfId="0" applyFont="1" applyBorder="1" applyAlignment="1">
      <alignment horizontal="center"/>
    </xf>
    <xf numFmtId="3" fontId="10" fillId="0" borderId="1" xfId="0" applyNumberFormat="1" applyFont="1" applyBorder="1" applyAlignment="1">
      <alignment horizontal="center"/>
    </xf>
    <xf numFmtId="0" fontId="3" fillId="0" borderId="0" xfId="0" applyFont="1" applyAlignment="1">
      <alignment vertical="center"/>
    </xf>
    <xf numFmtId="0" fontId="0" fillId="0" borderId="0" xfId="0" applyAlignment="1">
      <alignment horizontal="left"/>
    </xf>
    <xf numFmtId="0" fontId="1" fillId="0" borderId="0" xfId="1"/>
    <xf numFmtId="0" fontId="0" fillId="0" borderId="0" xfId="0" applyFill="1"/>
    <xf numFmtId="1" fontId="1" fillId="0" borderId="0" xfId="0" applyNumberFormat="1" applyFont="1" applyFill="1"/>
    <xf numFmtId="1" fontId="0" fillId="0" borderId="0" xfId="0" applyNumberFormat="1" applyFill="1"/>
    <xf numFmtId="0" fontId="0" fillId="0" borderId="0" xfId="1" applyFont="1" applyFill="1"/>
    <xf numFmtId="0" fontId="0" fillId="0" borderId="0" xfId="0" applyFont="1" applyFill="1"/>
    <xf numFmtId="1" fontId="0" fillId="0" borderId="0" xfId="0" applyNumberFormat="1" applyFill="1" applyAlignment="1"/>
    <xf numFmtId="0" fontId="9" fillId="0" borderId="0" xfId="1" applyFont="1"/>
    <xf numFmtId="3" fontId="2" fillId="0" borderId="0" xfId="1" applyNumberFormat="1" applyFont="1"/>
    <xf numFmtId="1" fontId="0" fillId="0" borderId="0" xfId="0" quotePrefix="1" applyNumberFormat="1"/>
    <xf numFmtId="0" fontId="3" fillId="0" borderId="0" xfId="0" applyFont="1" applyFill="1" applyAlignment="1">
      <alignment vertical="center"/>
    </xf>
    <xf numFmtId="3" fontId="3" fillId="0" borderId="0" xfId="0" applyNumberFormat="1" applyFont="1"/>
    <xf numFmtId="3" fontId="0" fillId="0" borderId="0" xfId="0" applyNumberFormat="1" applyFill="1"/>
    <xf numFmtId="0" fontId="3" fillId="0" borderId="0" xfId="0" applyFont="1" applyAlignment="1">
      <alignment horizontal="center"/>
    </xf>
    <xf numFmtId="0" fontId="6" fillId="0" borderId="0" xfId="1" applyFont="1"/>
    <xf numFmtId="1" fontId="3" fillId="0" borderId="0" xfId="1" applyNumberFormat="1" applyFont="1"/>
  </cellXfs>
  <cellStyles count="5">
    <cellStyle name="Good 2" xfId="4"/>
    <cellStyle name="Hyperlink 2" xfId="3"/>
    <cellStyle name="Neutral 2" xfId="2"/>
    <cellStyle name="Гиперссылка" xfId="1" builtinId="8"/>
    <cellStyle name="Обычный"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scholar.google.com/citations?user=6EYtzVEAAAAJ&amp;hl=en&amp;authuser=2" TargetMode="External"/><Relationship Id="rId299" Type="http://schemas.openxmlformats.org/officeDocument/2006/relationships/hyperlink" Target="https://scholar.google.com.ph/citations?user=sUXmi6YAAAAJ&amp;hl=en" TargetMode="External"/><Relationship Id="rId21" Type="http://schemas.openxmlformats.org/officeDocument/2006/relationships/hyperlink" Target="https://scholar.google.com/citations?user=7xP-KuAAAAAJ&amp;hl=en&amp;authuser=1" TargetMode="External"/><Relationship Id="rId63" Type="http://schemas.openxmlformats.org/officeDocument/2006/relationships/hyperlink" Target="https://scholar.google.com/citations?user=seDOjF4AAAAJ&amp;hl=en" TargetMode="External"/><Relationship Id="rId159" Type="http://schemas.openxmlformats.org/officeDocument/2006/relationships/hyperlink" Target="https://scholar.google.com/citations?user=Y2mu1nAAAAAJ&amp;hl=en" TargetMode="External"/><Relationship Id="rId324" Type="http://schemas.openxmlformats.org/officeDocument/2006/relationships/hyperlink" Target="https://scholar.google.com.ph/citations?user=aul-N4oAAAAJ&amp;hl=en" TargetMode="External"/><Relationship Id="rId366" Type="http://schemas.openxmlformats.org/officeDocument/2006/relationships/hyperlink" Target="https://scholar.google.com.ph/citations?user=X21AFaMAAAAJ&amp;hl=en" TargetMode="External"/><Relationship Id="rId170" Type="http://schemas.openxmlformats.org/officeDocument/2006/relationships/hyperlink" Target="https://scholar.google.com.ph/citations?user=Z9b6qjUAAAAJ&amp;hl=en" TargetMode="External"/><Relationship Id="rId226" Type="http://schemas.openxmlformats.org/officeDocument/2006/relationships/hyperlink" Target="https://scholar.google.com/citations?user=6NKqhUIAAAAJ&amp;hl=en" TargetMode="External"/><Relationship Id="rId433" Type="http://schemas.openxmlformats.org/officeDocument/2006/relationships/hyperlink" Target="https://scholar.google.com/citations?user=tJaShosAAAAJ&amp;hl=en" TargetMode="External"/><Relationship Id="rId268" Type="http://schemas.openxmlformats.org/officeDocument/2006/relationships/hyperlink" Target="https://scholar.google.com.ph/citations?user=PfSK84oAAAAJ&amp;hl=en" TargetMode="External"/><Relationship Id="rId475" Type="http://schemas.openxmlformats.org/officeDocument/2006/relationships/hyperlink" Target="https://scholar.google.com/citations?user=_Fo84nUAAAAJ&amp;hl=en" TargetMode="External"/><Relationship Id="rId32" Type="http://schemas.openxmlformats.org/officeDocument/2006/relationships/hyperlink" Target="https://scholar.google.com/citations?user=w5GSE3MAAAAJ&amp;hl=en" TargetMode="External"/><Relationship Id="rId74" Type="http://schemas.openxmlformats.org/officeDocument/2006/relationships/hyperlink" Target="https://scholar.google.com.ph/citations?user=IXfBXPsAAAAJ&amp;hl=en" TargetMode="External"/><Relationship Id="rId128" Type="http://schemas.openxmlformats.org/officeDocument/2006/relationships/hyperlink" Target="https://scholar.google.com/citations?user=ybNYWkgAAAAJ&amp;hl=en" TargetMode="External"/><Relationship Id="rId335" Type="http://schemas.openxmlformats.org/officeDocument/2006/relationships/hyperlink" Target="https://scholar.google.com.ph/citations?user=Yu63i0UAAAAJ&amp;hl=en" TargetMode="External"/><Relationship Id="rId377" Type="http://schemas.openxmlformats.org/officeDocument/2006/relationships/hyperlink" Target="https://scholar.google.com.ph/citations?user=ViBzERkAAAAJ&amp;hl=en" TargetMode="External"/><Relationship Id="rId500" Type="http://schemas.openxmlformats.org/officeDocument/2006/relationships/hyperlink" Target="https://scholar.google.com/citations?user=0NcBk8UAAAAJ&amp;hl=en" TargetMode="External"/><Relationship Id="rId5" Type="http://schemas.openxmlformats.org/officeDocument/2006/relationships/hyperlink" Target="https://www.researchgate.net/profile/Berneece_Herbert" TargetMode="External"/><Relationship Id="rId181" Type="http://schemas.openxmlformats.org/officeDocument/2006/relationships/hyperlink" Target="https://scholar.google.com.ph/citations?user=zn2TBnIAAAAJ&amp;hl=en" TargetMode="External"/><Relationship Id="rId237" Type="http://schemas.openxmlformats.org/officeDocument/2006/relationships/hyperlink" Target="https://scholar.google.com/citations?user=fUBqE7kAAAAJ&amp;hl=en" TargetMode="External"/><Relationship Id="rId402" Type="http://schemas.openxmlformats.org/officeDocument/2006/relationships/hyperlink" Target="https://scholar.google.com/citations?user=DZGlBXUAAAAJ&amp;hl=en" TargetMode="External"/><Relationship Id="rId279" Type="http://schemas.openxmlformats.org/officeDocument/2006/relationships/hyperlink" Target="https://scholar.google.com/citations?user=3yiEgloAAAAJ&amp;hl=en" TargetMode="External"/><Relationship Id="rId444" Type="http://schemas.openxmlformats.org/officeDocument/2006/relationships/hyperlink" Target="https://scholar.google.com/citations?user=VvOjB2MAAAAJ&amp;hl=en" TargetMode="External"/><Relationship Id="rId486" Type="http://schemas.openxmlformats.org/officeDocument/2006/relationships/hyperlink" Target="https://scholar.google.com/citations?user=n5WmOJ0AAAAJ&amp;hl=en" TargetMode="External"/><Relationship Id="rId43" Type="http://schemas.openxmlformats.org/officeDocument/2006/relationships/hyperlink" Target="https://scholar.google.com.ph/citations?user=TCt3q_AAAAAJ&amp;hl=en" TargetMode="External"/><Relationship Id="rId139" Type="http://schemas.openxmlformats.org/officeDocument/2006/relationships/hyperlink" Target="https://scholar.google.com/citations?user=uUI4_K8AAAAJ&amp;hl=en" TargetMode="External"/><Relationship Id="rId290" Type="http://schemas.openxmlformats.org/officeDocument/2006/relationships/hyperlink" Target="https://scholar.google.com.ph/citations?user=WnVZxZUAAAAJ&amp;hl=en" TargetMode="External"/><Relationship Id="rId304" Type="http://schemas.openxmlformats.org/officeDocument/2006/relationships/hyperlink" Target="https://scholar.google.com/citations?user=gYKMgEUAAAAJ&amp;hl=en" TargetMode="External"/><Relationship Id="rId346" Type="http://schemas.openxmlformats.org/officeDocument/2006/relationships/hyperlink" Target="https://scholar.google.com/citations?user=bF9UpJsAAAAJ&amp;hl=en" TargetMode="External"/><Relationship Id="rId388" Type="http://schemas.openxmlformats.org/officeDocument/2006/relationships/hyperlink" Target="https://scholar.google.com.ph/citations?user=LkPJJDAAAAAJ&amp;hl=en" TargetMode="External"/><Relationship Id="rId85" Type="http://schemas.openxmlformats.org/officeDocument/2006/relationships/hyperlink" Target="https://scholar.google.com.ph/citations?user=5PkKnnEAAAAJ&amp;hl=en" TargetMode="External"/><Relationship Id="rId150" Type="http://schemas.openxmlformats.org/officeDocument/2006/relationships/hyperlink" Target="https://scholar.google.com.ph/citations?user=VD8Apj4AAAAJ&amp;hl=en" TargetMode="External"/><Relationship Id="rId192" Type="http://schemas.openxmlformats.org/officeDocument/2006/relationships/hyperlink" Target="https://scholar.google.com/citations?user=BG5iIkoAAAAJ&amp;hl=en&amp;authuser=2" TargetMode="External"/><Relationship Id="rId206" Type="http://schemas.openxmlformats.org/officeDocument/2006/relationships/hyperlink" Target="https://scholar.google.com/citations?user=mwhaXroAAAAJ&amp;hl=en" TargetMode="External"/><Relationship Id="rId413" Type="http://schemas.openxmlformats.org/officeDocument/2006/relationships/hyperlink" Target="https://scholar.google.com/citations?user=o1BUz-MAAAAJ&amp;hl=en" TargetMode="External"/><Relationship Id="rId248" Type="http://schemas.openxmlformats.org/officeDocument/2006/relationships/hyperlink" Target="https://scholar.google.com.ph/citations?user=dQhou1EAAAAJ&amp;hl=en" TargetMode="External"/><Relationship Id="rId455" Type="http://schemas.openxmlformats.org/officeDocument/2006/relationships/hyperlink" Target="https://scholar.google.com/citations?user=xfZKraEAAAAJ&amp;hl=en" TargetMode="External"/><Relationship Id="rId497" Type="http://schemas.openxmlformats.org/officeDocument/2006/relationships/hyperlink" Target="https://scholar.google.com.ph/citations?user=qyrZtGEAAAAJ&amp;hl=en" TargetMode="External"/><Relationship Id="rId12" Type="http://schemas.openxmlformats.org/officeDocument/2006/relationships/hyperlink" Target="https://scholar.google.com.ph/citations?user=wKT8TeMAAAAJ&amp;hl=en" TargetMode="External"/><Relationship Id="rId108" Type="http://schemas.openxmlformats.org/officeDocument/2006/relationships/hyperlink" Target="https://scholar.google.com/citations?user=3EbC4xMAAAAJ&amp;hl=en" TargetMode="External"/><Relationship Id="rId315" Type="http://schemas.openxmlformats.org/officeDocument/2006/relationships/hyperlink" Target="https://scholar.google.com.ph/citations?user=Zk5yIpsAAAAJ&amp;hl=en" TargetMode="External"/><Relationship Id="rId357" Type="http://schemas.openxmlformats.org/officeDocument/2006/relationships/hyperlink" Target="https://scholar.google.com/citations?user=doce54QAAAAJ&amp;hl=en" TargetMode="External"/><Relationship Id="rId54" Type="http://schemas.openxmlformats.org/officeDocument/2006/relationships/hyperlink" Target="https://scholar.google.com.ph/citations?user=U0WDO9wAAAAJ&amp;hl=en" TargetMode="External"/><Relationship Id="rId96" Type="http://schemas.openxmlformats.org/officeDocument/2006/relationships/hyperlink" Target="https://scholar.google.com.ph/citations?user=DUDe9-QAAAAJ&amp;hl=en" TargetMode="External"/><Relationship Id="rId161" Type="http://schemas.openxmlformats.org/officeDocument/2006/relationships/hyperlink" Target="https://scholar.google.com/citations?user=5wsSlFwAAAAJ&amp;hl=en" TargetMode="External"/><Relationship Id="rId217" Type="http://schemas.openxmlformats.org/officeDocument/2006/relationships/hyperlink" Target="https://scholar.google.com/citations?user=CZ1SucoAAAAJ&amp;hl=en" TargetMode="External"/><Relationship Id="rId399" Type="http://schemas.openxmlformats.org/officeDocument/2006/relationships/hyperlink" Target="https://scholar.google.com.ph/citations?user=dyhRzZgAAAAJ&amp;hl=en" TargetMode="External"/><Relationship Id="rId259" Type="http://schemas.openxmlformats.org/officeDocument/2006/relationships/hyperlink" Target="https://scholar.google.com/citations?user=k5-qrW0AAAAJ&amp;hl=en" TargetMode="External"/><Relationship Id="rId424" Type="http://schemas.openxmlformats.org/officeDocument/2006/relationships/hyperlink" Target="https://scholar.google.com.ph/citations?user=2AmEsKEAAAAJ&amp;hl=en" TargetMode="External"/><Relationship Id="rId466" Type="http://schemas.openxmlformats.org/officeDocument/2006/relationships/hyperlink" Target="https://scholar.google.com.ph/citations?user=UGzbgaIAAAAJ&amp;hl=en" TargetMode="External"/><Relationship Id="rId23" Type="http://schemas.openxmlformats.org/officeDocument/2006/relationships/hyperlink" Target="https://scholar.google.com/citations?user=hYWa_bwAAAAJ&amp;hl=en" TargetMode="External"/><Relationship Id="rId119" Type="http://schemas.openxmlformats.org/officeDocument/2006/relationships/hyperlink" Target="https://scholar.google.com/citations?user=SeZ5RgcAAAAJ&amp;hl=en" TargetMode="External"/><Relationship Id="rId270" Type="http://schemas.openxmlformats.org/officeDocument/2006/relationships/hyperlink" Target="https://scholar.google.com.ph/citations?user=zBA-sD8AAAAJ&amp;hl=en" TargetMode="External"/><Relationship Id="rId326" Type="http://schemas.openxmlformats.org/officeDocument/2006/relationships/hyperlink" Target="https://scholar.google.com/citations?user=9nASgH4AAAAJ&amp;hl=en" TargetMode="External"/><Relationship Id="rId65" Type="http://schemas.openxmlformats.org/officeDocument/2006/relationships/hyperlink" Target="https://scholar.google.com/citations?user=IYZUu40AAAAJ&amp;hl=en" TargetMode="External"/><Relationship Id="rId130" Type="http://schemas.openxmlformats.org/officeDocument/2006/relationships/hyperlink" Target="https://scholar.google.com.ph/citations?user=sD5jAUAAAAAJ&amp;hl=en" TargetMode="External"/><Relationship Id="rId368" Type="http://schemas.openxmlformats.org/officeDocument/2006/relationships/hyperlink" Target="https://scholar.google.com.ph/citations?user=gVh74ZgAAAAJ&amp;hl=en" TargetMode="External"/><Relationship Id="rId172" Type="http://schemas.openxmlformats.org/officeDocument/2006/relationships/hyperlink" Target="https://scholar.google.com.ph/citations?user=_9COXIoAAAAJ&amp;hl=en" TargetMode="External"/><Relationship Id="rId228" Type="http://schemas.openxmlformats.org/officeDocument/2006/relationships/hyperlink" Target="https://scholar.google.com/citations?user=xsSNcewAAAAJ&amp;hl=en" TargetMode="External"/><Relationship Id="rId435" Type="http://schemas.openxmlformats.org/officeDocument/2006/relationships/hyperlink" Target="https://scholar.google.com/citations?user=9L3ZVM4AAAAJ&amp;hl=en" TargetMode="External"/><Relationship Id="rId477" Type="http://schemas.openxmlformats.org/officeDocument/2006/relationships/hyperlink" Target="https://scholar.google.com/citations?user=eC15r2EAAAAJ&amp;hl=en" TargetMode="External"/><Relationship Id="rId281" Type="http://schemas.openxmlformats.org/officeDocument/2006/relationships/hyperlink" Target="https://scholar.google.com.ph/citations?user=80PRsgsAAAAJ&amp;hl=en" TargetMode="External"/><Relationship Id="rId337" Type="http://schemas.openxmlformats.org/officeDocument/2006/relationships/hyperlink" Target="https://scholar.google.com.ph/citations?user=5f8wJd0AAAAJ&amp;hl=en" TargetMode="External"/><Relationship Id="rId502" Type="http://schemas.openxmlformats.org/officeDocument/2006/relationships/hyperlink" Target="https://scholar.google.com/citations?user=scy4f7oAAAAJ&amp;hl=en&amp;oe=ASCII" TargetMode="External"/><Relationship Id="rId34" Type="http://schemas.openxmlformats.org/officeDocument/2006/relationships/hyperlink" Target="https://scholar.google.com/citations?user=kzhQW1AAAAAJ&amp;hl=en" TargetMode="External"/><Relationship Id="rId76" Type="http://schemas.openxmlformats.org/officeDocument/2006/relationships/hyperlink" Target="https://scholar.google.com/citations?user=sSZITKgAAAAJ&amp;hl=en" TargetMode="External"/><Relationship Id="rId141" Type="http://schemas.openxmlformats.org/officeDocument/2006/relationships/hyperlink" Target="https://scholar.google.com/citations?user=hra8PVAAAAAJ&amp;hl=en" TargetMode="External"/><Relationship Id="rId379" Type="http://schemas.openxmlformats.org/officeDocument/2006/relationships/hyperlink" Target="https://scholar.google.com.ph/citations?user=V4JbMjgAAAAJ&amp;hl=en" TargetMode="External"/><Relationship Id="rId7" Type="http://schemas.openxmlformats.org/officeDocument/2006/relationships/hyperlink" Target="https://www.linkedin.com/in/jacob-oluwoye-b3965440" TargetMode="External"/><Relationship Id="rId183" Type="http://schemas.openxmlformats.org/officeDocument/2006/relationships/hyperlink" Target="https://scholar.google.com.ph/citations?user=VTq1CqgAAAAJ&amp;hl=en" TargetMode="External"/><Relationship Id="rId239" Type="http://schemas.openxmlformats.org/officeDocument/2006/relationships/hyperlink" Target="https://scholar.google.com/citations?user=LEcBhAMAAAAJ&amp;hl=en" TargetMode="External"/><Relationship Id="rId390" Type="http://schemas.openxmlformats.org/officeDocument/2006/relationships/hyperlink" Target="https://scholar.google.com.ph/citations?user=dPSTEEcAAAAJ&amp;hl=en" TargetMode="External"/><Relationship Id="rId404" Type="http://schemas.openxmlformats.org/officeDocument/2006/relationships/hyperlink" Target="https://scholar.google.com/citations?user=HBmyDgsAAAAJ&amp;hl=en&amp;authuser=1" TargetMode="External"/><Relationship Id="rId446" Type="http://schemas.openxmlformats.org/officeDocument/2006/relationships/hyperlink" Target="https://scholar.google.com/citations?user=fzDyhcgAAAAJ&amp;hl=en&amp;authuser=2" TargetMode="External"/><Relationship Id="rId250" Type="http://schemas.openxmlformats.org/officeDocument/2006/relationships/hyperlink" Target="https://scholar.google.com.ph/citations?user=jFQ8F0YAAAAJ&amp;hl=en" TargetMode="External"/><Relationship Id="rId292" Type="http://schemas.openxmlformats.org/officeDocument/2006/relationships/hyperlink" Target="https://scholar.google.com/citations?user=_wGTm9wAAAAJ&amp;hl=en" TargetMode="External"/><Relationship Id="rId306" Type="http://schemas.openxmlformats.org/officeDocument/2006/relationships/hyperlink" Target="https://scholar.google.com.ph/citations?user=QS8xUxoAAAAJ&amp;hl=en" TargetMode="External"/><Relationship Id="rId488" Type="http://schemas.openxmlformats.org/officeDocument/2006/relationships/hyperlink" Target="https://scholar.google.com/citations?user=BK9-s6EAAAAJ&amp;hl=en" TargetMode="External"/><Relationship Id="rId45" Type="http://schemas.openxmlformats.org/officeDocument/2006/relationships/hyperlink" Target="https://scholar.google.com/citations?user=gZKiYWwAAAAJ&amp;hl=en" TargetMode="External"/><Relationship Id="rId87" Type="http://schemas.openxmlformats.org/officeDocument/2006/relationships/hyperlink" Target="https://scholar.google.com/citations?user=HS5AqWAAAAAJ&amp;hl=en" TargetMode="External"/><Relationship Id="rId110" Type="http://schemas.openxmlformats.org/officeDocument/2006/relationships/hyperlink" Target="https://scholar.google.com.ph/citations?user=5S2bRsUAAAAJ&amp;hl=en" TargetMode="External"/><Relationship Id="rId348" Type="http://schemas.openxmlformats.org/officeDocument/2006/relationships/hyperlink" Target="https://scholar.google.com/citations?user=YKHNB98AAAAJ&amp;hl=en" TargetMode="External"/><Relationship Id="rId152" Type="http://schemas.openxmlformats.org/officeDocument/2006/relationships/hyperlink" Target="https://scholar.google.com/citations?user=0tk4ILQAAAAJ&amp;hl=en" TargetMode="External"/><Relationship Id="rId194" Type="http://schemas.openxmlformats.org/officeDocument/2006/relationships/hyperlink" Target="https://scholar.google.com/citations?user=okyGXcAAAAAJ&amp;hl=en" TargetMode="External"/><Relationship Id="rId208" Type="http://schemas.openxmlformats.org/officeDocument/2006/relationships/hyperlink" Target="https://scholar.google.com/citations?user=UpPlMYwAAAAJ&amp;hl=en" TargetMode="External"/><Relationship Id="rId415" Type="http://schemas.openxmlformats.org/officeDocument/2006/relationships/hyperlink" Target="https://scholar.google.com/citations?user=VCcJk2oAAAAJ&amp;hl=en" TargetMode="External"/><Relationship Id="rId457" Type="http://schemas.openxmlformats.org/officeDocument/2006/relationships/hyperlink" Target="https://scholar.google.com.ph/citations?user=BeVf6KEAAAAJ&amp;hl=en" TargetMode="External"/><Relationship Id="rId261" Type="http://schemas.openxmlformats.org/officeDocument/2006/relationships/hyperlink" Target="https://scholar.google.com/citations?user=3QSbxggAAAAJ&amp;hl=en" TargetMode="External"/><Relationship Id="rId499" Type="http://schemas.openxmlformats.org/officeDocument/2006/relationships/hyperlink" Target="https://scholar.google.com/citations?user=ghp3SkwAAAAJ&amp;hl=en" TargetMode="External"/><Relationship Id="rId14" Type="http://schemas.openxmlformats.org/officeDocument/2006/relationships/hyperlink" Target="https://scholar.google.com/citations?user=AOP2DRQAAAAJ&amp;hl=en" TargetMode="External"/><Relationship Id="rId56" Type="http://schemas.openxmlformats.org/officeDocument/2006/relationships/hyperlink" Target="https://scholar.google.com/citations?user=w7DdG-YAAAAJ&amp;hl=en" TargetMode="External"/><Relationship Id="rId317" Type="http://schemas.openxmlformats.org/officeDocument/2006/relationships/hyperlink" Target="https://scholar.google.com/citations?user=rbh-JkAAAAAJ&amp;hl=en" TargetMode="External"/><Relationship Id="rId359" Type="http://schemas.openxmlformats.org/officeDocument/2006/relationships/hyperlink" Target="https://scholar.google.com.ph/citations?user=6tlzorcAAAAJ&amp;hl=en" TargetMode="External"/><Relationship Id="rId98" Type="http://schemas.openxmlformats.org/officeDocument/2006/relationships/hyperlink" Target="https://scholar.google.com.ph/citations?user=1_FINjQAAAAJ&amp;hl=en" TargetMode="External"/><Relationship Id="rId121" Type="http://schemas.openxmlformats.org/officeDocument/2006/relationships/hyperlink" Target="https://scholar.google.com/citations?user=qg1e5xsAAAAJ&amp;hl=en" TargetMode="External"/><Relationship Id="rId163" Type="http://schemas.openxmlformats.org/officeDocument/2006/relationships/hyperlink" Target="https://scholar.google.com/citations?user=pxMRFR4AAAAJ&amp;hl=en&amp;authuser=2" TargetMode="External"/><Relationship Id="rId219" Type="http://schemas.openxmlformats.org/officeDocument/2006/relationships/hyperlink" Target="https://scholar.google.com/citations?user=u4YjaNgAAAAJ&amp;hl=en" TargetMode="External"/><Relationship Id="rId370" Type="http://schemas.openxmlformats.org/officeDocument/2006/relationships/hyperlink" Target="https://scholar.google.com.ph/citations?user=PRwkFbgAAAAJ&amp;hl=en" TargetMode="External"/><Relationship Id="rId426" Type="http://schemas.openxmlformats.org/officeDocument/2006/relationships/hyperlink" Target="https://scholar.google.com/citations?user=ab6yFIAAAAAJ&amp;hl=en" TargetMode="External"/><Relationship Id="rId230" Type="http://schemas.openxmlformats.org/officeDocument/2006/relationships/hyperlink" Target="https://scholar.google.com/citations?user=6BCysMwAAAAJ&amp;hl=en" TargetMode="External"/><Relationship Id="rId468" Type="http://schemas.openxmlformats.org/officeDocument/2006/relationships/hyperlink" Target="https://scholar.google.com/citations?user=vJiwFDMAAAAJ&amp;hl=en" TargetMode="External"/><Relationship Id="rId25" Type="http://schemas.openxmlformats.org/officeDocument/2006/relationships/hyperlink" Target="https://scholar.google.com/citations?user=NBcJNaYAAAAJ&amp;hl=en" TargetMode="External"/><Relationship Id="rId67" Type="http://schemas.openxmlformats.org/officeDocument/2006/relationships/hyperlink" Target="https://scholar.google.com.ph/citations?user=ZlxKpwEAAAAJ&amp;hl=en" TargetMode="External"/><Relationship Id="rId272" Type="http://schemas.openxmlformats.org/officeDocument/2006/relationships/hyperlink" Target="https://scholar.google.com/citations?user=vzajmWkAAAAJ&amp;hl=en" TargetMode="External"/><Relationship Id="rId328" Type="http://schemas.openxmlformats.org/officeDocument/2006/relationships/hyperlink" Target="https://scholar.google.com/citations?user=pE7IqHwAAAAJ&amp;hl=en" TargetMode="External"/><Relationship Id="rId132" Type="http://schemas.openxmlformats.org/officeDocument/2006/relationships/hyperlink" Target="https://scholar.google.com.ph/citations?user=FdXhrN4AAAAJ&amp;hl=en" TargetMode="External"/><Relationship Id="rId174" Type="http://schemas.openxmlformats.org/officeDocument/2006/relationships/hyperlink" Target="https://scholar.google.com/citations?user=-Ws1rSEAAAAJ&amp;hl=en" TargetMode="External"/><Relationship Id="rId381" Type="http://schemas.openxmlformats.org/officeDocument/2006/relationships/hyperlink" Target="https://scholar.google.com.ph/citations?user=rUiGAwgAAAAJ&amp;hl=en" TargetMode="External"/><Relationship Id="rId241" Type="http://schemas.openxmlformats.org/officeDocument/2006/relationships/hyperlink" Target="https://scholar.google.com.ph/citations?user=DIHv-JMAAAAJ&amp;hl=en" TargetMode="External"/><Relationship Id="rId437" Type="http://schemas.openxmlformats.org/officeDocument/2006/relationships/hyperlink" Target="https://scholar.google.com/citations?user=gcqlmDsAAAAJ&amp;hl=en" TargetMode="External"/><Relationship Id="rId479" Type="http://schemas.openxmlformats.org/officeDocument/2006/relationships/hyperlink" Target="https://scholar.google.com/citations?user=O6q8ZLQAAAAJ&amp;hl=en" TargetMode="External"/><Relationship Id="rId36" Type="http://schemas.openxmlformats.org/officeDocument/2006/relationships/hyperlink" Target="https://scholar.google.com.ph/citations?user=zXIoStcAAAAJ&amp;hl=en" TargetMode="External"/><Relationship Id="rId283" Type="http://schemas.openxmlformats.org/officeDocument/2006/relationships/hyperlink" Target="https://scholar.google.com/citations?user=98HMqmMAAAAJ&amp;hl=en" TargetMode="External"/><Relationship Id="rId339" Type="http://schemas.openxmlformats.org/officeDocument/2006/relationships/hyperlink" Target="https://scholar.google.com/citations?user=9ViHWNsAAAAJ&amp;hl=en" TargetMode="External"/><Relationship Id="rId490" Type="http://schemas.openxmlformats.org/officeDocument/2006/relationships/hyperlink" Target="https://scholar.google.com/citations?user=M13ND-0AAAAJ&amp;hl=en&amp;oe=ASCII" TargetMode="External"/><Relationship Id="rId504" Type="http://schemas.openxmlformats.org/officeDocument/2006/relationships/hyperlink" Target="https://scholar.google.com/citations?user=cNymSMUAAAAJ&amp;hl=en&amp;oe=ASCII" TargetMode="External"/><Relationship Id="rId78" Type="http://schemas.openxmlformats.org/officeDocument/2006/relationships/hyperlink" Target="https://scholar.google.com.ph/citations?user=Q5V6-2MAAAAJ&amp;hl=en" TargetMode="External"/><Relationship Id="rId101" Type="http://schemas.openxmlformats.org/officeDocument/2006/relationships/hyperlink" Target="https://scholar.google.com.ph/citations?user=1uCjSgEAAAAJ&amp;hl=en" TargetMode="External"/><Relationship Id="rId143" Type="http://schemas.openxmlformats.org/officeDocument/2006/relationships/hyperlink" Target="https://scholar.google.com/citations?user=OcZic6cAAAAJ&amp;hl=en" TargetMode="External"/><Relationship Id="rId185" Type="http://schemas.openxmlformats.org/officeDocument/2006/relationships/hyperlink" Target="https://scholar.google.com/citations?user=-GG7MfEAAAAJ&amp;hl=en&amp;authuser=2" TargetMode="External"/><Relationship Id="rId350" Type="http://schemas.openxmlformats.org/officeDocument/2006/relationships/hyperlink" Target="https://scholar.google.com.ph/citations?user=0aopPI8AAAAJ&amp;hl=en" TargetMode="External"/><Relationship Id="rId406" Type="http://schemas.openxmlformats.org/officeDocument/2006/relationships/hyperlink" Target="https://scholar.google.com/citations?user=2oexqBEAAAAJ&amp;hl=en" TargetMode="External"/><Relationship Id="rId9" Type="http://schemas.openxmlformats.org/officeDocument/2006/relationships/hyperlink" Target="https://www.researchgate.net/profile/Zorica_Nedovic-Budic2" TargetMode="External"/><Relationship Id="rId210" Type="http://schemas.openxmlformats.org/officeDocument/2006/relationships/hyperlink" Target="https://scholar.google.com/citations?user=sswn0tcAAAAJ&amp;hl=en" TargetMode="External"/><Relationship Id="rId392" Type="http://schemas.openxmlformats.org/officeDocument/2006/relationships/hyperlink" Target="https://scholar.google.com.ph/citations?user=FNtreSgAAAAJ&amp;hl=en" TargetMode="External"/><Relationship Id="rId448" Type="http://schemas.openxmlformats.org/officeDocument/2006/relationships/hyperlink" Target="https://scholar.google.com.ph/citations?user=q6VQWEUAAAAJ&amp;hl=en" TargetMode="External"/><Relationship Id="rId252" Type="http://schemas.openxmlformats.org/officeDocument/2006/relationships/hyperlink" Target="https://scholar.google.com/citations?user=ovfmgh8AAAAJ&amp;hl=en" TargetMode="External"/><Relationship Id="rId294" Type="http://schemas.openxmlformats.org/officeDocument/2006/relationships/hyperlink" Target="https://scholar.google.com/citations?user=RpdvnXkAAAAJ&amp;hl=en" TargetMode="External"/><Relationship Id="rId308" Type="http://schemas.openxmlformats.org/officeDocument/2006/relationships/hyperlink" Target="https://scholar.google.com.ph/citations?user=1gka4DcAAAAJ&amp;hl=en" TargetMode="External"/><Relationship Id="rId47" Type="http://schemas.openxmlformats.org/officeDocument/2006/relationships/hyperlink" Target="https://scholar.google.com.ph/citations?user=nvhhXUsAAAAJ&amp;hl=en" TargetMode="External"/><Relationship Id="rId89" Type="http://schemas.openxmlformats.org/officeDocument/2006/relationships/hyperlink" Target="https://scholar.google.com.ph/citations?user=l1E3KCoAAAAJ&amp;hl=en" TargetMode="External"/><Relationship Id="rId112" Type="http://schemas.openxmlformats.org/officeDocument/2006/relationships/hyperlink" Target="https://scholar.google.com/citations?user=rHvFzZUAAAAJ&amp;hl=en" TargetMode="External"/><Relationship Id="rId154" Type="http://schemas.openxmlformats.org/officeDocument/2006/relationships/hyperlink" Target="https://scholar.google.com/citations?user=0GQ846EAAAAJ&amp;hl=en" TargetMode="External"/><Relationship Id="rId361" Type="http://schemas.openxmlformats.org/officeDocument/2006/relationships/hyperlink" Target="https://scholar.google.com.ph/citations?user=_pJgvmoAAAAJ&amp;hl=en" TargetMode="External"/><Relationship Id="rId196" Type="http://schemas.openxmlformats.org/officeDocument/2006/relationships/hyperlink" Target="https://scholar.google.com/citations?user=XzRcQIAAAAAJ&amp;hl=en" TargetMode="External"/><Relationship Id="rId417" Type="http://schemas.openxmlformats.org/officeDocument/2006/relationships/hyperlink" Target="https://scholar.google.com/citations?user=J2SGlSQAAAAJ&amp;hl=en" TargetMode="External"/><Relationship Id="rId459" Type="http://schemas.openxmlformats.org/officeDocument/2006/relationships/hyperlink" Target="https://scholar.google.com/citations?user=COxIKCIAAAAJ&amp;hl=en" TargetMode="External"/><Relationship Id="rId16" Type="http://schemas.openxmlformats.org/officeDocument/2006/relationships/hyperlink" Target="https://scholar.google.com.ph/citations?user=UXEZZS0AAAAJ&amp;hl=en" TargetMode="External"/><Relationship Id="rId221" Type="http://schemas.openxmlformats.org/officeDocument/2006/relationships/hyperlink" Target="https://scholar.google.com.ph/citations?user=r_Ihr_YAAAAJ&amp;hl=en" TargetMode="External"/><Relationship Id="rId263" Type="http://schemas.openxmlformats.org/officeDocument/2006/relationships/hyperlink" Target="https://scholar.google.com.ph/citations?user=O0BhRqcAAAAJ&amp;hl=en" TargetMode="External"/><Relationship Id="rId319" Type="http://schemas.openxmlformats.org/officeDocument/2006/relationships/hyperlink" Target="https://scholar.google.com.ph/citations?user=j0TAsZAAAAAJ&amp;hl=en" TargetMode="External"/><Relationship Id="rId470" Type="http://schemas.openxmlformats.org/officeDocument/2006/relationships/hyperlink" Target="https://scholar.google.com.ph/citations?user=KDf4PW0AAAAJ&amp;hl=en" TargetMode="External"/><Relationship Id="rId58" Type="http://schemas.openxmlformats.org/officeDocument/2006/relationships/hyperlink" Target="https://scholar.google.com/citations?user=0SjiQpwAAAAJ&amp;hl=en" TargetMode="External"/><Relationship Id="rId123" Type="http://schemas.openxmlformats.org/officeDocument/2006/relationships/hyperlink" Target="https://scholar.google.com.ph/citations?user=mZYV-z0AAAAJ&amp;hl=en" TargetMode="External"/><Relationship Id="rId330" Type="http://schemas.openxmlformats.org/officeDocument/2006/relationships/hyperlink" Target="https://scholar.google.com/citations?user=fL5sYiQAAAAJ&amp;hl=en" TargetMode="External"/><Relationship Id="rId165" Type="http://schemas.openxmlformats.org/officeDocument/2006/relationships/hyperlink" Target="https://scholar.google.com.ph/citations?user=kRjiXXYAAAAJ&amp;hl" TargetMode="External"/><Relationship Id="rId372" Type="http://schemas.openxmlformats.org/officeDocument/2006/relationships/hyperlink" Target="https://scholar.google.com/citations?user=VeNqwrEAAAAJ&amp;hl=en" TargetMode="External"/><Relationship Id="rId428" Type="http://schemas.openxmlformats.org/officeDocument/2006/relationships/hyperlink" Target="https://scholar.google.com.ph/citations?user=yFS538MAAAAJ&amp;hl=en" TargetMode="External"/><Relationship Id="rId232" Type="http://schemas.openxmlformats.org/officeDocument/2006/relationships/hyperlink" Target="https://scholar.google.com/citations?user=2OBkQ18AAAAJ&amp;hl=en" TargetMode="External"/><Relationship Id="rId274" Type="http://schemas.openxmlformats.org/officeDocument/2006/relationships/hyperlink" Target="https://scholar.google.com.ph/citations?user=KBd7ttQAAAAJ&amp;hl=en" TargetMode="External"/><Relationship Id="rId481" Type="http://schemas.openxmlformats.org/officeDocument/2006/relationships/hyperlink" Target="https://scholar.google.com.ph/citations?user=C54EMucAAAAJ&amp;hl=en" TargetMode="External"/><Relationship Id="rId27" Type="http://schemas.openxmlformats.org/officeDocument/2006/relationships/hyperlink" Target="https://scholar.google.com/citations?user=hZSH7SEAAAAJ&amp;hl=en" TargetMode="External"/><Relationship Id="rId69" Type="http://schemas.openxmlformats.org/officeDocument/2006/relationships/hyperlink" Target="https://scholar.google.com/citations?user=h3jUS-EAAAAJ&amp;hl=en" TargetMode="External"/><Relationship Id="rId134" Type="http://schemas.openxmlformats.org/officeDocument/2006/relationships/hyperlink" Target="https://scholar.google.com.ph/citations?user=E9il5l0AAAAJ&amp;hl=en" TargetMode="External"/><Relationship Id="rId80" Type="http://schemas.openxmlformats.org/officeDocument/2006/relationships/hyperlink" Target="https://scholar.google.com/citations?user=RjhjeEEAAAAJ&amp;hl=en&amp;authuser=2" TargetMode="External"/><Relationship Id="rId176" Type="http://schemas.openxmlformats.org/officeDocument/2006/relationships/hyperlink" Target="https://scholar.google.com/citations?user=m1ybMHIAAAAJ&amp;hl=en" TargetMode="External"/><Relationship Id="rId341" Type="http://schemas.openxmlformats.org/officeDocument/2006/relationships/hyperlink" Target="https://scholar.google.com.ph/citations?user=u3DUSbQAAAAJ&amp;hl=en" TargetMode="External"/><Relationship Id="rId383" Type="http://schemas.openxmlformats.org/officeDocument/2006/relationships/hyperlink" Target="https://scholar.google.com.ph/citations?user=i15z4REAAAAJ&amp;hl=en" TargetMode="External"/><Relationship Id="rId439" Type="http://schemas.openxmlformats.org/officeDocument/2006/relationships/hyperlink" Target="https://scholar.google.com/citations?user=RScL_n4AAAAJ&amp;hl=en" TargetMode="External"/><Relationship Id="rId201" Type="http://schemas.openxmlformats.org/officeDocument/2006/relationships/hyperlink" Target="https://scholar.google.com/citations?user=2QrL8M0AAAAJ&amp;hl=en" TargetMode="External"/><Relationship Id="rId243" Type="http://schemas.openxmlformats.org/officeDocument/2006/relationships/hyperlink" Target="https://scholar.google.com/citations?user=zlSPLp8AAAAJ&amp;hl=en" TargetMode="External"/><Relationship Id="rId285" Type="http://schemas.openxmlformats.org/officeDocument/2006/relationships/hyperlink" Target="https://scholar.google.com/citations?user=wVaPW3wAAAAJ&amp;hl=en" TargetMode="External"/><Relationship Id="rId450" Type="http://schemas.openxmlformats.org/officeDocument/2006/relationships/hyperlink" Target="https://scholar.google.com.ph/citations?user=LHXzoScAAAAJ&amp;hl=en" TargetMode="External"/><Relationship Id="rId506" Type="http://schemas.openxmlformats.org/officeDocument/2006/relationships/printerSettings" Target="../printerSettings/printerSettings1.bin"/><Relationship Id="rId38" Type="http://schemas.openxmlformats.org/officeDocument/2006/relationships/hyperlink" Target="https://scholar.google.com.ph/citations?user=PUW7M-oAAAAJ&amp;hl=en" TargetMode="External"/><Relationship Id="rId103" Type="http://schemas.openxmlformats.org/officeDocument/2006/relationships/hyperlink" Target="https://scholar.google.com/citations?user=c3GvDHgAAAAJ&amp;hl=en" TargetMode="External"/><Relationship Id="rId310" Type="http://schemas.openxmlformats.org/officeDocument/2006/relationships/hyperlink" Target="https://scholar.google.com.ph/citations?user=uF5PRRcAAAAJ&amp;hl=en" TargetMode="External"/><Relationship Id="rId492" Type="http://schemas.openxmlformats.org/officeDocument/2006/relationships/hyperlink" Target="https://scholar.google.com/citations?user=NQc4iR0AAAAJ&amp;hl=en" TargetMode="External"/><Relationship Id="rId91" Type="http://schemas.openxmlformats.org/officeDocument/2006/relationships/hyperlink" Target="https://scholar.google.com.ph/citations?user=aRLbkQcAAAAJ&amp;hl=en" TargetMode="External"/><Relationship Id="rId145" Type="http://schemas.openxmlformats.org/officeDocument/2006/relationships/hyperlink" Target="https://scholar.google.com/citations?user=hnJ7PQgAAAAJ&amp;hl=en" TargetMode="External"/><Relationship Id="rId187" Type="http://schemas.openxmlformats.org/officeDocument/2006/relationships/hyperlink" Target="https://scholar.google.com/citations?user=0UHgueMAAAAJ&amp;hl=en" TargetMode="External"/><Relationship Id="rId352" Type="http://schemas.openxmlformats.org/officeDocument/2006/relationships/hyperlink" Target="https://scholar.google.com/citations?user=7_aWvEQAAAAJ&amp;hl=en" TargetMode="External"/><Relationship Id="rId394" Type="http://schemas.openxmlformats.org/officeDocument/2006/relationships/hyperlink" Target="https://scholar.google.com/citations?user=aydS2XsAAAAJ&amp;hl=en" TargetMode="External"/><Relationship Id="rId408" Type="http://schemas.openxmlformats.org/officeDocument/2006/relationships/hyperlink" Target="https://scholar.google.com/citations?user=wvDQBB4AAAAJ&amp;hl=en" TargetMode="External"/><Relationship Id="rId212" Type="http://schemas.openxmlformats.org/officeDocument/2006/relationships/hyperlink" Target="https://scholar.google.com/citations?user=KffJRdgAAAAJ&amp;hl=en" TargetMode="External"/><Relationship Id="rId254" Type="http://schemas.openxmlformats.org/officeDocument/2006/relationships/hyperlink" Target="https://scholar.google.com/citations?user=YC1OjFQAAAAJ&amp;hl=en" TargetMode="External"/><Relationship Id="rId49" Type="http://schemas.openxmlformats.org/officeDocument/2006/relationships/hyperlink" Target="https://scholar.google.com/citations?user=JvRmVhUAAAAJ&amp;hl=en" TargetMode="External"/><Relationship Id="rId114" Type="http://schemas.openxmlformats.org/officeDocument/2006/relationships/hyperlink" Target="https://scholar.google.com/citations?user=9zJEZhEAAAAJ&amp;hl=en" TargetMode="External"/><Relationship Id="rId296" Type="http://schemas.openxmlformats.org/officeDocument/2006/relationships/hyperlink" Target="https://scholar.google.com/citations?user=KiN6gZAAAAAJ&amp;hl=en" TargetMode="External"/><Relationship Id="rId461" Type="http://schemas.openxmlformats.org/officeDocument/2006/relationships/hyperlink" Target="https://scholar.google.com/citations?user=YEo9SUgAAAAJ&amp;hl=en" TargetMode="External"/><Relationship Id="rId60" Type="http://schemas.openxmlformats.org/officeDocument/2006/relationships/hyperlink" Target="https://scholar.google.com/citations?user=byrLx34AAAAJ&amp;hl=en" TargetMode="External"/><Relationship Id="rId156" Type="http://schemas.openxmlformats.org/officeDocument/2006/relationships/hyperlink" Target="https://scholar.google.com/citations?user=5-gYUd4AAAAJ&amp;hl=en" TargetMode="External"/><Relationship Id="rId198" Type="http://schemas.openxmlformats.org/officeDocument/2006/relationships/hyperlink" Target="https://scholar.google.com/citations?user=MKWAzCUAAAAJ&amp;hl=en" TargetMode="External"/><Relationship Id="rId321" Type="http://schemas.openxmlformats.org/officeDocument/2006/relationships/hyperlink" Target="https://scholar.google.com/citations?user=rYlme9cAAAAJ&amp;hl=en" TargetMode="External"/><Relationship Id="rId363" Type="http://schemas.openxmlformats.org/officeDocument/2006/relationships/hyperlink" Target="https://scholar.google.com/citations?user=kVoSdycAAAAJ&amp;hl=en" TargetMode="External"/><Relationship Id="rId419" Type="http://schemas.openxmlformats.org/officeDocument/2006/relationships/hyperlink" Target="https://scholar.google.com/citations?user=83x28PgAAAAJ&amp;hl=en&amp;authuser=2" TargetMode="External"/><Relationship Id="rId223" Type="http://schemas.openxmlformats.org/officeDocument/2006/relationships/hyperlink" Target="https://scholar.google.com/citations?user=uPA_5joAAAAJ&amp;hl=en" TargetMode="External"/><Relationship Id="rId430" Type="http://schemas.openxmlformats.org/officeDocument/2006/relationships/hyperlink" Target="https://scholar.google.com.ph/citations?user=ayTL4a0AAAAJ&amp;hl=en" TargetMode="External"/><Relationship Id="rId18" Type="http://schemas.openxmlformats.org/officeDocument/2006/relationships/hyperlink" Target="https://scholar.google.com/citations?user=3g1pFGgAAAAJ&amp;hl=en" TargetMode="External"/><Relationship Id="rId265" Type="http://schemas.openxmlformats.org/officeDocument/2006/relationships/hyperlink" Target="https://scholar.google.com/citations?user=FvVr6oAAAAAJ&amp;hl=en" TargetMode="External"/><Relationship Id="rId472" Type="http://schemas.openxmlformats.org/officeDocument/2006/relationships/hyperlink" Target="https://scholar.google.com/citations?user=1-CwLYIAAAAJ&amp;hl=en" TargetMode="External"/><Relationship Id="rId125" Type="http://schemas.openxmlformats.org/officeDocument/2006/relationships/hyperlink" Target="https://scholar.google.com.ph/citations?user=4wtcHfkAAAAJ&amp;hl=en" TargetMode="External"/><Relationship Id="rId167" Type="http://schemas.openxmlformats.org/officeDocument/2006/relationships/hyperlink" Target="https://scholar.google.com/citations?user=5RQSmioAAAAJ&amp;hl=en" TargetMode="External"/><Relationship Id="rId332" Type="http://schemas.openxmlformats.org/officeDocument/2006/relationships/hyperlink" Target="https://scholar.google.com/citations?user=SHUhpRUAAAAJ&amp;hl=en" TargetMode="External"/><Relationship Id="rId374" Type="http://schemas.openxmlformats.org/officeDocument/2006/relationships/hyperlink" Target="https://scholar.google.com/citations?user=9R3x_0gAAAAJ&amp;hl=en" TargetMode="External"/><Relationship Id="rId71" Type="http://schemas.openxmlformats.org/officeDocument/2006/relationships/hyperlink" Target="https://scholar.google.com/citations?user=qDjmiRoAAAAJ&amp;hl=en&amp;authuser=2" TargetMode="External"/><Relationship Id="rId234" Type="http://schemas.openxmlformats.org/officeDocument/2006/relationships/hyperlink" Target="https://scholar.google.com/citations?user=krg22b8AAAAJ&amp;hl=en" TargetMode="External"/><Relationship Id="rId2" Type="http://schemas.openxmlformats.org/officeDocument/2006/relationships/hyperlink" Target="http://www.linkedin.com/in/tomwsanchez" TargetMode="External"/><Relationship Id="rId29" Type="http://schemas.openxmlformats.org/officeDocument/2006/relationships/hyperlink" Target="https://scholar.google.com.ph/citations?user=8U3ZyJgAAAAJ&amp;hl=en" TargetMode="External"/><Relationship Id="rId276" Type="http://schemas.openxmlformats.org/officeDocument/2006/relationships/hyperlink" Target="https://scholar.google.com/citations?user=vhnVsuwAAAAJ&amp;hl=en&amp;authuser=2" TargetMode="External"/><Relationship Id="rId441" Type="http://schemas.openxmlformats.org/officeDocument/2006/relationships/hyperlink" Target="https://scholar.google.com/citations?user=co_6DWAAAAAJ&amp;hl=en" TargetMode="External"/><Relationship Id="rId483" Type="http://schemas.openxmlformats.org/officeDocument/2006/relationships/hyperlink" Target="https://scholar.google.com/citations?user=FuM6UagAAAAJ&amp;hl=en" TargetMode="External"/><Relationship Id="rId40" Type="http://schemas.openxmlformats.org/officeDocument/2006/relationships/hyperlink" Target="https://scholar.google.com.ph/citations?user=59NDPsMAAAAJ&amp;hl=en" TargetMode="External"/><Relationship Id="rId136" Type="http://schemas.openxmlformats.org/officeDocument/2006/relationships/hyperlink" Target="https://scholar.google.com.ph/citations?user=pdxbJg0AAAAJ&amp;hl=en" TargetMode="External"/><Relationship Id="rId178" Type="http://schemas.openxmlformats.org/officeDocument/2006/relationships/hyperlink" Target="https://scholar.google.com/citations?user=uTGLxrgAAAAJ&amp;hl=en" TargetMode="External"/><Relationship Id="rId301" Type="http://schemas.openxmlformats.org/officeDocument/2006/relationships/hyperlink" Target="https://scholar.google.com/citations?user=0S3b1RUAAAAJ&amp;hl=en" TargetMode="External"/><Relationship Id="rId343" Type="http://schemas.openxmlformats.org/officeDocument/2006/relationships/hyperlink" Target="https://scholar.google.com.ph/citations?user=8HN5ZwIAAAAJ&amp;hl=en" TargetMode="External"/><Relationship Id="rId82" Type="http://schemas.openxmlformats.org/officeDocument/2006/relationships/hyperlink" Target="https://scholar.google.com/citations?user=JYxqf2gAAAAJ&amp;hl=en&amp;authuser=2" TargetMode="External"/><Relationship Id="rId203" Type="http://schemas.openxmlformats.org/officeDocument/2006/relationships/hyperlink" Target="https://scholar.google.com.ph/citations?user=l2_HUikAAAAJ&amp;hl=en" TargetMode="External"/><Relationship Id="rId385" Type="http://schemas.openxmlformats.org/officeDocument/2006/relationships/hyperlink" Target="https://scholar.google.com/citations?user=hJyPX4cAAAAJ&amp;hl=en" TargetMode="External"/><Relationship Id="rId245" Type="http://schemas.openxmlformats.org/officeDocument/2006/relationships/hyperlink" Target="https://scholar.google.com/citations?user=s4OmX3MAAAAJ&amp;hl=en" TargetMode="External"/><Relationship Id="rId287" Type="http://schemas.openxmlformats.org/officeDocument/2006/relationships/hyperlink" Target="https://scholar.google.com/citations?user=d9KrbTsAAAAJ&amp;hl=en&amp;authuser=2" TargetMode="External"/><Relationship Id="rId410" Type="http://schemas.openxmlformats.org/officeDocument/2006/relationships/hyperlink" Target="https://scholar.google.com.ph/citations?user=QipNk0AAAAAJ&amp;hl=en" TargetMode="External"/><Relationship Id="rId452" Type="http://schemas.openxmlformats.org/officeDocument/2006/relationships/hyperlink" Target="https://scholar.google.com/citations?user=yWNwg7gAAAAJ&amp;hl=en" TargetMode="External"/><Relationship Id="rId494" Type="http://schemas.openxmlformats.org/officeDocument/2006/relationships/hyperlink" Target="https://scholar.google.com/citations?user=fu-EDusAAAAJ&amp;hl=en" TargetMode="External"/><Relationship Id="rId105" Type="http://schemas.openxmlformats.org/officeDocument/2006/relationships/hyperlink" Target="https://scholar.google.com/citations?user=2HzowwUAAAAJ&amp;hl=en" TargetMode="External"/><Relationship Id="rId147" Type="http://schemas.openxmlformats.org/officeDocument/2006/relationships/hyperlink" Target="https://scholar.google.com/citations?user=JnPkA8MAAAAJ&amp;hl=en&amp;oe=ASCII" TargetMode="External"/><Relationship Id="rId312" Type="http://schemas.openxmlformats.org/officeDocument/2006/relationships/hyperlink" Target="https://scholar.google.com.ph/citations?user=sP0cHYgAAAAJ&amp;hl=en" TargetMode="External"/><Relationship Id="rId354" Type="http://schemas.openxmlformats.org/officeDocument/2006/relationships/hyperlink" Target="https://scholar.google.com/citations?user=9D84p4QAAAAJ&amp;hl=en" TargetMode="External"/><Relationship Id="rId51" Type="http://schemas.openxmlformats.org/officeDocument/2006/relationships/hyperlink" Target="https://scholar.google.com/citations?user=M0xBwLcAAAAJ&amp;hl=en" TargetMode="External"/><Relationship Id="rId93" Type="http://schemas.openxmlformats.org/officeDocument/2006/relationships/hyperlink" Target="https://scholar.google.com/citations?user=wDQswpQAAAAJ&amp;hl=en" TargetMode="External"/><Relationship Id="rId189" Type="http://schemas.openxmlformats.org/officeDocument/2006/relationships/hyperlink" Target="https://scholar.google.com/citations?user=1DMN1tcAAAAJ&amp;hl=en&amp;authuser=2" TargetMode="External"/><Relationship Id="rId396" Type="http://schemas.openxmlformats.org/officeDocument/2006/relationships/hyperlink" Target="https://scholar.google.com/citations?user=grpe040AAAAJ&amp;hl=en" TargetMode="External"/><Relationship Id="rId214" Type="http://schemas.openxmlformats.org/officeDocument/2006/relationships/hyperlink" Target="https://scholar.google.com/citations?user=to9o38sAAAAJ&amp;hl=en" TargetMode="External"/><Relationship Id="rId256" Type="http://schemas.openxmlformats.org/officeDocument/2006/relationships/hyperlink" Target="https://scholar.google.com.ph/citations?user=fvacZ0QAAAAJ&amp;hl=en" TargetMode="External"/><Relationship Id="rId298" Type="http://schemas.openxmlformats.org/officeDocument/2006/relationships/hyperlink" Target="https://scholar.google.com.ph/citations?user=Y4LlGqYAAAAJ&amp;hl=en" TargetMode="External"/><Relationship Id="rId421" Type="http://schemas.openxmlformats.org/officeDocument/2006/relationships/hyperlink" Target="https://scholar.google.com.ph/citations?user=MTFceFMAAAAJ&amp;hl=en" TargetMode="External"/><Relationship Id="rId463" Type="http://schemas.openxmlformats.org/officeDocument/2006/relationships/hyperlink" Target="https://scholar.google.com/citations?user=fOszDKwAAAAJ&amp;hl=en&amp;oe=ASCII" TargetMode="External"/><Relationship Id="rId116" Type="http://schemas.openxmlformats.org/officeDocument/2006/relationships/hyperlink" Target="https://scholar.google.com.ph/citations?user=ydzOUwcAAAAJ&amp;hl=en" TargetMode="External"/><Relationship Id="rId158" Type="http://schemas.openxmlformats.org/officeDocument/2006/relationships/hyperlink" Target="https://scholar.google.com/citations?user=ouQGyL8AAAAJ&amp;hl=en" TargetMode="External"/><Relationship Id="rId323" Type="http://schemas.openxmlformats.org/officeDocument/2006/relationships/hyperlink" Target="https://scholar.google.com/citations?user=JqcxamAAAAAJ&amp;hl=en" TargetMode="External"/><Relationship Id="rId20" Type="http://schemas.openxmlformats.org/officeDocument/2006/relationships/hyperlink" Target="https://scholar.google.com/citations?user=NTTlUnoAAAAJ&amp;hl=en" TargetMode="External"/><Relationship Id="rId62" Type="http://schemas.openxmlformats.org/officeDocument/2006/relationships/hyperlink" Target="https://scholar.google.com.ph/citations?user=wpt5pmgAAAAJ&amp;hl=en" TargetMode="External"/><Relationship Id="rId365" Type="http://schemas.openxmlformats.org/officeDocument/2006/relationships/hyperlink" Target="https://scholar.google.com.ph/citations?user=F0FfN00AAAAJ&amp;hl=en" TargetMode="External"/><Relationship Id="rId225" Type="http://schemas.openxmlformats.org/officeDocument/2006/relationships/hyperlink" Target="https://scholar.google.com.ph/citations?user=59-kfsQAAAAJ&amp;hl=en" TargetMode="External"/><Relationship Id="rId267" Type="http://schemas.openxmlformats.org/officeDocument/2006/relationships/hyperlink" Target="https://scholar.google.com/citations?user=XQmR8u4AAAAJ&amp;hl=en" TargetMode="External"/><Relationship Id="rId432" Type="http://schemas.openxmlformats.org/officeDocument/2006/relationships/hyperlink" Target="https://scholar.google.com/citations?user=qqD3_6YAAAAJ&amp;hl=en" TargetMode="External"/><Relationship Id="rId474" Type="http://schemas.openxmlformats.org/officeDocument/2006/relationships/hyperlink" Target="https://scholar.google.com/citations?user=Lw3YsRYAAAAJ&amp;hl=en" TargetMode="External"/><Relationship Id="rId127" Type="http://schemas.openxmlformats.org/officeDocument/2006/relationships/hyperlink" Target="https://scholar.google.com.ph/citations?user=QeE2MP0AAAAJ&amp;hl=en" TargetMode="External"/><Relationship Id="rId31" Type="http://schemas.openxmlformats.org/officeDocument/2006/relationships/hyperlink" Target="https://scholar.google.com/citations?user=HO7_3i8AAAAJ&amp;hl=en" TargetMode="External"/><Relationship Id="rId73" Type="http://schemas.openxmlformats.org/officeDocument/2006/relationships/hyperlink" Target="https://scholar.google.com.ph/citations?user=OgXBE_4AAAAJ&amp;hl=en" TargetMode="External"/><Relationship Id="rId169" Type="http://schemas.openxmlformats.org/officeDocument/2006/relationships/hyperlink" Target="https://scholar.google.com/citations?user=Y-Ne1ugAAAAJ&amp;hl=en&amp;authuser=2" TargetMode="External"/><Relationship Id="rId334" Type="http://schemas.openxmlformats.org/officeDocument/2006/relationships/hyperlink" Target="https://scholar.google.com.ph/citations?user=FwdCDX0AAAAJ&amp;hl=en" TargetMode="External"/><Relationship Id="rId376" Type="http://schemas.openxmlformats.org/officeDocument/2006/relationships/hyperlink" Target="https://scholar.google.com/citations?user=FkES0FkAAAAJ&amp;hl=en" TargetMode="External"/><Relationship Id="rId4" Type="http://schemas.openxmlformats.org/officeDocument/2006/relationships/hyperlink" Target="http://www.tomwsanchez.com/" TargetMode="External"/><Relationship Id="rId180" Type="http://schemas.openxmlformats.org/officeDocument/2006/relationships/hyperlink" Target="https://scholar.google.com.ph/citations?user=Zj4OF3wAAAAJ&amp;hl=en" TargetMode="External"/><Relationship Id="rId215" Type="http://schemas.openxmlformats.org/officeDocument/2006/relationships/hyperlink" Target="https://scholar.google.com.ph/citations?user=H0eHS0MAAAAJ&amp;hl=en" TargetMode="External"/><Relationship Id="rId236" Type="http://schemas.openxmlformats.org/officeDocument/2006/relationships/hyperlink" Target="https://scholar.google.com/citations?user=1wATtH4AAAAJ&amp;hl=en" TargetMode="External"/><Relationship Id="rId257" Type="http://schemas.openxmlformats.org/officeDocument/2006/relationships/hyperlink" Target="https://scholar.google.com.ph/citations?user=a9NL4mwAAAAJ&amp;hl=en" TargetMode="External"/><Relationship Id="rId278" Type="http://schemas.openxmlformats.org/officeDocument/2006/relationships/hyperlink" Target="https://scholar.google.com/citations?user=yTqXdKknw1cC&amp;hl=en" TargetMode="External"/><Relationship Id="rId401" Type="http://schemas.openxmlformats.org/officeDocument/2006/relationships/hyperlink" Target="https://scholar.google.com/citations?user=PVPzSb8AAAAJ&amp;hl=en" TargetMode="External"/><Relationship Id="rId422" Type="http://schemas.openxmlformats.org/officeDocument/2006/relationships/hyperlink" Target="https://scholar.google.com.ph/citations?user=wFHeGocAAAAJ&amp;hl=en" TargetMode="External"/><Relationship Id="rId443" Type="http://schemas.openxmlformats.org/officeDocument/2006/relationships/hyperlink" Target="https://scholar.google.com/citations?user=HLK7uAkAAAAJ&amp;hl=en&amp;authuser=2" TargetMode="External"/><Relationship Id="rId464" Type="http://schemas.openxmlformats.org/officeDocument/2006/relationships/hyperlink" Target="https://scholar.google.com/citations?user=tZ24ViQAAAAJ&amp;hl=en" TargetMode="External"/><Relationship Id="rId303" Type="http://schemas.openxmlformats.org/officeDocument/2006/relationships/hyperlink" Target="https://scholar.google.com/citations?user=g2lYgo0AAAAJ&amp;hl=en&amp;authuser=2" TargetMode="External"/><Relationship Id="rId485" Type="http://schemas.openxmlformats.org/officeDocument/2006/relationships/hyperlink" Target="https://scholar.google.com/citations?user=z361kwcAAAAJ&amp;hl=en&amp;authuser=2" TargetMode="External"/><Relationship Id="rId42" Type="http://schemas.openxmlformats.org/officeDocument/2006/relationships/hyperlink" Target="https://scholar.google.com/citations?user=3flRpM4AAAAJ&amp;hl=en" TargetMode="External"/><Relationship Id="rId84" Type="http://schemas.openxmlformats.org/officeDocument/2006/relationships/hyperlink" Target="https://scholar.google.com/citations?user=EPD8e8gAAAAJ&amp;hl=en" TargetMode="External"/><Relationship Id="rId138" Type="http://schemas.openxmlformats.org/officeDocument/2006/relationships/hyperlink" Target="https://scholar.google.com.ph/citations?user=l2C6-3wAAAAJ&amp;hl=en" TargetMode="External"/><Relationship Id="rId345" Type="http://schemas.openxmlformats.org/officeDocument/2006/relationships/hyperlink" Target="https://scholar.google.com.ph/citations?user=-j3tHfMAAAAJ&amp;hl=en" TargetMode="External"/><Relationship Id="rId387" Type="http://schemas.openxmlformats.org/officeDocument/2006/relationships/hyperlink" Target="https://scholar.google.com/citations?user=gPnD5gYAAAAJ&amp;hl=en" TargetMode="External"/><Relationship Id="rId191" Type="http://schemas.openxmlformats.org/officeDocument/2006/relationships/hyperlink" Target="https://scholar.google.com.ph/citations?user=0EBm2zwAAAAJ&amp;hl=en" TargetMode="External"/><Relationship Id="rId205" Type="http://schemas.openxmlformats.org/officeDocument/2006/relationships/hyperlink" Target="https://scholar.google.com/citations?user=5kaD7z0AAAAJ&amp;hl=en" TargetMode="External"/><Relationship Id="rId247" Type="http://schemas.openxmlformats.org/officeDocument/2006/relationships/hyperlink" Target="https://scholar.google.com/citations?user=LriirLMAAAAJ&amp;hl=en" TargetMode="External"/><Relationship Id="rId412" Type="http://schemas.openxmlformats.org/officeDocument/2006/relationships/hyperlink" Target="https://scholar.google.com.ph/citations?user=62481hMAAAAJ&amp;hl=en" TargetMode="External"/><Relationship Id="rId107" Type="http://schemas.openxmlformats.org/officeDocument/2006/relationships/hyperlink" Target="https://scholar.google.com/citations?user=l_KyksEAAAAJ&amp;hl=en&amp;authuser=2" TargetMode="External"/><Relationship Id="rId289" Type="http://schemas.openxmlformats.org/officeDocument/2006/relationships/hyperlink" Target="https://scholar.google.com/citations?user=NBCtqiIAAAAJ&amp;hl=en" TargetMode="External"/><Relationship Id="rId454" Type="http://schemas.openxmlformats.org/officeDocument/2006/relationships/hyperlink" Target="https://scholar.google.com/citations?user=mS9yrUQAAAAJ&amp;hl=en" TargetMode="External"/><Relationship Id="rId496" Type="http://schemas.openxmlformats.org/officeDocument/2006/relationships/hyperlink" Target="https://scholar.google.com/citations?user=wAyQ1M0AAAAJ&amp;hl=en" TargetMode="External"/><Relationship Id="rId11" Type="http://schemas.openxmlformats.org/officeDocument/2006/relationships/hyperlink" Target="https://www.linkedin.com/in/zorica-nedovic-budic-1794035/" TargetMode="External"/><Relationship Id="rId53" Type="http://schemas.openxmlformats.org/officeDocument/2006/relationships/hyperlink" Target="https://scholar.google.com/citations?user=eRBYQ3oAAAAJ&amp;hl=en" TargetMode="External"/><Relationship Id="rId149" Type="http://schemas.openxmlformats.org/officeDocument/2006/relationships/hyperlink" Target="https://scholar.google.com/citations?user=Kg4UUj4AAAAJ&amp;hl=en" TargetMode="External"/><Relationship Id="rId314" Type="http://schemas.openxmlformats.org/officeDocument/2006/relationships/hyperlink" Target="https://scholar.google.com/citations?user=6Ya0ym4AAAAJ&amp;hl=en" TargetMode="External"/><Relationship Id="rId356" Type="http://schemas.openxmlformats.org/officeDocument/2006/relationships/hyperlink" Target="https://scholar.google.com.ph/citations?user=zdTB77IAAAAJ&amp;hl=en" TargetMode="External"/><Relationship Id="rId398" Type="http://schemas.openxmlformats.org/officeDocument/2006/relationships/hyperlink" Target="https://scholar.google.com.ph/citations?user=oSoTwbYAAAAJ&amp;hl=en" TargetMode="External"/><Relationship Id="rId95" Type="http://schemas.openxmlformats.org/officeDocument/2006/relationships/hyperlink" Target="https://scholar.google.com/citations?user=EkbBTRoAAAAJ&amp;hl=en" TargetMode="External"/><Relationship Id="rId160" Type="http://schemas.openxmlformats.org/officeDocument/2006/relationships/hyperlink" Target="https://scholar.google.com.ph/citations?user=9xwMDv4AAAAJ&amp;hl=en" TargetMode="External"/><Relationship Id="rId216" Type="http://schemas.openxmlformats.org/officeDocument/2006/relationships/hyperlink" Target="https://scholar.google.com/citations?user=6pQQuqEAAAAJ&amp;hl=en" TargetMode="External"/><Relationship Id="rId423" Type="http://schemas.openxmlformats.org/officeDocument/2006/relationships/hyperlink" Target="https://scholar.google.com.ph/citations?user=Nrhr2bYAAAAJ&amp;hl=en" TargetMode="External"/><Relationship Id="rId258" Type="http://schemas.openxmlformats.org/officeDocument/2006/relationships/hyperlink" Target="https://scholar.google.com/citations?user=2Jao6ucAAAAJ&amp;hl=en" TargetMode="External"/><Relationship Id="rId465" Type="http://schemas.openxmlformats.org/officeDocument/2006/relationships/hyperlink" Target="https://scholar.google.com/citations?user=9QvYdroAAAAJ&amp;hl=en" TargetMode="External"/><Relationship Id="rId22" Type="http://schemas.openxmlformats.org/officeDocument/2006/relationships/hyperlink" Target="https://scholar.google.com.ph/citations?user=0HRgapQAAAAJ&amp;hl=en" TargetMode="External"/><Relationship Id="rId64" Type="http://schemas.openxmlformats.org/officeDocument/2006/relationships/hyperlink" Target="https://scholar.google.com/citations?user=_zniZ9wAAAAJ&amp;hl=en" TargetMode="External"/><Relationship Id="rId118" Type="http://schemas.openxmlformats.org/officeDocument/2006/relationships/hyperlink" Target="https://scholar.google.com/citations?user=Ypg--VcAAAAJ&amp;hl=en" TargetMode="External"/><Relationship Id="rId325" Type="http://schemas.openxmlformats.org/officeDocument/2006/relationships/hyperlink" Target="https://scholar.google.com.ph/citations?user=iKgl46QAAAAJ&amp;hl=en" TargetMode="External"/><Relationship Id="rId367" Type="http://schemas.openxmlformats.org/officeDocument/2006/relationships/hyperlink" Target="https://scholar.google.com.ph/citations?user=9RdgBtgAAAAJ&amp;hl=en" TargetMode="External"/><Relationship Id="rId171" Type="http://schemas.openxmlformats.org/officeDocument/2006/relationships/hyperlink" Target="https://scholar.google.com.ph/citations?user=0GNDcJQAAAAJ&amp;hl=en" TargetMode="External"/><Relationship Id="rId227" Type="http://schemas.openxmlformats.org/officeDocument/2006/relationships/hyperlink" Target="https://scholar.google.com/citations?user=dLQr294AAAAJ&amp;hl=en" TargetMode="External"/><Relationship Id="rId269" Type="http://schemas.openxmlformats.org/officeDocument/2006/relationships/hyperlink" Target="https://scholar.google.com/citations?user=KSv7KvMAAAAJ&amp;hl=en" TargetMode="External"/><Relationship Id="rId434" Type="http://schemas.openxmlformats.org/officeDocument/2006/relationships/hyperlink" Target="https://scholar.google.com/citations?user=uR8UA58AAAAJ&amp;hl=en" TargetMode="External"/><Relationship Id="rId476" Type="http://schemas.openxmlformats.org/officeDocument/2006/relationships/hyperlink" Target="https://scholar.google.com.ph/citations?user=72WtdxsAAAAJ&amp;hl=en" TargetMode="External"/><Relationship Id="rId33" Type="http://schemas.openxmlformats.org/officeDocument/2006/relationships/hyperlink" Target="https://scholar.google.com/citations?user=Sbf5NZoAAAAJ&amp;hl=en" TargetMode="External"/><Relationship Id="rId129" Type="http://schemas.openxmlformats.org/officeDocument/2006/relationships/hyperlink" Target="https://scholar.google.com/citations?user=FPK6hXMAAAAJ&amp;hl=en" TargetMode="External"/><Relationship Id="rId280" Type="http://schemas.openxmlformats.org/officeDocument/2006/relationships/hyperlink" Target="https://scholar.google.com/citations?user=GFVFQb4AAAAJ&amp;hl=en" TargetMode="External"/><Relationship Id="rId336" Type="http://schemas.openxmlformats.org/officeDocument/2006/relationships/hyperlink" Target="https://scholar.google.com.ph/citations?user=0ScZwpcAAAAJ&amp;hl=en" TargetMode="External"/><Relationship Id="rId501" Type="http://schemas.openxmlformats.org/officeDocument/2006/relationships/hyperlink" Target="https://scholar.google.com/citations?user=Cmsrsv8AAAAJ&amp;hl=en&amp;authuser=1" TargetMode="External"/><Relationship Id="rId75" Type="http://schemas.openxmlformats.org/officeDocument/2006/relationships/hyperlink" Target="https://scholar.google.com/citations?user=vnPLdPoAAAAJ&amp;hl=en&amp;authuser=1" TargetMode="External"/><Relationship Id="rId140" Type="http://schemas.openxmlformats.org/officeDocument/2006/relationships/hyperlink" Target="https://scholar.google.com/citations?user=xfW8UvkAAAAJ&amp;hl=en" TargetMode="External"/><Relationship Id="rId182" Type="http://schemas.openxmlformats.org/officeDocument/2006/relationships/hyperlink" Target="https://scholar.google.com.ph/citations?user=LWmr9yoAAAAJ&amp;hl=en" TargetMode="External"/><Relationship Id="rId378" Type="http://schemas.openxmlformats.org/officeDocument/2006/relationships/hyperlink" Target="https://scholar.google.com/citations?user=RYM94sIAAAAJ&amp;hl=en" TargetMode="External"/><Relationship Id="rId403" Type="http://schemas.openxmlformats.org/officeDocument/2006/relationships/hyperlink" Target="https://scholar.google.com.ph/citations?user=39owLE0AAAAJ&amp;hl=en" TargetMode="External"/><Relationship Id="rId6" Type="http://schemas.openxmlformats.org/officeDocument/2006/relationships/hyperlink" Target="https://www.researchgate.net/profile/Jacob_Oluwoye" TargetMode="External"/><Relationship Id="rId238" Type="http://schemas.openxmlformats.org/officeDocument/2006/relationships/hyperlink" Target="https://scholar.google.com/citations?user=WD3VY6gAAAAJ&amp;hl=en" TargetMode="External"/><Relationship Id="rId445" Type="http://schemas.openxmlformats.org/officeDocument/2006/relationships/hyperlink" Target="https://scholar.google.com/citations?user=YxRHl94AAAAJ&amp;hl=en" TargetMode="External"/><Relationship Id="rId487" Type="http://schemas.openxmlformats.org/officeDocument/2006/relationships/hyperlink" Target="https://scholar.google.com.ph/citations?user=UYjGdNcAAAAJ&amp;hl=en" TargetMode="External"/><Relationship Id="rId291" Type="http://schemas.openxmlformats.org/officeDocument/2006/relationships/hyperlink" Target="https://scholar.google.com.ph/citations?user=7DARvqwAAAAJ&amp;hl=en" TargetMode="External"/><Relationship Id="rId305" Type="http://schemas.openxmlformats.org/officeDocument/2006/relationships/hyperlink" Target="https://scholar.google.com/citations?user=4Evqn2wAAAAJ&amp;hl=en" TargetMode="External"/><Relationship Id="rId347" Type="http://schemas.openxmlformats.org/officeDocument/2006/relationships/hyperlink" Target="https://scholar.google.com.ph/citations?user=v1dOouMAAAAJ&amp;hl=en" TargetMode="External"/><Relationship Id="rId44" Type="http://schemas.openxmlformats.org/officeDocument/2006/relationships/hyperlink" Target="https://scholar.google.com/citations?user=OaHXcpsAAAAJ&amp;hl=en" TargetMode="External"/><Relationship Id="rId86" Type="http://schemas.openxmlformats.org/officeDocument/2006/relationships/hyperlink" Target="https://scholar.google.com.ph/citations?user=t3fTZggAAAAJ&amp;hl=en" TargetMode="External"/><Relationship Id="rId151" Type="http://schemas.openxmlformats.org/officeDocument/2006/relationships/hyperlink" Target="https://scholar.google.com.ph/citations?user=sW3fKzwAAAAJ&amp;hl=en" TargetMode="External"/><Relationship Id="rId389" Type="http://schemas.openxmlformats.org/officeDocument/2006/relationships/hyperlink" Target="https://scholar.google.com/citations?user=fNjo9pAAAAAJ&amp;hl=en" TargetMode="External"/><Relationship Id="rId193" Type="http://schemas.openxmlformats.org/officeDocument/2006/relationships/hyperlink" Target="https://scholar.google.com.ph/citations?user=8GlQHMMAAAAJ&amp;hl=en" TargetMode="External"/><Relationship Id="rId207" Type="http://schemas.openxmlformats.org/officeDocument/2006/relationships/hyperlink" Target="https://scholar.google.com.ph/citations?user=iS703cMAAAAJ&amp;hl=en" TargetMode="External"/><Relationship Id="rId249" Type="http://schemas.openxmlformats.org/officeDocument/2006/relationships/hyperlink" Target="https://scholar.google.com/citations?user=7vjmZsIAAAAJ&amp;hl=en" TargetMode="External"/><Relationship Id="rId414" Type="http://schemas.openxmlformats.org/officeDocument/2006/relationships/hyperlink" Target="https://scholar.google.com/citations?user=zAJ4Me0AAAAJ&amp;hl=en" TargetMode="External"/><Relationship Id="rId456" Type="http://schemas.openxmlformats.org/officeDocument/2006/relationships/hyperlink" Target="https://scholar.google.com/citations?user=kpbXtqsAAAAJ&amp;hl=en" TargetMode="External"/><Relationship Id="rId498" Type="http://schemas.openxmlformats.org/officeDocument/2006/relationships/hyperlink" Target="https://scholar.google.com/citations?user=0AzBJXMAAAAJ&amp;hl=en&amp;oe=ASCII" TargetMode="External"/><Relationship Id="rId13" Type="http://schemas.openxmlformats.org/officeDocument/2006/relationships/hyperlink" Target="https://scholar.google.com.ph/citations?user=xyV9lRMAAAAJ&amp;hl=en" TargetMode="External"/><Relationship Id="rId109" Type="http://schemas.openxmlformats.org/officeDocument/2006/relationships/hyperlink" Target="https://scholar.google.com/citations?user=zRUW2ksAAAAJ&amp;hl=en" TargetMode="External"/><Relationship Id="rId260" Type="http://schemas.openxmlformats.org/officeDocument/2006/relationships/hyperlink" Target="https://scholar.google.com/citations?user=Xi-5jXIAAAAJ&amp;hl=en" TargetMode="External"/><Relationship Id="rId316" Type="http://schemas.openxmlformats.org/officeDocument/2006/relationships/hyperlink" Target="https://scholar.google.com/citations?user=HSr3W8AAAAAJ&amp;hl=en" TargetMode="External"/><Relationship Id="rId55" Type="http://schemas.openxmlformats.org/officeDocument/2006/relationships/hyperlink" Target="https://scholar.google.com/citations?user=DtYuDMQAAAAJ&amp;hl=en" TargetMode="External"/><Relationship Id="rId97" Type="http://schemas.openxmlformats.org/officeDocument/2006/relationships/hyperlink" Target="https://scholar.google.com/citations?user=sAL9a0sAAAAJ&amp;hl=en" TargetMode="External"/><Relationship Id="rId120" Type="http://schemas.openxmlformats.org/officeDocument/2006/relationships/hyperlink" Target="https://scholar.google.com/citations?user=lOLIQZ8AAAAJ&amp;hl=en" TargetMode="External"/><Relationship Id="rId358" Type="http://schemas.openxmlformats.org/officeDocument/2006/relationships/hyperlink" Target="https://scholar.google.com/citations?user=ooX-QMMAAAAJ&amp;hl=en" TargetMode="External"/><Relationship Id="rId162" Type="http://schemas.openxmlformats.org/officeDocument/2006/relationships/hyperlink" Target="https://scholar.google.com/citations?user=NWRrbEoAAAAJ&amp;hl=en" TargetMode="External"/><Relationship Id="rId218" Type="http://schemas.openxmlformats.org/officeDocument/2006/relationships/hyperlink" Target="https://scholar.google.com.ph/citations?user=GNyEzcMAAAAJ&amp;hl=en" TargetMode="External"/><Relationship Id="rId425" Type="http://schemas.openxmlformats.org/officeDocument/2006/relationships/hyperlink" Target="https://scholar.google.com/citations?user=TV1WdUoAAAAJ&amp;hl=en" TargetMode="External"/><Relationship Id="rId467" Type="http://schemas.openxmlformats.org/officeDocument/2006/relationships/hyperlink" Target="https://scholar.google.com/citations?user=jNU-JocAAAAJ&amp;hl=en" TargetMode="External"/><Relationship Id="rId271" Type="http://schemas.openxmlformats.org/officeDocument/2006/relationships/hyperlink" Target="https://scholar.google.com/citations?user=a053tlYAAAAJ&amp;hl=en" TargetMode="External"/><Relationship Id="rId24" Type="http://schemas.openxmlformats.org/officeDocument/2006/relationships/hyperlink" Target="https://scholar.google.com/citations?user=YC_-mUAAAAAJ&amp;hl=en&amp;authuser=1" TargetMode="External"/><Relationship Id="rId66" Type="http://schemas.openxmlformats.org/officeDocument/2006/relationships/hyperlink" Target="https://scholar.google.com/citations?user=VP_AYC4AAAAJ&amp;hl=en" TargetMode="External"/><Relationship Id="rId131" Type="http://schemas.openxmlformats.org/officeDocument/2006/relationships/hyperlink" Target="https://scholar.google.com/citations?user=NuvqUNQAAAAJ&amp;hl=en" TargetMode="External"/><Relationship Id="rId327" Type="http://schemas.openxmlformats.org/officeDocument/2006/relationships/hyperlink" Target="https://scholar.google.com/citations?user=nwnBOYMAAAAJ&amp;hl=en" TargetMode="External"/><Relationship Id="rId369" Type="http://schemas.openxmlformats.org/officeDocument/2006/relationships/hyperlink" Target="https://scholar.google.com/citations?user=tZAaPyAAAAAJ&amp;hl=en" TargetMode="External"/><Relationship Id="rId173" Type="http://schemas.openxmlformats.org/officeDocument/2006/relationships/hyperlink" Target="https://scholar.google.com/citations?user=6U4EpNgAAAAJ&amp;hl=en" TargetMode="External"/><Relationship Id="rId229" Type="http://schemas.openxmlformats.org/officeDocument/2006/relationships/hyperlink" Target="https://scholar.google.com.ph/citations?user=bC0BOGoAAAAJ&amp;hl=en" TargetMode="External"/><Relationship Id="rId380" Type="http://schemas.openxmlformats.org/officeDocument/2006/relationships/hyperlink" Target="https://scholar.google.com/citations?user=byXzQ4sAAAAJ&amp;hl=en" TargetMode="External"/><Relationship Id="rId436" Type="http://schemas.openxmlformats.org/officeDocument/2006/relationships/hyperlink" Target="https://scholar.google.com/citations?user=h5Ak7bsAAAAJ&amp;hl=en" TargetMode="External"/><Relationship Id="rId240" Type="http://schemas.openxmlformats.org/officeDocument/2006/relationships/hyperlink" Target="https://scholar.google.com/citations?user=Q6LkV4MAAAAJ&amp;hl=en" TargetMode="External"/><Relationship Id="rId478" Type="http://schemas.openxmlformats.org/officeDocument/2006/relationships/hyperlink" Target="https://scholar.google.com/citations?user=gy7r1eQAAAAJ&amp;hl=en" TargetMode="External"/><Relationship Id="rId35" Type="http://schemas.openxmlformats.org/officeDocument/2006/relationships/hyperlink" Target="https://scholar.google.com/citations?user=arxHS-YAAAAJ&amp;hl=en" TargetMode="External"/><Relationship Id="rId77" Type="http://schemas.openxmlformats.org/officeDocument/2006/relationships/hyperlink" Target="https://scholar.google.com.ph/citations?user=i-VJ0sIAAAAJ&amp;hl=en" TargetMode="External"/><Relationship Id="rId100" Type="http://schemas.openxmlformats.org/officeDocument/2006/relationships/hyperlink" Target="https://scholar.google.com/citations?user=YmyOoaYAAAAJ&amp;hl=en&amp;authuser=2" TargetMode="External"/><Relationship Id="rId282" Type="http://schemas.openxmlformats.org/officeDocument/2006/relationships/hyperlink" Target="https://scholar.google.com/citations?user=Tv9y_u8AAAAJ&amp;hl=en" TargetMode="External"/><Relationship Id="rId338" Type="http://schemas.openxmlformats.org/officeDocument/2006/relationships/hyperlink" Target="https://scholar.google.com/citations?user=H3h-6zMAAAAJ&amp;hl=en" TargetMode="External"/><Relationship Id="rId503" Type="http://schemas.openxmlformats.org/officeDocument/2006/relationships/hyperlink" Target="https://scholar.google.com/citations?user=bI9iZugAAAAJ&amp;hl=en" TargetMode="External"/><Relationship Id="rId8" Type="http://schemas.openxmlformats.org/officeDocument/2006/relationships/hyperlink" Target="https://www.researchgate.net/profile/Kelli_Larson" TargetMode="External"/><Relationship Id="rId142" Type="http://schemas.openxmlformats.org/officeDocument/2006/relationships/hyperlink" Target="https://scholar.google.com.ph/citations?user=Tj1Zk98AAAAJ&amp;hl=en" TargetMode="External"/><Relationship Id="rId184" Type="http://schemas.openxmlformats.org/officeDocument/2006/relationships/hyperlink" Target="https://scholar.google.com.ph/citations?user=k5lcdMIAAAAJ&amp;hl=en" TargetMode="External"/><Relationship Id="rId391" Type="http://schemas.openxmlformats.org/officeDocument/2006/relationships/hyperlink" Target="https://scholar.google.com.ph/citations?user=aXJNIvMAAAAJ&amp;hl=en" TargetMode="External"/><Relationship Id="rId405" Type="http://schemas.openxmlformats.org/officeDocument/2006/relationships/hyperlink" Target="https://scholar.google.com/citations?user=efWsZUoAAAAJ&amp;hl=en" TargetMode="External"/><Relationship Id="rId447" Type="http://schemas.openxmlformats.org/officeDocument/2006/relationships/hyperlink" Target="https://scholar.google.com/citations?user=7Vo9khoAAAAJ&amp;hl=en" TargetMode="External"/><Relationship Id="rId251" Type="http://schemas.openxmlformats.org/officeDocument/2006/relationships/hyperlink" Target="https://scholar.google.com/citations?user=0evtZSYAAAAJ&amp;hl=en" TargetMode="External"/><Relationship Id="rId489" Type="http://schemas.openxmlformats.org/officeDocument/2006/relationships/hyperlink" Target="https://scholar.google.com.ph/citations?user=ky5sX-0AAAAJ&amp;hl=en" TargetMode="External"/><Relationship Id="rId46" Type="http://schemas.openxmlformats.org/officeDocument/2006/relationships/hyperlink" Target="https://scholar.google.com/citations?user=xzBMH0cAAAAJ&amp;hl=en&amp;authuser=1" TargetMode="External"/><Relationship Id="rId293" Type="http://schemas.openxmlformats.org/officeDocument/2006/relationships/hyperlink" Target="https://scholar.google.com/citations?user=MzffdqIAAAAJ&amp;hl=en" TargetMode="External"/><Relationship Id="rId307" Type="http://schemas.openxmlformats.org/officeDocument/2006/relationships/hyperlink" Target="https://scholar.google.com/citations?user=cFcDO2wAAAAJ&amp;hl=en&amp;authuser=2" TargetMode="External"/><Relationship Id="rId349" Type="http://schemas.openxmlformats.org/officeDocument/2006/relationships/hyperlink" Target="https://scholar.google.com.ph/citations?user=ty_SRGwAAAAJ&amp;hl=en" TargetMode="External"/><Relationship Id="rId88" Type="http://schemas.openxmlformats.org/officeDocument/2006/relationships/hyperlink" Target="https://scholar.google.com/citations?user=sGcFnWwAAAAJ&amp;hl=en" TargetMode="External"/><Relationship Id="rId111" Type="http://schemas.openxmlformats.org/officeDocument/2006/relationships/hyperlink" Target="https://scholar.google.com/citations?user=VkCclDUAAAAJ&amp;hl=en" TargetMode="External"/><Relationship Id="rId153" Type="http://schemas.openxmlformats.org/officeDocument/2006/relationships/hyperlink" Target="https://scholar.google.com.ph/citations?user=f--ZeF4AAAAJ&amp;hl=en" TargetMode="External"/><Relationship Id="rId195" Type="http://schemas.openxmlformats.org/officeDocument/2006/relationships/hyperlink" Target="https://scholar.google.com/citations?user=QqHjkDcAAAAJ&amp;hl=en" TargetMode="External"/><Relationship Id="rId209" Type="http://schemas.openxmlformats.org/officeDocument/2006/relationships/hyperlink" Target="https://scholar.google.com/citations?user=thJhOCUAAAAJ&amp;hl=en" TargetMode="External"/><Relationship Id="rId360" Type="http://schemas.openxmlformats.org/officeDocument/2006/relationships/hyperlink" Target="https://scholar.google.com/citations?user=4_XxLMUAAAAJ&amp;hl=en" TargetMode="External"/><Relationship Id="rId416" Type="http://schemas.openxmlformats.org/officeDocument/2006/relationships/hyperlink" Target="https://scholar.google.com/citations?user=0zKTrQcAAAAJ&amp;hl=en&amp;authuser=2" TargetMode="External"/><Relationship Id="rId220" Type="http://schemas.openxmlformats.org/officeDocument/2006/relationships/hyperlink" Target="https://scholar.google.com/citations?user=2lA4ax0AAAAJ&amp;hl=en" TargetMode="External"/><Relationship Id="rId458" Type="http://schemas.openxmlformats.org/officeDocument/2006/relationships/hyperlink" Target="https://scholar.google.com/citations?user=McofhAwAAAAJ&amp;hl=en" TargetMode="External"/><Relationship Id="rId15" Type="http://schemas.openxmlformats.org/officeDocument/2006/relationships/hyperlink" Target="https://scholar.google.com.ph/citations?user=ELXYIHwAAAAJ&amp;hl=en" TargetMode="External"/><Relationship Id="rId57" Type="http://schemas.openxmlformats.org/officeDocument/2006/relationships/hyperlink" Target="https://scholar.google.com.ph/citations?user=nfQrCJoAAAAJ&amp;hl=en" TargetMode="External"/><Relationship Id="rId262" Type="http://schemas.openxmlformats.org/officeDocument/2006/relationships/hyperlink" Target="https://scholar.google.com/citations?user=1TPJPWwAAAAJ&amp;hl=en" TargetMode="External"/><Relationship Id="rId318" Type="http://schemas.openxmlformats.org/officeDocument/2006/relationships/hyperlink" Target="https://scholar.google.com.ph/citations?user=p5X4YggAAAAJ&amp;hl=en" TargetMode="External"/><Relationship Id="rId99" Type="http://schemas.openxmlformats.org/officeDocument/2006/relationships/hyperlink" Target="https://scholar.google.com/citations?user=kNoHPjEAAAAJ&amp;hl=en" TargetMode="External"/><Relationship Id="rId122" Type="http://schemas.openxmlformats.org/officeDocument/2006/relationships/hyperlink" Target="https://scholar.google.com/citations?user=EioqMwYAAAAJ&amp;hl=en" TargetMode="External"/><Relationship Id="rId164" Type="http://schemas.openxmlformats.org/officeDocument/2006/relationships/hyperlink" Target="https://scholar.google.com/citations?user=Cb-z1MwAAAAJ&amp;hl=en" TargetMode="External"/><Relationship Id="rId371" Type="http://schemas.openxmlformats.org/officeDocument/2006/relationships/hyperlink" Target="https://scholar.google.com/citations?user=U5H2bdUAAAAJ&amp;hl=en" TargetMode="External"/><Relationship Id="rId427" Type="http://schemas.openxmlformats.org/officeDocument/2006/relationships/hyperlink" Target="https://scholar.google.com/citations?user=2h2zINcAAAAJ&amp;hl=en" TargetMode="External"/><Relationship Id="rId469" Type="http://schemas.openxmlformats.org/officeDocument/2006/relationships/hyperlink" Target="https://scholar.google.com.ph/citations?user=Qvy9rp8AAAAJ&amp;hl=en" TargetMode="External"/><Relationship Id="rId26" Type="http://schemas.openxmlformats.org/officeDocument/2006/relationships/hyperlink" Target="https://scholar.google.com.ph/citations?user=cKMTPXwAAAAJ&amp;hl=en" TargetMode="External"/><Relationship Id="rId231" Type="http://schemas.openxmlformats.org/officeDocument/2006/relationships/hyperlink" Target="https://scholar.google.com.ph/citations?user=tEoLIlAAAAAJ&amp;hl=en" TargetMode="External"/><Relationship Id="rId273" Type="http://schemas.openxmlformats.org/officeDocument/2006/relationships/hyperlink" Target="https://scholar.google.com.ph/citations?user=0K7uj_gAAAAJ&amp;hl=en" TargetMode="External"/><Relationship Id="rId329" Type="http://schemas.openxmlformats.org/officeDocument/2006/relationships/hyperlink" Target="https://scholar.google.com/citations?user=BI0L1WIAAAAJ&amp;hl=en" TargetMode="External"/><Relationship Id="rId480" Type="http://schemas.openxmlformats.org/officeDocument/2006/relationships/hyperlink" Target="https://scholar.google.com.ph/citations?user=5Jjuc0gAAAAJ&amp;hl=en" TargetMode="External"/><Relationship Id="rId68" Type="http://schemas.openxmlformats.org/officeDocument/2006/relationships/hyperlink" Target="https://scholar.google.com.ph/citations?user=rOvEiAYAAAAJ&amp;hl=en" TargetMode="External"/><Relationship Id="rId133" Type="http://schemas.openxmlformats.org/officeDocument/2006/relationships/hyperlink" Target="https://scholar.google.com/citations?user=IVQMUt8AAAAJ&amp;hl=en" TargetMode="External"/><Relationship Id="rId175" Type="http://schemas.openxmlformats.org/officeDocument/2006/relationships/hyperlink" Target="https://scholar.google.com.ph/citations?user=y8pVoPMAAAAJ&amp;hl=en" TargetMode="External"/><Relationship Id="rId340" Type="http://schemas.openxmlformats.org/officeDocument/2006/relationships/hyperlink" Target="https://scholar.google.com/citations?user=nGcuwnMAAAAJ&amp;hl=en&amp;authuser=2" TargetMode="External"/><Relationship Id="rId200" Type="http://schemas.openxmlformats.org/officeDocument/2006/relationships/hyperlink" Target="https://scholar.google.com/citations?user=yeen0jEAAAAJ&amp;hl=en" TargetMode="External"/><Relationship Id="rId382" Type="http://schemas.openxmlformats.org/officeDocument/2006/relationships/hyperlink" Target="https://scholar.google.com/citations?user=xgr9J9MAAAAJ&amp;hl=en" TargetMode="External"/><Relationship Id="rId438" Type="http://schemas.openxmlformats.org/officeDocument/2006/relationships/hyperlink" Target="https://scholar.google.com.ph/citations?user=M7WLlCkAAAAJ&amp;hl=en" TargetMode="External"/><Relationship Id="rId242" Type="http://schemas.openxmlformats.org/officeDocument/2006/relationships/hyperlink" Target="https://scholar.google.com/citations?user=6PhMbRIAAAAJ&amp;hl=en" TargetMode="External"/><Relationship Id="rId284" Type="http://schemas.openxmlformats.org/officeDocument/2006/relationships/hyperlink" Target="https://scholar.google.com.ph/citations?user=N1ILuocAAAAJ&amp;hl=en" TargetMode="External"/><Relationship Id="rId491" Type="http://schemas.openxmlformats.org/officeDocument/2006/relationships/hyperlink" Target="https://scholar.google.com.ph/citations?user=nF_usQsAAAAJ&amp;hl=en" TargetMode="External"/><Relationship Id="rId505" Type="http://schemas.openxmlformats.org/officeDocument/2006/relationships/hyperlink" Target="https://scholar.google.com/citations?user=ngiXpvgAAAAJ&amp;hl=en" TargetMode="External"/><Relationship Id="rId37" Type="http://schemas.openxmlformats.org/officeDocument/2006/relationships/hyperlink" Target="https://scholar.google.com/citations?user=2tjH9nEAAAAJ&amp;hl=en" TargetMode="External"/><Relationship Id="rId79" Type="http://schemas.openxmlformats.org/officeDocument/2006/relationships/hyperlink" Target="https://scholar.google.com/citations?user=NDDMft0AAAAJ&amp;hl=en" TargetMode="External"/><Relationship Id="rId102" Type="http://schemas.openxmlformats.org/officeDocument/2006/relationships/hyperlink" Target="https://scholar.google.com.ph/citations?user=t5ooS9UAAAAJ&amp;hl=en" TargetMode="External"/><Relationship Id="rId144" Type="http://schemas.openxmlformats.org/officeDocument/2006/relationships/hyperlink" Target="https://scholar.google.com.ph/citations?user=LYtuKXsAAAAJ&amp;hl=en" TargetMode="External"/><Relationship Id="rId90" Type="http://schemas.openxmlformats.org/officeDocument/2006/relationships/hyperlink" Target="https://scholar.google.com/citations?user=Q00ktPsAAAAJ&amp;hl=en" TargetMode="External"/><Relationship Id="rId186" Type="http://schemas.openxmlformats.org/officeDocument/2006/relationships/hyperlink" Target="https://scholar.google.com/citations?user=7Q9a6oAAAAAJ&amp;hl=en" TargetMode="External"/><Relationship Id="rId351" Type="http://schemas.openxmlformats.org/officeDocument/2006/relationships/hyperlink" Target="https://scholar.google.com.ph/citations?user=Q7Rwqu8AAAAJ&amp;hl=en" TargetMode="External"/><Relationship Id="rId393" Type="http://schemas.openxmlformats.org/officeDocument/2006/relationships/hyperlink" Target="https://scholar.google.com.ph/citations?user=woKkxz0AAAAJ&amp;hl=en" TargetMode="External"/><Relationship Id="rId407" Type="http://schemas.openxmlformats.org/officeDocument/2006/relationships/hyperlink" Target="https://scholar.google.com/citations?user=uGmaJv4AAAAJ&amp;hl=en" TargetMode="External"/><Relationship Id="rId449" Type="http://schemas.openxmlformats.org/officeDocument/2006/relationships/hyperlink" Target="https://scholar.google.com/citations?user=AJwfgaoAAAAJ&amp;hl=en" TargetMode="External"/><Relationship Id="rId211" Type="http://schemas.openxmlformats.org/officeDocument/2006/relationships/hyperlink" Target="https://scholar.google.com/citations?user=XRYodhsAAAAJ&amp;hl=en" TargetMode="External"/><Relationship Id="rId253" Type="http://schemas.openxmlformats.org/officeDocument/2006/relationships/hyperlink" Target="https://scholar.google.com/citations?user=PnDRSNgAAAAJ&amp;hl=en" TargetMode="External"/><Relationship Id="rId295" Type="http://schemas.openxmlformats.org/officeDocument/2006/relationships/hyperlink" Target="https://scholar.google.com/citations?user=KGmQ_24AAAAJ&amp;hl=en" TargetMode="External"/><Relationship Id="rId309" Type="http://schemas.openxmlformats.org/officeDocument/2006/relationships/hyperlink" Target="https://scholar.google.com/citations?user=2ec_E1UAAAAJ&amp;hl=en" TargetMode="External"/><Relationship Id="rId460" Type="http://schemas.openxmlformats.org/officeDocument/2006/relationships/hyperlink" Target="https://scholar.google.com/citations?user=RRVZtWgAAAAJ&amp;hl=en" TargetMode="External"/><Relationship Id="rId48" Type="http://schemas.openxmlformats.org/officeDocument/2006/relationships/hyperlink" Target="https://scholar.google.com.ph/citations?user=88FnzbsAAAAJ&amp;hl=en" TargetMode="External"/><Relationship Id="rId113" Type="http://schemas.openxmlformats.org/officeDocument/2006/relationships/hyperlink" Target="https://scholar.google.com/citations?user=bZ98GoIAAAAJ&amp;hl=en" TargetMode="External"/><Relationship Id="rId320" Type="http://schemas.openxmlformats.org/officeDocument/2006/relationships/hyperlink" Target="https://scholar.google.com.ph/citations?user=46h2Qh8AAAAJ&amp;hl=en" TargetMode="External"/><Relationship Id="rId155" Type="http://schemas.openxmlformats.org/officeDocument/2006/relationships/hyperlink" Target="https://scholar.google.com.ph/citations?user=02B7qPsAAAAJ&amp;hl=en" TargetMode="External"/><Relationship Id="rId197" Type="http://schemas.openxmlformats.org/officeDocument/2006/relationships/hyperlink" Target="https://scholar.google.com/citations?user=K_llbN8AAAAJ&amp;hl=en" TargetMode="External"/><Relationship Id="rId362" Type="http://schemas.openxmlformats.org/officeDocument/2006/relationships/hyperlink" Target="https://scholar.google.com/citations?user=Kq3hMdYAAAAJ&amp;hl=en" TargetMode="External"/><Relationship Id="rId418" Type="http://schemas.openxmlformats.org/officeDocument/2006/relationships/hyperlink" Target="https://scholar.google.com/citations?user=_FWnFqAAAAAJ&amp;hl=en" TargetMode="External"/><Relationship Id="rId222" Type="http://schemas.openxmlformats.org/officeDocument/2006/relationships/hyperlink" Target="https://scholar.google.com/citations?user=eB55IYYAAAAJ&amp;hl=en" TargetMode="External"/><Relationship Id="rId264" Type="http://schemas.openxmlformats.org/officeDocument/2006/relationships/hyperlink" Target="https://scholar.google.com/citations?user=dUgx9EoAAAAJ&amp;hl=en" TargetMode="External"/><Relationship Id="rId471" Type="http://schemas.openxmlformats.org/officeDocument/2006/relationships/hyperlink" Target="https://scholar.google.com.ph/citations?user=B04iO5MAAAAJ&amp;hl=en" TargetMode="External"/><Relationship Id="rId17" Type="http://schemas.openxmlformats.org/officeDocument/2006/relationships/hyperlink" Target="https://scholar.google.com/citations?user=H4iL3V0AAAAJ&amp;hl=en" TargetMode="External"/><Relationship Id="rId59" Type="http://schemas.openxmlformats.org/officeDocument/2006/relationships/hyperlink" Target="https://scholar.google.com.ph/citations?user=jC0i14kAAAAJ&amp;hl=en" TargetMode="External"/><Relationship Id="rId124" Type="http://schemas.openxmlformats.org/officeDocument/2006/relationships/hyperlink" Target="https://scholar.google.com/citations?user=AfHMFccAAAAJ&amp;hl=en" TargetMode="External"/><Relationship Id="rId70" Type="http://schemas.openxmlformats.org/officeDocument/2006/relationships/hyperlink" Target="https://scholar.google.com.ph/citations?user=v_0-fnoAAAAJ&amp;hl=en" TargetMode="External"/><Relationship Id="rId166" Type="http://schemas.openxmlformats.org/officeDocument/2006/relationships/hyperlink" Target="https://scholar.google.com/citations?user=YpkooCgAAAAJ&amp;hl=en" TargetMode="External"/><Relationship Id="rId331" Type="http://schemas.openxmlformats.org/officeDocument/2006/relationships/hyperlink" Target="https://scholar.google.com/citations?user=AnI_WTkAAAAJ&amp;hl=en" TargetMode="External"/><Relationship Id="rId373" Type="http://schemas.openxmlformats.org/officeDocument/2006/relationships/hyperlink" Target="https://scholar.google.com/citations?user=dKISiTYAAAAJ&amp;hl=en" TargetMode="External"/><Relationship Id="rId429" Type="http://schemas.openxmlformats.org/officeDocument/2006/relationships/hyperlink" Target="https://scholar.google.com/citations?user=mgAKQw0AAAAJ&amp;hl=en" TargetMode="External"/><Relationship Id="rId1" Type="http://schemas.openxmlformats.org/officeDocument/2006/relationships/hyperlink" Target="https://www.researchgate.net/profile/Thomas_Sanchez" TargetMode="External"/><Relationship Id="rId233" Type="http://schemas.openxmlformats.org/officeDocument/2006/relationships/hyperlink" Target="https://scholar.google.com/citations?user=WM_NNugAAAAJ&amp;hl=en&amp;oe=ASCII" TargetMode="External"/><Relationship Id="rId440" Type="http://schemas.openxmlformats.org/officeDocument/2006/relationships/hyperlink" Target="https://scholar.google.com/citations?user=iwUHlEgAAAAJ&amp;hl=en&amp;oe=ASCII" TargetMode="External"/><Relationship Id="rId28" Type="http://schemas.openxmlformats.org/officeDocument/2006/relationships/hyperlink" Target="https://scholar.google.com/citations?user=VG_liY4AAAAJ&amp;hl=en" TargetMode="External"/><Relationship Id="rId275" Type="http://schemas.openxmlformats.org/officeDocument/2006/relationships/hyperlink" Target="https://scholar.google.com.ph/citations?user=kxUwxfkAAAAJ&amp;hl=en" TargetMode="External"/><Relationship Id="rId300" Type="http://schemas.openxmlformats.org/officeDocument/2006/relationships/hyperlink" Target="https://scholar.google.com/citations?user=2_RsG9IAAAAJ&amp;hl=en" TargetMode="External"/><Relationship Id="rId482" Type="http://schemas.openxmlformats.org/officeDocument/2006/relationships/hyperlink" Target="https://scholar.google.com.ph/citations?user=0-jEvAcAAAAJ&amp;hl=en" TargetMode="External"/><Relationship Id="rId81" Type="http://schemas.openxmlformats.org/officeDocument/2006/relationships/hyperlink" Target="https://scholar.google.com/citations?user=-x9OGtsAAAAJ&amp;hl=en" TargetMode="External"/><Relationship Id="rId135" Type="http://schemas.openxmlformats.org/officeDocument/2006/relationships/hyperlink" Target="https://scholar.google.com.ph/citations?user=mOoelE0AAAAJ&amp;hl=en" TargetMode="External"/><Relationship Id="rId177" Type="http://schemas.openxmlformats.org/officeDocument/2006/relationships/hyperlink" Target="https://scholar.google.com.ph/citations?user=hAkNdIYAAAAJ&amp;hl=en" TargetMode="External"/><Relationship Id="rId342" Type="http://schemas.openxmlformats.org/officeDocument/2006/relationships/hyperlink" Target="https://scholar.google.com/citations?user=BNAax5UAAAAJ&amp;hl=en&amp;authuser=2" TargetMode="External"/><Relationship Id="rId384" Type="http://schemas.openxmlformats.org/officeDocument/2006/relationships/hyperlink" Target="https://scholar.google.com/citations?user=1WgeAaUAAAAJ&amp;hl=en" TargetMode="External"/><Relationship Id="rId202" Type="http://schemas.openxmlformats.org/officeDocument/2006/relationships/hyperlink" Target="https://scholar.google.com/citations?user=zkSxDEUAAAAJ&amp;hl=en" TargetMode="External"/><Relationship Id="rId244" Type="http://schemas.openxmlformats.org/officeDocument/2006/relationships/hyperlink" Target="https://scholar.google.com.ph/citations?user=mjzj_5MAAAAJ&amp;hl=en" TargetMode="External"/><Relationship Id="rId39" Type="http://schemas.openxmlformats.org/officeDocument/2006/relationships/hyperlink" Target="https://scholar.google.com.ph/citations?user=J1oqHDsAAAAJ&amp;hl=en" TargetMode="External"/><Relationship Id="rId286" Type="http://schemas.openxmlformats.org/officeDocument/2006/relationships/hyperlink" Target="https://scholar.google.com.ph/citations?user=UUhJBGYAAAAJ&amp;hl=en" TargetMode="External"/><Relationship Id="rId451" Type="http://schemas.openxmlformats.org/officeDocument/2006/relationships/hyperlink" Target="https://scholar.google.com/citations?user=fz_OulMAAAAJ&amp;hl=en" TargetMode="External"/><Relationship Id="rId493" Type="http://schemas.openxmlformats.org/officeDocument/2006/relationships/hyperlink" Target="https://scholar.google.com/citations?user=54V9vIYAAAAJ&amp;hl=en" TargetMode="External"/><Relationship Id="rId50" Type="http://schemas.openxmlformats.org/officeDocument/2006/relationships/hyperlink" Target="https://scholar.google.com/citations?user=TGNBWx4AAAAJ&amp;hl=en" TargetMode="External"/><Relationship Id="rId104" Type="http://schemas.openxmlformats.org/officeDocument/2006/relationships/hyperlink" Target="https://scholar.google.com/citations?user=xolGcEIAAAAJ&amp;hl=en" TargetMode="External"/><Relationship Id="rId146" Type="http://schemas.openxmlformats.org/officeDocument/2006/relationships/hyperlink" Target="https://scholar.google.com.ph/citations?user=Fc1IlK8AAAAJ&amp;hl=en" TargetMode="External"/><Relationship Id="rId188" Type="http://schemas.openxmlformats.org/officeDocument/2006/relationships/hyperlink" Target="https://scholar.google.com/citations?user=0P1TlN4AAAAJ&amp;hl=en" TargetMode="External"/><Relationship Id="rId311" Type="http://schemas.openxmlformats.org/officeDocument/2006/relationships/hyperlink" Target="https://scholar.google.com/citations?user=t-7_VOkAAAAJ&amp;hl=en" TargetMode="External"/><Relationship Id="rId353" Type="http://schemas.openxmlformats.org/officeDocument/2006/relationships/hyperlink" Target="https://scholar.google.com/citations?user=uMCwoLUAAAAJ&amp;hl=en" TargetMode="External"/><Relationship Id="rId395" Type="http://schemas.openxmlformats.org/officeDocument/2006/relationships/hyperlink" Target="https://scholar.google.com.ph/citations?user=2SQB8IcAAAAJ&amp;hl=en" TargetMode="External"/><Relationship Id="rId409" Type="http://schemas.openxmlformats.org/officeDocument/2006/relationships/hyperlink" Target="https://scholar.google.com/citations?user=tsK2A0QAAAAJ&amp;hl=en" TargetMode="External"/><Relationship Id="rId92" Type="http://schemas.openxmlformats.org/officeDocument/2006/relationships/hyperlink" Target="https://scholar.google.com/citations?user=ABWbHGAAAAAJ&amp;hl=en" TargetMode="External"/><Relationship Id="rId213" Type="http://schemas.openxmlformats.org/officeDocument/2006/relationships/hyperlink" Target="https://scholar.google.com/citations?user=CXfsog0AAAAJ&amp;hl=en" TargetMode="External"/><Relationship Id="rId420" Type="http://schemas.openxmlformats.org/officeDocument/2006/relationships/hyperlink" Target="https://scholar.google.com/citations?user=6iqc8gUAAAAJ&amp;hl=en" TargetMode="External"/><Relationship Id="rId255" Type="http://schemas.openxmlformats.org/officeDocument/2006/relationships/hyperlink" Target="https://scholar.google.com.ph/citations?user=S2t0-fsAAAAJ&amp;hl=en" TargetMode="External"/><Relationship Id="rId297" Type="http://schemas.openxmlformats.org/officeDocument/2006/relationships/hyperlink" Target="https://scholar.google.com/citations?user=trL3_roAAAAJ&amp;hl=en&amp;authuser=2" TargetMode="External"/><Relationship Id="rId462" Type="http://schemas.openxmlformats.org/officeDocument/2006/relationships/hyperlink" Target="https://scholar.google.com.ph/citations?user=psu2IAcAAAAJ&amp;hl=en" TargetMode="External"/><Relationship Id="rId115" Type="http://schemas.openxmlformats.org/officeDocument/2006/relationships/hyperlink" Target="https://scholar.google.com/citations?user=uFu5Z2YAAAAJ&amp;hl=en" TargetMode="External"/><Relationship Id="rId157" Type="http://schemas.openxmlformats.org/officeDocument/2006/relationships/hyperlink" Target="https://scholar.google.com/citations?user=MKhLuNsAAAAJ&amp;hl=en" TargetMode="External"/><Relationship Id="rId322" Type="http://schemas.openxmlformats.org/officeDocument/2006/relationships/hyperlink" Target="https://scholar.google.com/citations?user=e_hkalQAAAAJ&amp;hl=en" TargetMode="External"/><Relationship Id="rId364" Type="http://schemas.openxmlformats.org/officeDocument/2006/relationships/hyperlink" Target="https://scholar.google.com.ph/citations?user=Pj3lRPEAAAAJ&amp;hl=en" TargetMode="External"/><Relationship Id="rId61" Type="http://schemas.openxmlformats.org/officeDocument/2006/relationships/hyperlink" Target="https://scholar.google.com.ph/citations?user=jZb3ArMAAAAJ&amp;hl=en" TargetMode="External"/><Relationship Id="rId199" Type="http://schemas.openxmlformats.org/officeDocument/2006/relationships/hyperlink" Target="https://scholar.google.com/citations?user=0ls-w1wAAAAJ&amp;hl=en" TargetMode="External"/><Relationship Id="rId19" Type="http://schemas.openxmlformats.org/officeDocument/2006/relationships/hyperlink" Target="https://scholar.google.com/citations?user=hfAW1i8AAAAJ&amp;hl=en&amp;oe=ASCII" TargetMode="External"/><Relationship Id="rId224" Type="http://schemas.openxmlformats.org/officeDocument/2006/relationships/hyperlink" Target="https://scholar.google.com/citations?user=2ygYangAAAAJ&amp;hl=en" TargetMode="External"/><Relationship Id="rId266" Type="http://schemas.openxmlformats.org/officeDocument/2006/relationships/hyperlink" Target="https://scholar.google.com/citations?user=W0oQCxIAAAAJ&amp;hl=en" TargetMode="External"/><Relationship Id="rId431" Type="http://schemas.openxmlformats.org/officeDocument/2006/relationships/hyperlink" Target="https://scholar.google.com/citations?user=hILMtUQAAAAJ&amp;hl=en" TargetMode="External"/><Relationship Id="rId473" Type="http://schemas.openxmlformats.org/officeDocument/2006/relationships/hyperlink" Target="https://scholar.google.com/citations?user=5aXhaXgAAAAJ&amp;hl=en" TargetMode="External"/><Relationship Id="rId30" Type="http://schemas.openxmlformats.org/officeDocument/2006/relationships/hyperlink" Target="https://scholar.google.com/citations?user=Z1qu-3MAAAAJ&amp;hl=en" TargetMode="External"/><Relationship Id="rId126" Type="http://schemas.openxmlformats.org/officeDocument/2006/relationships/hyperlink" Target="https://scholar.google.com/citations?user=S0y4lCAAAAAJ&amp;hl=en&amp;authuser=1" TargetMode="External"/><Relationship Id="rId168" Type="http://schemas.openxmlformats.org/officeDocument/2006/relationships/hyperlink" Target="https://scholar.google.com/citations?user=3g76V9YAAAAJ&amp;hl=en" TargetMode="External"/><Relationship Id="rId333" Type="http://schemas.openxmlformats.org/officeDocument/2006/relationships/hyperlink" Target="https://scholar.google.com.ph/citations?user=JL54S94AAAAJ&amp;hl=en" TargetMode="External"/><Relationship Id="rId72" Type="http://schemas.openxmlformats.org/officeDocument/2006/relationships/hyperlink" Target="https://scholar.google.com/citations?user=D7vYZmQAAAAJ&amp;hl=en&amp;authuser=1" TargetMode="External"/><Relationship Id="rId375" Type="http://schemas.openxmlformats.org/officeDocument/2006/relationships/hyperlink" Target="https://scholar.google.com.ph/citations?user=BE-kCpcAAAAJ&amp;hl=en" TargetMode="External"/><Relationship Id="rId3" Type="http://schemas.openxmlformats.org/officeDocument/2006/relationships/hyperlink" Target="http://www.twitter.com/tomwsanchez" TargetMode="External"/><Relationship Id="rId235" Type="http://schemas.openxmlformats.org/officeDocument/2006/relationships/hyperlink" Target="https://scholar.google.com/citations?user=lhqW9cQAAAAJ&amp;hl=en" TargetMode="External"/><Relationship Id="rId277" Type="http://schemas.openxmlformats.org/officeDocument/2006/relationships/hyperlink" Target="https://scholar.google.com/citations?user=_7calRUAAAAJ&amp;hl=en" TargetMode="External"/><Relationship Id="rId400" Type="http://schemas.openxmlformats.org/officeDocument/2006/relationships/hyperlink" Target="https://scholar.google.com/citations?user=fmEGMO8AAAAJ&amp;hl=en" TargetMode="External"/><Relationship Id="rId442" Type="http://schemas.openxmlformats.org/officeDocument/2006/relationships/hyperlink" Target="https://scholar.google.com/citations?user=tP4H50wAAAAJ&amp;hl=en" TargetMode="External"/><Relationship Id="rId484" Type="http://schemas.openxmlformats.org/officeDocument/2006/relationships/hyperlink" Target="https://scholar.google.com/citations?user=FBjPT3wAAAAJ&amp;hl" TargetMode="External"/><Relationship Id="rId137" Type="http://schemas.openxmlformats.org/officeDocument/2006/relationships/hyperlink" Target="https://scholar.google.com.ph/citations?user=SeyXaCgAAAAJ&amp;hl=en" TargetMode="External"/><Relationship Id="rId302" Type="http://schemas.openxmlformats.org/officeDocument/2006/relationships/hyperlink" Target="https://scholar.google.com.ph/citations?user=zpYl8EcAAAAJ&amp;hl=en" TargetMode="External"/><Relationship Id="rId344" Type="http://schemas.openxmlformats.org/officeDocument/2006/relationships/hyperlink" Target="https://scholar.google.com/citations?user=pZuyPwYAAAAJ&amp;hl=en" TargetMode="External"/><Relationship Id="rId41" Type="http://schemas.openxmlformats.org/officeDocument/2006/relationships/hyperlink" Target="https://scholar.google.com/citations?user=vfdT-50AAAAJ&amp;hl=en" TargetMode="External"/><Relationship Id="rId83" Type="http://schemas.openxmlformats.org/officeDocument/2006/relationships/hyperlink" Target="https://scholar.google.com/citations?user=NZdIdD4AAAAJ&amp;hl=en" TargetMode="External"/><Relationship Id="rId179" Type="http://schemas.openxmlformats.org/officeDocument/2006/relationships/hyperlink" Target="https://scholar.google.com/citations?user=nE6IM7sAAAAJ&amp;hl=en" TargetMode="External"/><Relationship Id="rId386" Type="http://schemas.openxmlformats.org/officeDocument/2006/relationships/hyperlink" Target="https://scholar.google.com/citations?user=tVzJVwgAAAAJ&amp;hl=en" TargetMode="External"/><Relationship Id="rId190" Type="http://schemas.openxmlformats.org/officeDocument/2006/relationships/hyperlink" Target="https://scholar.google.com/citations?user=J16Ac4kAAAAJ&amp;hl=en" TargetMode="External"/><Relationship Id="rId204" Type="http://schemas.openxmlformats.org/officeDocument/2006/relationships/hyperlink" Target="https://scholar.google.com/citations?user=xBvA-LcAAAAJ&amp;hl=en" TargetMode="External"/><Relationship Id="rId246" Type="http://schemas.openxmlformats.org/officeDocument/2006/relationships/hyperlink" Target="https://scholar.google.com.ph/citations?user=gibRYHMAAAAJ&amp;hl=en" TargetMode="External"/><Relationship Id="rId288" Type="http://schemas.openxmlformats.org/officeDocument/2006/relationships/hyperlink" Target="https://scholar.google.com/citations?user=jgcEZPgAAAAJ&amp;hl=en" TargetMode="External"/><Relationship Id="rId411" Type="http://schemas.openxmlformats.org/officeDocument/2006/relationships/hyperlink" Target="https://scholar.google.com.ph/citations?user=nE1vbyUAAAAJ&amp;hl=en" TargetMode="External"/><Relationship Id="rId453" Type="http://schemas.openxmlformats.org/officeDocument/2006/relationships/hyperlink" Target="https://scholar.google.com/citations?user=zzD4c9oAAAAJ&amp;hl=en" TargetMode="External"/><Relationship Id="rId106" Type="http://schemas.openxmlformats.org/officeDocument/2006/relationships/hyperlink" Target="https://scholar.google.com.ph/citations?user=11fhzgEAAAAJ&amp;hl=en" TargetMode="External"/><Relationship Id="rId313" Type="http://schemas.openxmlformats.org/officeDocument/2006/relationships/hyperlink" Target="https://scholar.google.com/citations?user=-P2oJ9sAAAAJ&amp;hl=en" TargetMode="External"/><Relationship Id="rId495" Type="http://schemas.openxmlformats.org/officeDocument/2006/relationships/hyperlink" Target="https://scholar.google.com/citations?user=0Ek20l8AAAAJ&amp;hl=en" TargetMode="External"/><Relationship Id="rId10" Type="http://schemas.openxmlformats.org/officeDocument/2006/relationships/hyperlink" Target="https://researchgate.net/profile/Arnab_Chakraborty8" TargetMode="External"/><Relationship Id="rId52" Type="http://schemas.openxmlformats.org/officeDocument/2006/relationships/hyperlink" Target="https://scholar.google.com/citations?user=olIYV_QAAAAJ&amp;hl=en" TargetMode="External"/><Relationship Id="rId94" Type="http://schemas.openxmlformats.org/officeDocument/2006/relationships/hyperlink" Target="https://scholar.google.com.ph/citations?user=1hIl3F4AAAAJ&amp;hl=en" TargetMode="External"/><Relationship Id="rId148" Type="http://schemas.openxmlformats.org/officeDocument/2006/relationships/hyperlink" Target="https://scholar.google.com.ph/citations?user=ucOha3sAAAAJ&amp;hl=en" TargetMode="External"/><Relationship Id="rId355" Type="http://schemas.openxmlformats.org/officeDocument/2006/relationships/hyperlink" Target="https://scholar.google.com/citations?user=BZCjLCUAAAAJ&amp;hl=en" TargetMode="External"/><Relationship Id="rId397" Type="http://schemas.openxmlformats.org/officeDocument/2006/relationships/hyperlink" Target="https://scholar.google.com/citations?user=Yfw_SakAAAAJ&amp;hl=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6" Type="http://schemas.openxmlformats.org/officeDocument/2006/relationships/hyperlink" Target="http://spdc.msu.edu/programs/urban_and_regional_planning" TargetMode="External"/><Relationship Id="rId21" Type="http://schemas.openxmlformats.org/officeDocument/2006/relationships/hyperlink" Target="http://design.iastate.edu/communityplanning/" TargetMode="External"/><Relationship Id="rId42" Type="http://schemas.openxmlformats.org/officeDocument/2006/relationships/hyperlink" Target="http://savannahstate.edu/graduate/degrees-grad-us.shtml" TargetMode="External"/><Relationship Id="rId47" Type="http://schemas.openxmlformats.org/officeDocument/2006/relationships/hyperlink" Target="http://bjmlspa.tsu.edu/" TargetMode="External"/><Relationship Id="rId63" Type="http://schemas.openxmlformats.org/officeDocument/2006/relationships/hyperlink" Target="http://sppa.udel.edu/grad-education/graduate-education/m-a-in-urban-affairs-public-policy" TargetMode="External"/><Relationship Id="rId68" Type="http://schemas.openxmlformats.org/officeDocument/2006/relationships/hyperlink" Target="http://uidaho.edu/caa/programs/biop" TargetMode="External"/><Relationship Id="rId84" Type="http://schemas.openxmlformats.org/officeDocument/2006/relationships/hyperlink" Target="http://unbc.ca/environmental-planning" TargetMode="External"/><Relationship Id="rId89" Type="http://schemas.openxmlformats.org/officeDocument/2006/relationships/hyperlink" Target="http://planificacion.uprrp.edu/" TargetMode="External"/><Relationship Id="rId112" Type="http://schemas.openxmlformats.org/officeDocument/2006/relationships/printerSettings" Target="../printerSettings/printerSettings3.bin"/><Relationship Id="rId16" Type="http://schemas.openxmlformats.org/officeDocument/2006/relationships/hyperlink" Target="http://cdsi.fau.edu/surp/" TargetMode="External"/><Relationship Id="rId107" Type="http://schemas.openxmlformats.org/officeDocument/2006/relationships/hyperlink" Target="http://clas.wayne.edu/DUSP/Master-of-Urban-Planning-Program" TargetMode="External"/><Relationship Id="rId11" Type="http://schemas.openxmlformats.org/officeDocument/2006/relationships/hyperlink" Target="http://aap.cornell.edu/academics/crp" TargetMode="External"/><Relationship Id="rId32" Type="http://schemas.openxmlformats.org/officeDocument/2006/relationships/hyperlink" Target="http://wagner.nyu.edu/urbanplanning" TargetMode="External"/><Relationship Id="rId37" Type="http://schemas.openxmlformats.org/officeDocument/2006/relationships/hyperlink" Target="http://bloustein.rutgers.edu/graduate/uppd/" TargetMode="External"/><Relationship Id="rId53" Type="http://schemas.openxmlformats.org/officeDocument/2006/relationships/hyperlink" Target="http://planning.unc.edu/" TargetMode="External"/><Relationship Id="rId58" Type="http://schemas.openxmlformats.org/officeDocument/2006/relationships/hyperlink" Target="http://capla.arizona.edu/planning-program" TargetMode="External"/><Relationship Id="rId74" Type="http://schemas.openxmlformats.org/officeDocument/2006/relationships/hyperlink" Target="http://umanitoba.ca/faculties/architecture/programs/cityplanning/index.html" TargetMode="External"/><Relationship Id="rId79" Type="http://schemas.openxmlformats.org/officeDocument/2006/relationships/hyperlink" Target="http://hhh.umn.edu/masters-degrees/master-urban-and-regional-planning" TargetMode="External"/><Relationship Id="rId102" Type="http://schemas.openxmlformats.org/officeDocument/2006/relationships/hyperlink" Target="http://urpl.wisc.edu/" TargetMode="External"/><Relationship Id="rId5" Type="http://schemas.openxmlformats.org/officeDocument/2006/relationships/hyperlink" Target="http://planning.calpoly.edu/" TargetMode="External"/><Relationship Id="rId90" Type="http://schemas.openxmlformats.org/officeDocument/2006/relationships/hyperlink" Target="http://arts.usask.ca/rup/" TargetMode="External"/><Relationship Id="rId95" Type="http://schemas.openxmlformats.org/officeDocument/2006/relationships/hyperlink" Target="http://cacp.utsa.edu/academic-programs/urban-and-regional-planning/explore-urban-and-regional-planning/" TargetMode="External"/><Relationship Id="rId22" Type="http://schemas.openxmlformats.org/officeDocument/2006/relationships/hyperlink" Target="http://jsums.edu/planning/" TargetMode="External"/><Relationship Id="rId27" Type="http://schemas.openxmlformats.org/officeDocument/2006/relationships/hyperlink" Target="http://sbs.mnsu.edu/ursi/" TargetMode="External"/><Relationship Id="rId43" Type="http://schemas.openxmlformats.org/officeDocument/2006/relationships/hyperlink" Target="http://rem.sfu.ca/programs/mrm-planning/" TargetMode="External"/><Relationship Id="rId48" Type="http://schemas.openxmlformats.org/officeDocument/2006/relationships/hyperlink" Target="http://newschool.edu/public-engagement/ms-urban-policy-analysis-management/" TargetMode="External"/><Relationship Id="rId64" Type="http://schemas.openxmlformats.org/officeDocument/2006/relationships/hyperlink" Target="http://dcp.ufl.edu/urp/" TargetMode="External"/><Relationship Id="rId69" Type="http://schemas.openxmlformats.org/officeDocument/2006/relationships/hyperlink" Target="http://upp.uic.edu/" TargetMode="External"/><Relationship Id="rId80" Type="http://schemas.openxmlformats.org/officeDocument/2006/relationships/hyperlink" Target="http://info.umkc.edu/aupd/academic-programs/urban-planning-design/" TargetMode="External"/><Relationship Id="rId85" Type="http://schemas.openxmlformats.org/officeDocument/2006/relationships/hyperlink" Target="http://ou.edu/architecture/regional_city_planning.html" TargetMode="External"/><Relationship Id="rId12" Type="http://schemas.openxmlformats.org/officeDocument/2006/relationships/hyperlink" Target="http://dal.ca/faculty/architecture-planning/school-of-planning.html" TargetMode="External"/><Relationship Id="rId17" Type="http://schemas.openxmlformats.org/officeDocument/2006/relationships/hyperlink" Target="http://coss.fsu.edu/durp/" TargetMode="External"/><Relationship Id="rId33" Type="http://schemas.openxmlformats.org/officeDocument/2006/relationships/hyperlink" Target="http://nau.edu/SBS/GPR/Degrees-Programs/Geography/" TargetMode="External"/><Relationship Id="rId38" Type="http://schemas.openxmlformats.org/officeDocument/2006/relationships/hyperlink" Target="http://sebs.rutgers.edu/" TargetMode="External"/><Relationship Id="rId59" Type="http://schemas.openxmlformats.org/officeDocument/2006/relationships/hyperlink" Target="http://scarp.ubc.ca/" TargetMode="External"/><Relationship Id="rId103" Type="http://schemas.openxmlformats.org/officeDocument/2006/relationships/hyperlink" Target="http://.uwm.edu/sarup/program/planning/" TargetMode="External"/><Relationship Id="rId108" Type="http://schemas.openxmlformats.org/officeDocument/2006/relationships/hyperlink" Target="http://wcupa.edu/_academics/sch_sba.geo/" TargetMode="External"/><Relationship Id="rId54" Type="http://schemas.openxmlformats.org/officeDocument/2006/relationships/hyperlink" Target="http://urbanisme.umontreal.ca/" TargetMode="External"/><Relationship Id="rId70" Type="http://schemas.openxmlformats.org/officeDocument/2006/relationships/hyperlink" Target="http://urban.illinois.edu/" TargetMode="External"/><Relationship Id="rId75" Type="http://schemas.openxmlformats.org/officeDocument/2006/relationships/hyperlink" Target="http://arch.umd.edu/ursp/urban-studies-and-planning" TargetMode="External"/><Relationship Id="rId91" Type="http://schemas.openxmlformats.org/officeDocument/2006/relationships/hyperlink" Target="http://spa.usf.edu/graduate/murp/" TargetMode="External"/><Relationship Id="rId96" Type="http://schemas.openxmlformats.org/officeDocument/2006/relationships/hyperlink" Target="http://utoledo.edu/llss/geography/" TargetMode="External"/><Relationship Id="rId1" Type="http://schemas.openxmlformats.org/officeDocument/2006/relationships/hyperlink" Target="http://aamu.edu/academics/alns/crp/pages/default.aspx" TargetMode="External"/><Relationship Id="rId6" Type="http://schemas.openxmlformats.org/officeDocument/2006/relationships/hyperlink" Target="http://cpp.edu/~urp/index.shtml" TargetMode="External"/><Relationship Id="rId15" Type="http://schemas.openxmlformats.org/officeDocument/2006/relationships/hyperlink" Target="http://ewu.edu/cbpa/programs/urban-regional-planning" TargetMode="External"/><Relationship Id="rId23" Type="http://schemas.openxmlformats.org/officeDocument/2006/relationships/hyperlink" Target="http://apdesign.k-state.edu/larcp/" TargetMode="External"/><Relationship Id="rId28" Type="http://schemas.openxmlformats.org/officeDocument/2006/relationships/hyperlink" Target="http://geosciences.missouristate.edu/" TargetMode="External"/><Relationship Id="rId36" Type="http://schemas.openxmlformats.org/officeDocument/2006/relationships/hyperlink" Target="http://pratt.edu/academics/architecture/city-and-regional-planning/" TargetMode="External"/><Relationship Id="rId49" Type="http://schemas.openxmlformats.org/officeDocument/2006/relationships/hyperlink" Target="http://ase.tufts.edu/uep/" TargetMode="External"/><Relationship Id="rId57" Type="http://schemas.openxmlformats.org/officeDocument/2006/relationships/hyperlink" Target="http://planning.eas.ualberta.ca/" TargetMode="External"/><Relationship Id="rId106" Type="http://schemas.openxmlformats.org/officeDocument/2006/relationships/hyperlink" Target="http://uap.vt.edu/" TargetMode="External"/><Relationship Id="rId10" Type="http://schemas.openxmlformats.org/officeDocument/2006/relationships/hyperlink" Target="http://arch.columbia.edu/programs/10-m-s-urban-planning" TargetMode="External"/><Relationship Id="rId31" Type="http://schemas.openxmlformats.org/officeDocument/2006/relationships/hyperlink" Target="http://architecture.njit.edu/academics/graduate/mip.php" TargetMode="External"/><Relationship Id="rId44" Type="http://schemas.openxmlformats.org/officeDocument/2006/relationships/hyperlink" Target="http://albany.edu/gp/" TargetMode="External"/><Relationship Id="rId52" Type="http://schemas.openxmlformats.org/officeDocument/2006/relationships/hyperlink" Target="http://luskin.ucla.edu/urban-planning" TargetMode="External"/><Relationship Id="rId60" Type="http://schemas.openxmlformats.org/officeDocument/2006/relationships/hyperlink" Target="http://evds.ucalgary.ca/content/master-planning-mplan" TargetMode="External"/><Relationship Id="rId65" Type="http://schemas.openxmlformats.org/officeDocument/2006/relationships/hyperlink" Target="http://ced.uga.edu/degrees/mepd/" TargetMode="External"/><Relationship Id="rId73" Type="http://schemas.openxmlformats.org/officeDocument/2006/relationships/hyperlink" Target="http://supa.louisville.edu/" TargetMode="External"/><Relationship Id="rId78" Type="http://schemas.openxmlformats.org/officeDocument/2006/relationships/hyperlink" Target="http://queensu.ca/sgs/urban-regional-planning" TargetMode="External"/><Relationship Id="rId81" Type="http://schemas.openxmlformats.org/officeDocument/2006/relationships/hyperlink" Target="http://architecture.unl.edu/degree-programs/community-and-regional-planning" TargetMode="External"/><Relationship Id="rId86" Type="http://schemas.openxmlformats.org/officeDocument/2006/relationships/hyperlink" Target="http://pppm.uoregon.edu/" TargetMode="External"/><Relationship Id="rId94" Type="http://schemas.openxmlformats.org/officeDocument/2006/relationships/hyperlink" Target="http://soa.utexas.edu/programs/community-and-regional-planning" TargetMode="External"/><Relationship Id="rId99" Type="http://schemas.openxmlformats.org/officeDocument/2006/relationships/hyperlink" Target="http://arch.virginia.edu/urban-environmental-planning" TargetMode="External"/><Relationship Id="rId101" Type="http://schemas.openxmlformats.org/officeDocument/2006/relationships/hyperlink" Target="http://uwaterloo.ca/planning/" TargetMode="External"/><Relationship Id="rId4" Type="http://schemas.openxmlformats.org/officeDocument/2006/relationships/hyperlink" Target="http://cms.bsu.edu/Academics/CollegesandDepartments/CAP/Programs/UrbanPlanning.aspx" TargetMode="External"/><Relationship Id="rId9" Type="http://schemas.openxmlformats.org/officeDocument/2006/relationships/hyperlink" Target="http://csuohio.edu/urban/mupd/mupd" TargetMode="External"/><Relationship Id="rId13" Type="http://schemas.openxmlformats.org/officeDocument/2006/relationships/hyperlink" Target="http://ecu.edu/cs-cas/plan/" TargetMode="External"/><Relationship Id="rId18" Type="http://schemas.openxmlformats.org/officeDocument/2006/relationships/hyperlink" Target="http://planning.gatech.edu/" TargetMode="External"/><Relationship Id="rId39" Type="http://schemas.openxmlformats.org/officeDocument/2006/relationships/hyperlink" Target="http://ryerson.ca/surp/" TargetMode="External"/><Relationship Id="rId109" Type="http://schemas.openxmlformats.org/officeDocument/2006/relationships/hyperlink" Target="http://wmich.edu/geography/community-regional-planning" TargetMode="External"/><Relationship Id="rId34" Type="http://schemas.openxmlformats.org/officeDocument/2006/relationships/hyperlink" Target="http://knowlton.osu.edu/programs/city-and-regional-planning" TargetMode="External"/><Relationship Id="rId50" Type="http://schemas.openxmlformats.org/officeDocument/2006/relationships/hyperlink" Target="http://ced.berkeley.edu/academics/city-regional-planning/" TargetMode="External"/><Relationship Id="rId55" Type="http://schemas.openxmlformats.org/officeDocument/2006/relationships/hyperlink" Target="http://.ulaval.ca/en/academics/faculties-departments-and-schools/planning-architecture-art-and-design.html" TargetMode="External"/><Relationship Id="rId76" Type="http://schemas.openxmlformats.org/officeDocument/2006/relationships/hyperlink" Target="http://umass.edu/larp/home" TargetMode="External"/><Relationship Id="rId97" Type="http://schemas.openxmlformats.org/officeDocument/2006/relationships/hyperlink" Target="http://geography.utoronto.ca/graduate-planning/" TargetMode="External"/><Relationship Id="rId104" Type="http://schemas.openxmlformats.org/officeDocument/2006/relationships/hyperlink" Target="http://priceschool.usc.edu/programs/masters/mpl/" TargetMode="External"/><Relationship Id="rId7" Type="http://schemas.openxmlformats.org/officeDocument/2006/relationships/hyperlink" Target="http://csun.edu/social-behavioral-sciences/urban-studies-planning" TargetMode="External"/><Relationship Id="rId71" Type="http://schemas.openxmlformats.org/officeDocument/2006/relationships/hyperlink" Target="http://urban.uiowa.edu/" TargetMode="External"/><Relationship Id="rId92" Type="http://schemas.openxmlformats.org/officeDocument/2006/relationships/hyperlink" Target="http://usm.maine.edu/muskie" TargetMode="External"/><Relationship Id="rId2" Type="http://schemas.openxmlformats.org/officeDocument/2006/relationships/hyperlink" Target="http://geoplan.asu.edu/" TargetMode="External"/><Relationship Id="rId29" Type="http://schemas.openxmlformats.org/officeDocument/2006/relationships/hyperlink" Target="http://dusp.mit.edu/" TargetMode="External"/><Relationship Id="rId24" Type="http://schemas.openxmlformats.org/officeDocument/2006/relationships/hyperlink" Target="http://mcgill.ca/urbanplanning/school-urban-planning" TargetMode="External"/><Relationship Id="rId40" Type="http://schemas.openxmlformats.org/officeDocument/2006/relationships/hyperlink" Target="http://slu.edu/sustainability/graduate-programs/ms-in-urban-planning-and-development" TargetMode="External"/><Relationship Id="rId45" Type="http://schemas.openxmlformats.org/officeDocument/2006/relationships/hyperlink" Target="http://tyler.temple.edu/programs/planning-community-development" TargetMode="External"/><Relationship Id="rId66" Type="http://schemas.openxmlformats.org/officeDocument/2006/relationships/hyperlink" Target="http://uoguelph.ca/sedrd/rural-planning-development" TargetMode="External"/><Relationship Id="rId87" Type="http://schemas.openxmlformats.org/officeDocument/2006/relationships/hyperlink" Target="http://design.upenn.edu/city-regional-planning/graduate/work" TargetMode="External"/><Relationship Id="rId110" Type="http://schemas.openxmlformats.org/officeDocument/2006/relationships/hyperlink" Target="http://westfield.ma.edu/academics/geography-and-regional-planning-department" TargetMode="External"/><Relationship Id="rId61" Type="http://schemas.openxmlformats.org/officeDocument/2006/relationships/hyperlink" Target="http://daap.uc.edu/academics/planning.html" TargetMode="External"/><Relationship Id="rId82" Type="http://schemas.openxmlformats.org/officeDocument/2006/relationships/hyperlink" Target="http://saap.unm.edu/" TargetMode="External"/><Relationship Id="rId19" Type="http://schemas.openxmlformats.org/officeDocument/2006/relationships/hyperlink" Target="http://gsd.harvard.edu/" TargetMode="External"/><Relationship Id="rId14" Type="http://schemas.openxmlformats.org/officeDocument/2006/relationships/hyperlink" Target="http://emich.edu/geo/planning/" TargetMode="External"/><Relationship Id="rId30" Type="http://schemas.openxmlformats.org/officeDocument/2006/relationships/hyperlink" Target="http://morgan.edu/sap/crep" TargetMode="External"/><Relationship Id="rId35" Type="http://schemas.openxmlformats.org/officeDocument/2006/relationships/hyperlink" Target="http://pdx.edu/usp/master-urban-and-regional-planning-murp" TargetMode="External"/><Relationship Id="rId56" Type="http://schemas.openxmlformats.org/officeDocument/2006/relationships/hyperlink" Target="http://ap.buffalo.edu/academics/graduate-degrees/mup.html" TargetMode="External"/><Relationship Id="rId77" Type="http://schemas.openxmlformats.org/officeDocument/2006/relationships/hyperlink" Target="http://memphis.edu/planning/" TargetMode="External"/><Relationship Id="rId100" Type="http://schemas.openxmlformats.org/officeDocument/2006/relationships/hyperlink" Target="http://urbdp.be.washington.edu/" TargetMode="External"/><Relationship Id="rId105" Type="http://schemas.openxmlformats.org/officeDocument/2006/relationships/hyperlink" Target="http://wilder.vcu.edu/academic/urban/" TargetMode="External"/><Relationship Id="rId8" Type="http://schemas.openxmlformats.org/officeDocument/2006/relationships/hyperlink" Target="http://clemson.edu/caah/departments/city-and-regional-planning/" TargetMode="External"/><Relationship Id="rId51" Type="http://schemas.openxmlformats.org/officeDocument/2006/relationships/hyperlink" Target="http://ppd.soceco.uci.edu/" TargetMode="External"/><Relationship Id="rId72" Type="http://schemas.openxmlformats.org/officeDocument/2006/relationships/hyperlink" Target="http://urbanplanning.ku.edu/" TargetMode="External"/><Relationship Id="rId93" Type="http://schemas.openxmlformats.org/officeDocument/2006/relationships/hyperlink" Target="http://uta.edu/cappa/academics/planning-landscape-architecture/planning/index.php" TargetMode="External"/><Relationship Id="rId98" Type="http://schemas.openxmlformats.org/officeDocument/2006/relationships/hyperlink" Target="http://plan.cap.utah.edu/" TargetMode="External"/><Relationship Id="rId3" Type="http://schemas.openxmlformats.org/officeDocument/2006/relationships/hyperlink" Target="http://cla.auburn.edu/polisci/graduate-programs/master-of-community-planning/about-the-program/" TargetMode="External"/><Relationship Id="rId25" Type="http://schemas.openxmlformats.org/officeDocument/2006/relationships/hyperlink" Target="http://miamioh.edu/cas/academics/departments/geography/academics/majors/urban-regional-planning-major/index.html" TargetMode="External"/><Relationship Id="rId46" Type="http://schemas.openxmlformats.org/officeDocument/2006/relationships/hyperlink" Target="http://laup.arch.tamu.edu/" TargetMode="External"/><Relationship Id="rId67" Type="http://schemas.openxmlformats.org/officeDocument/2006/relationships/hyperlink" Target="http://manoa.hawaii.edu/durp/" TargetMode="External"/><Relationship Id="rId20" Type="http://schemas.openxmlformats.org/officeDocument/2006/relationships/hyperlink" Target="http://iup.edu/georegionalplan/" TargetMode="External"/><Relationship Id="rId41" Type="http://schemas.openxmlformats.org/officeDocument/2006/relationships/hyperlink" Target="http://sjsu.edu/urbanplanning/" TargetMode="External"/><Relationship Id="rId62" Type="http://schemas.openxmlformats.org/officeDocument/2006/relationships/hyperlink" Target="http://ucdenver.edu/academics/colleges/ArchitecturePlanning/Academics/DegreePrograms/MURP/Pages/MURP.aspx" TargetMode="External"/><Relationship Id="rId83" Type="http://schemas.openxmlformats.org/officeDocument/2006/relationships/hyperlink" Target="http://uno.edu/cola/planning-and-urban-studies/" TargetMode="External"/><Relationship Id="rId88" Type="http://schemas.openxmlformats.org/officeDocument/2006/relationships/hyperlink" Target="http://gspia.pitt.edu/" TargetMode="External"/><Relationship Id="rId111" Type="http://schemas.openxmlformats.org/officeDocument/2006/relationships/hyperlink" Target="http://fesplanning.apps01.yorku.c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2188"/>
  <sheetViews>
    <sheetView topLeftCell="J1" workbookViewId="0">
      <selection sqref="A1:Z1"/>
    </sheetView>
  </sheetViews>
  <sheetFormatPr defaultRowHeight="15" x14ac:dyDescent="0.25"/>
  <cols>
    <col min="1" max="1" width="20.5703125" style="18" customWidth="1"/>
    <col min="2" max="2" width="7.85546875" style="30" customWidth="1"/>
    <col min="3" max="5" width="9.140625" style="8" customWidth="1"/>
    <col min="6" max="6" width="9.42578125" style="8" customWidth="1"/>
    <col min="7" max="7" width="11.28515625" style="10" customWidth="1"/>
    <col min="8" max="8" width="55.85546875" style="18" customWidth="1"/>
    <col min="9" max="9" width="30" style="18" customWidth="1"/>
    <col min="10" max="10" width="14.7109375" style="18" customWidth="1"/>
    <col min="11" max="11" width="7.5703125" style="18" customWidth="1"/>
    <col min="12" max="12" width="8.85546875" style="9" customWidth="1"/>
    <col min="13" max="13" width="4.7109375" style="20" customWidth="1"/>
    <col min="14" max="14" width="47.7109375" style="28" customWidth="1"/>
    <col min="15" max="15" width="8.42578125" style="18" customWidth="1"/>
    <col min="16" max="16" width="8.85546875" style="13" customWidth="1"/>
    <col min="17" max="17" width="8.85546875" style="15" customWidth="1"/>
    <col min="18" max="18" width="15.28515625" style="18" customWidth="1"/>
    <col min="19" max="19" width="11.140625" style="18" customWidth="1"/>
    <col min="20" max="20" width="11.7109375" style="18" customWidth="1"/>
    <col min="21" max="21" width="53.28515625" style="2" customWidth="1"/>
    <col min="22" max="28" width="9.140625" style="18" customWidth="1"/>
    <col min="30" max="30" width="10.85546875" customWidth="1"/>
  </cols>
  <sheetData>
    <row r="1" spans="1:31" x14ac:dyDescent="0.25">
      <c r="A1" t="s">
        <v>0</v>
      </c>
      <c r="B1" s="29" t="s">
        <v>1</v>
      </c>
      <c r="C1" s="13" t="s">
        <v>2</v>
      </c>
      <c r="D1" s="7" t="s">
        <v>3</v>
      </c>
      <c r="E1" s="7" t="s">
        <v>4</v>
      </c>
      <c r="F1" s="18" t="s">
        <v>5</v>
      </c>
      <c r="G1" s="12" t="s">
        <v>6</v>
      </c>
      <c r="H1" s="18" t="s">
        <v>7</v>
      </c>
      <c r="I1" s="3" t="s">
        <v>8</v>
      </c>
      <c r="J1" s="3" t="s">
        <v>9</v>
      </c>
      <c r="K1" t="s">
        <v>10</v>
      </c>
      <c r="L1" s="9" t="s">
        <v>11</v>
      </c>
      <c r="M1" s="20" t="s">
        <v>12</v>
      </c>
      <c r="N1" s="28" t="s">
        <v>13</v>
      </c>
      <c r="O1" t="s">
        <v>14</v>
      </c>
      <c r="P1" s="13" t="s">
        <v>15</v>
      </c>
      <c r="Q1" s="15" t="s">
        <v>3710</v>
      </c>
      <c r="R1" t="s">
        <v>16</v>
      </c>
      <c r="S1" t="s">
        <v>17</v>
      </c>
      <c r="T1" t="s">
        <v>18</v>
      </c>
      <c r="U1" s="2" t="s">
        <v>19</v>
      </c>
      <c r="V1" t="s">
        <v>20</v>
      </c>
      <c r="W1" t="s">
        <v>21</v>
      </c>
      <c r="X1" t="s">
        <v>22</v>
      </c>
      <c r="Y1" t="s">
        <v>23</v>
      </c>
      <c r="Z1" t="s">
        <v>24</v>
      </c>
    </row>
    <row r="2" spans="1:31" x14ac:dyDescent="0.25">
      <c r="A2" t="s">
        <v>1895</v>
      </c>
      <c r="B2" s="30">
        <v>1977</v>
      </c>
      <c r="C2" s="8">
        <v>8</v>
      </c>
      <c r="D2" s="14">
        <v>5.7000000000000002E-2</v>
      </c>
      <c r="E2" s="14">
        <v>2.1999999999999999E-2</v>
      </c>
      <c r="F2" s="8">
        <v>2</v>
      </c>
      <c r="G2" s="14">
        <v>7.0999999999999994E-2</v>
      </c>
      <c r="I2" s="26" t="s">
        <v>1614</v>
      </c>
      <c r="J2" s="18" t="s">
        <v>26</v>
      </c>
      <c r="L2" s="9">
        <f>B2</f>
        <v>1977</v>
      </c>
      <c r="N2" s="28" t="s">
        <v>3122</v>
      </c>
      <c r="O2" s="13" t="s">
        <v>28</v>
      </c>
      <c r="P2" s="13">
        <f t="shared" ref="P2:P65" si="0">2018-L2</f>
        <v>41</v>
      </c>
      <c r="Q2" s="15">
        <f t="shared" ref="Q2:Q65" si="1">C2/P2</f>
        <v>0.1951219512195122</v>
      </c>
      <c r="R2" s="18" t="s">
        <v>3842</v>
      </c>
      <c r="T2" s="18" t="s">
        <v>3843</v>
      </c>
      <c r="AE2" s="16"/>
    </row>
    <row r="3" spans="1:31" x14ac:dyDescent="0.25">
      <c r="A3" t="s">
        <v>1613</v>
      </c>
      <c r="B3" s="30">
        <v>2007</v>
      </c>
      <c r="C3" s="13">
        <v>5</v>
      </c>
      <c r="D3" s="14">
        <v>4.2999999999999997E-2</v>
      </c>
      <c r="E3" s="14">
        <v>1.7999999999999999E-2</v>
      </c>
      <c r="F3" s="13">
        <v>1</v>
      </c>
      <c r="G3" s="14">
        <v>0</v>
      </c>
      <c r="I3" s="26" t="s">
        <v>1614</v>
      </c>
      <c r="J3" s="18" t="s">
        <v>26</v>
      </c>
      <c r="L3" s="9">
        <v>2007</v>
      </c>
      <c r="M3" s="11"/>
      <c r="N3" s="30" t="s">
        <v>1614</v>
      </c>
      <c r="O3" s="13" t="s">
        <v>42</v>
      </c>
      <c r="P3" s="13">
        <f t="shared" si="0"/>
        <v>11</v>
      </c>
      <c r="Q3" s="15">
        <f t="shared" si="1"/>
        <v>0.45454545454545453</v>
      </c>
      <c r="R3" s="13" t="s">
        <v>1615</v>
      </c>
      <c r="S3" s="13"/>
      <c r="T3" s="13" t="s">
        <v>1616</v>
      </c>
      <c r="U3" s="13" t="s">
        <v>1617</v>
      </c>
      <c r="V3" s="27" t="s">
        <v>3981</v>
      </c>
      <c r="W3" s="13"/>
      <c r="X3" s="13" t="s">
        <v>4296</v>
      </c>
      <c r="Y3" s="13" t="s">
        <v>3980</v>
      </c>
      <c r="Z3" s="13" t="s">
        <v>3980</v>
      </c>
      <c r="AC3" s="18"/>
      <c r="AE3" s="13"/>
    </row>
    <row r="4" spans="1:31" x14ac:dyDescent="0.25">
      <c r="A4" t="s">
        <v>1741</v>
      </c>
      <c r="B4" s="30">
        <v>1981</v>
      </c>
      <c r="C4" s="13">
        <v>40</v>
      </c>
      <c r="D4" s="14">
        <v>0.153</v>
      </c>
      <c r="E4" s="14">
        <v>7.6999999999999999E-2</v>
      </c>
      <c r="F4" s="13">
        <v>3</v>
      </c>
      <c r="G4" s="14">
        <v>0.13100000000000001</v>
      </c>
      <c r="I4" s="26" t="s">
        <v>1614</v>
      </c>
      <c r="J4" s="18" t="s">
        <v>26</v>
      </c>
      <c r="L4" s="9">
        <v>1981</v>
      </c>
      <c r="M4" s="11"/>
      <c r="N4" s="30" t="s">
        <v>88</v>
      </c>
      <c r="O4" s="13" t="s">
        <v>28</v>
      </c>
      <c r="P4" s="13">
        <f t="shared" si="0"/>
        <v>37</v>
      </c>
      <c r="Q4" s="15">
        <f t="shared" si="1"/>
        <v>1.0810810810810811</v>
      </c>
      <c r="R4" s="13" t="s">
        <v>1742</v>
      </c>
      <c r="S4" s="13"/>
      <c r="T4" s="13" t="s">
        <v>1743</v>
      </c>
      <c r="U4" s="13" t="s">
        <v>1744</v>
      </c>
      <c r="V4" s="13" t="s">
        <v>3980</v>
      </c>
      <c r="W4" s="13"/>
      <c r="X4" s="13" t="s">
        <v>4297</v>
      </c>
      <c r="Y4" s="13" t="s">
        <v>3980</v>
      </c>
      <c r="Z4" s="13" t="s">
        <v>3980</v>
      </c>
      <c r="AC4" s="18"/>
      <c r="AD4" s="18"/>
      <c r="AE4" s="13"/>
    </row>
    <row r="5" spans="1:31" x14ac:dyDescent="0.25">
      <c r="A5" t="s">
        <v>2084</v>
      </c>
      <c r="B5" s="30">
        <v>1986</v>
      </c>
      <c r="C5" s="8">
        <v>1636</v>
      </c>
      <c r="D5" s="14">
        <v>0.80200000000000005</v>
      </c>
      <c r="E5" s="14">
        <v>0.59399999999999997</v>
      </c>
      <c r="F5" s="8">
        <v>21</v>
      </c>
      <c r="G5" s="14">
        <v>0.84199999999999997</v>
      </c>
      <c r="H5" s="18" t="s">
        <v>3583</v>
      </c>
      <c r="I5" s="26" t="s">
        <v>1614</v>
      </c>
      <c r="J5" s="18" t="s">
        <v>26</v>
      </c>
      <c r="L5" s="9">
        <f>B5</f>
        <v>1986</v>
      </c>
      <c r="N5" s="33" t="s">
        <v>220</v>
      </c>
      <c r="O5" s="13" t="s">
        <v>28</v>
      </c>
      <c r="P5" s="13">
        <f t="shared" si="0"/>
        <v>32</v>
      </c>
      <c r="Q5" s="15">
        <f t="shared" si="1"/>
        <v>51.125</v>
      </c>
      <c r="R5" s="18" t="s">
        <v>205</v>
      </c>
      <c r="T5" s="18" t="s">
        <v>1146</v>
      </c>
      <c r="V5" s="18" t="s">
        <v>3980</v>
      </c>
      <c r="X5" s="18" t="s">
        <v>3980</v>
      </c>
      <c r="Y5" s="18" t="s">
        <v>3980</v>
      </c>
      <c r="Z5" s="18" t="s">
        <v>3980</v>
      </c>
      <c r="AC5" s="18"/>
      <c r="AD5" s="18"/>
      <c r="AE5" s="13"/>
    </row>
    <row r="6" spans="1:31" x14ac:dyDescent="0.25">
      <c r="A6" s="18" t="s">
        <v>2066</v>
      </c>
      <c r="B6" s="30">
        <v>1988</v>
      </c>
      <c r="C6" s="13">
        <v>1083</v>
      </c>
      <c r="D6" s="14">
        <v>0.71899999999999997</v>
      </c>
      <c r="E6" s="14">
        <v>0.46600000000000003</v>
      </c>
      <c r="F6" s="13">
        <v>8</v>
      </c>
      <c r="G6" s="14">
        <v>0.434</v>
      </c>
      <c r="H6" s="18" t="s">
        <v>3564</v>
      </c>
      <c r="I6" s="26" t="s">
        <v>1614</v>
      </c>
      <c r="J6" s="18" t="s">
        <v>26</v>
      </c>
      <c r="L6" s="9">
        <v>1988</v>
      </c>
      <c r="M6" s="11"/>
      <c r="N6" s="30" t="s">
        <v>2067</v>
      </c>
      <c r="O6" s="13" t="s">
        <v>28</v>
      </c>
      <c r="P6" s="13">
        <f t="shared" si="0"/>
        <v>30</v>
      </c>
      <c r="Q6" s="15">
        <f t="shared" si="1"/>
        <v>36.1</v>
      </c>
      <c r="R6" s="13" t="s">
        <v>56</v>
      </c>
      <c r="S6" s="13"/>
      <c r="T6" s="13" t="s">
        <v>2068</v>
      </c>
      <c r="U6" s="13" t="s">
        <v>2069</v>
      </c>
      <c r="V6" s="27" t="s">
        <v>3982</v>
      </c>
      <c r="W6" s="13"/>
      <c r="X6" s="27" t="s">
        <v>4298</v>
      </c>
      <c r="Y6" s="13" t="s">
        <v>3980</v>
      </c>
      <c r="Z6" s="13" t="s">
        <v>3980</v>
      </c>
      <c r="AC6" s="18"/>
      <c r="AD6" s="18"/>
      <c r="AE6" s="13"/>
    </row>
    <row r="7" spans="1:31" x14ac:dyDescent="0.25">
      <c r="A7" s="18" t="s">
        <v>2240</v>
      </c>
      <c r="B7" s="30">
        <v>1994</v>
      </c>
      <c r="C7" s="8">
        <v>498</v>
      </c>
      <c r="D7" s="14">
        <v>0.55200000000000005</v>
      </c>
      <c r="E7" s="14">
        <v>0.85899999999999999</v>
      </c>
      <c r="F7" s="8">
        <v>13</v>
      </c>
      <c r="G7" s="14">
        <v>0.64500000000000002</v>
      </c>
      <c r="I7" s="26" t="s">
        <v>1614</v>
      </c>
      <c r="J7" s="18" t="s">
        <v>105</v>
      </c>
      <c r="L7" s="9">
        <f>B7</f>
        <v>1994</v>
      </c>
      <c r="N7" s="28" t="s">
        <v>220</v>
      </c>
      <c r="O7" s="13" t="s">
        <v>42</v>
      </c>
      <c r="P7" s="13">
        <f t="shared" si="0"/>
        <v>24</v>
      </c>
      <c r="Q7" s="15">
        <f t="shared" si="1"/>
        <v>20.75</v>
      </c>
      <c r="R7" s="18" t="s">
        <v>3754</v>
      </c>
      <c r="T7" s="18" t="s">
        <v>3755</v>
      </c>
      <c r="V7" s="18" t="s">
        <v>3980</v>
      </c>
      <c r="X7" s="18" t="s">
        <v>3980</v>
      </c>
      <c r="Y7" s="18" t="s">
        <v>3980</v>
      </c>
      <c r="Z7" s="18" t="s">
        <v>3980</v>
      </c>
      <c r="AC7" s="18"/>
      <c r="AD7" s="18"/>
      <c r="AE7" s="13"/>
    </row>
    <row r="8" spans="1:31" x14ac:dyDescent="0.25">
      <c r="A8" s="18" t="s">
        <v>952</v>
      </c>
      <c r="B8" s="30">
        <v>2015</v>
      </c>
      <c r="C8" s="13">
        <v>24</v>
      </c>
      <c r="D8" s="14">
        <v>0.107</v>
      </c>
      <c r="E8" s="14">
        <v>0.21</v>
      </c>
      <c r="F8" s="13">
        <v>3</v>
      </c>
      <c r="G8" s="14">
        <v>0.13100000000000001</v>
      </c>
      <c r="H8" s="18" t="s">
        <v>3387</v>
      </c>
      <c r="I8" s="26" t="s">
        <v>140</v>
      </c>
      <c r="J8" s="18" t="s">
        <v>105</v>
      </c>
      <c r="K8" s="4"/>
      <c r="L8" s="9">
        <v>2015</v>
      </c>
      <c r="N8" s="30" t="s">
        <v>220</v>
      </c>
      <c r="O8" s="13" t="s">
        <v>42</v>
      </c>
      <c r="P8" s="13">
        <f t="shared" si="0"/>
        <v>3</v>
      </c>
      <c r="Q8" s="15">
        <f t="shared" si="1"/>
        <v>8</v>
      </c>
      <c r="R8" s="13" t="s">
        <v>953</v>
      </c>
      <c r="S8" s="13"/>
      <c r="T8" s="13" t="s">
        <v>954</v>
      </c>
      <c r="U8" s="13"/>
      <c r="V8" s="13" t="s">
        <v>3980</v>
      </c>
      <c r="W8" s="13"/>
      <c r="X8" s="13" t="s">
        <v>3980</v>
      </c>
      <c r="Y8" s="13" t="s">
        <v>3980</v>
      </c>
      <c r="Z8" s="13" t="s">
        <v>3980</v>
      </c>
      <c r="AC8" s="18"/>
      <c r="AD8" s="18"/>
      <c r="AE8" s="13"/>
    </row>
    <row r="9" spans="1:31" x14ac:dyDescent="0.25">
      <c r="A9" s="18" t="s">
        <v>907</v>
      </c>
      <c r="B9" s="30">
        <v>1980</v>
      </c>
      <c r="C9" s="13">
        <v>19111</v>
      </c>
      <c r="D9" s="14">
        <v>0.995</v>
      </c>
      <c r="E9" s="14">
        <v>0.98799999999999999</v>
      </c>
      <c r="F9" s="13">
        <v>54</v>
      </c>
      <c r="G9" s="14">
        <v>0.996</v>
      </c>
      <c r="H9" s="18" t="s">
        <v>3372</v>
      </c>
      <c r="I9" s="26" t="s">
        <v>140</v>
      </c>
      <c r="J9" s="18" t="s">
        <v>26</v>
      </c>
      <c r="L9" s="9">
        <v>1980</v>
      </c>
      <c r="N9" s="30" t="s">
        <v>1323</v>
      </c>
      <c r="O9" s="13" t="s">
        <v>28</v>
      </c>
      <c r="P9" s="13">
        <f t="shared" si="0"/>
        <v>38</v>
      </c>
      <c r="Q9" s="15">
        <f t="shared" si="1"/>
        <v>502.92105263157896</v>
      </c>
      <c r="R9" s="13" t="s">
        <v>908</v>
      </c>
      <c r="S9" s="13"/>
      <c r="T9" s="13" t="s">
        <v>909</v>
      </c>
      <c r="U9" s="13"/>
      <c r="V9" s="13" t="s">
        <v>3980</v>
      </c>
      <c r="W9" s="13"/>
      <c r="X9" s="13" t="s">
        <v>3980</v>
      </c>
      <c r="Y9" s="13" t="s">
        <v>3980</v>
      </c>
      <c r="Z9" s="13" t="s">
        <v>3980</v>
      </c>
      <c r="AC9" s="18"/>
      <c r="AD9" s="18"/>
      <c r="AE9" s="16"/>
    </row>
    <row r="10" spans="1:31" x14ac:dyDescent="0.25">
      <c r="A10" s="18" t="s">
        <v>2219</v>
      </c>
      <c r="B10" s="30">
        <v>1979</v>
      </c>
      <c r="C10" s="13">
        <v>196</v>
      </c>
      <c r="D10" s="14">
        <v>0.377</v>
      </c>
      <c r="E10" s="14">
        <v>0.372</v>
      </c>
      <c r="F10" s="13">
        <v>7</v>
      </c>
      <c r="G10" s="14">
        <v>0.39300000000000002</v>
      </c>
      <c r="I10" s="26" t="s">
        <v>140</v>
      </c>
      <c r="J10" t="s">
        <v>54</v>
      </c>
      <c r="L10" s="9">
        <v>1979</v>
      </c>
      <c r="N10" s="30" t="s">
        <v>77</v>
      </c>
      <c r="O10" s="13" t="s">
        <v>28</v>
      </c>
      <c r="P10" s="13">
        <f t="shared" si="0"/>
        <v>39</v>
      </c>
      <c r="Q10" s="15">
        <f t="shared" si="1"/>
        <v>5.0256410256410255</v>
      </c>
      <c r="R10" s="13" t="s">
        <v>2220</v>
      </c>
      <c r="S10" s="13"/>
      <c r="T10" s="13" t="s">
        <v>320</v>
      </c>
      <c r="U10" s="13" t="s">
        <v>2221</v>
      </c>
      <c r="V10" s="13" t="s">
        <v>3983</v>
      </c>
      <c r="W10" s="13"/>
      <c r="X10" s="13" t="s">
        <v>4299</v>
      </c>
      <c r="Y10" s="13" t="s">
        <v>3980</v>
      </c>
      <c r="Z10" s="13" t="s">
        <v>3980</v>
      </c>
      <c r="AC10" s="18"/>
      <c r="AD10" s="18"/>
      <c r="AE10" s="13"/>
    </row>
    <row r="11" spans="1:31" x14ac:dyDescent="0.25">
      <c r="A11" t="s">
        <v>1334</v>
      </c>
      <c r="B11" s="30">
        <v>2008</v>
      </c>
      <c r="C11" s="13">
        <v>545</v>
      </c>
      <c r="D11" s="14">
        <v>0.57499999999999996</v>
      </c>
      <c r="E11" s="14">
        <v>0.88700000000000001</v>
      </c>
      <c r="F11" s="13">
        <v>10</v>
      </c>
      <c r="G11" s="14">
        <v>0.52200000000000002</v>
      </c>
      <c r="H11" s="18" t="s">
        <v>3494</v>
      </c>
      <c r="I11" s="26" t="s">
        <v>140</v>
      </c>
      <c r="J11" s="18" t="s">
        <v>105</v>
      </c>
      <c r="L11" s="9">
        <v>2008</v>
      </c>
      <c r="N11" s="30" t="s">
        <v>88</v>
      </c>
      <c r="O11" s="13" t="s">
        <v>28</v>
      </c>
      <c r="P11" s="13">
        <f t="shared" si="0"/>
        <v>10</v>
      </c>
      <c r="Q11" s="15">
        <f t="shared" si="1"/>
        <v>54.5</v>
      </c>
      <c r="R11" s="13" t="s">
        <v>173</v>
      </c>
      <c r="S11" s="13"/>
      <c r="T11" s="13" t="s">
        <v>1335</v>
      </c>
      <c r="U11" s="13"/>
      <c r="V11" s="13" t="s">
        <v>3980</v>
      </c>
      <c r="W11" s="13"/>
      <c r="X11" s="13" t="s">
        <v>3980</v>
      </c>
      <c r="Y11" s="13" t="s">
        <v>3980</v>
      </c>
      <c r="Z11" s="13" t="s">
        <v>3980</v>
      </c>
      <c r="AC11" s="18"/>
      <c r="AD11" s="18"/>
      <c r="AE11" s="13"/>
    </row>
    <row r="12" spans="1:31" x14ac:dyDescent="0.25">
      <c r="A12" s="18" t="s">
        <v>1185</v>
      </c>
      <c r="B12" s="30">
        <v>1988</v>
      </c>
      <c r="C12" s="13">
        <v>3441</v>
      </c>
      <c r="D12" s="14">
        <v>0.91300000000000003</v>
      </c>
      <c r="E12" s="14">
        <v>0.80400000000000005</v>
      </c>
      <c r="F12" s="13">
        <v>29</v>
      </c>
      <c r="G12" s="14">
        <v>0.92400000000000004</v>
      </c>
      <c r="H12" s="18" t="s">
        <v>3626</v>
      </c>
      <c r="I12" s="26" t="s">
        <v>140</v>
      </c>
      <c r="J12" s="18" t="s">
        <v>26</v>
      </c>
      <c r="K12" s="4"/>
      <c r="L12" s="9">
        <v>1988</v>
      </c>
      <c r="N12" s="30" t="s">
        <v>1186</v>
      </c>
      <c r="O12" s="13" t="s">
        <v>28</v>
      </c>
      <c r="P12" s="13">
        <f t="shared" si="0"/>
        <v>30</v>
      </c>
      <c r="Q12" s="15">
        <f t="shared" si="1"/>
        <v>114.7</v>
      </c>
      <c r="R12" s="13" t="s">
        <v>84</v>
      </c>
      <c r="S12" s="13"/>
      <c r="T12" s="13" t="s">
        <v>1187</v>
      </c>
      <c r="U12" s="13" t="s">
        <v>1188</v>
      </c>
      <c r="V12" s="13" t="s">
        <v>3984</v>
      </c>
      <c r="W12" s="13"/>
      <c r="X12" s="13" t="s">
        <v>4300</v>
      </c>
      <c r="Y12" s="13" t="s">
        <v>3980</v>
      </c>
      <c r="Z12" s="13" t="s">
        <v>3980</v>
      </c>
      <c r="AC12" s="18"/>
      <c r="AD12" s="18"/>
      <c r="AE12" s="13"/>
    </row>
    <row r="13" spans="1:31" x14ac:dyDescent="0.25">
      <c r="A13" s="18" t="s">
        <v>501</v>
      </c>
      <c r="B13" s="30">
        <v>2005</v>
      </c>
      <c r="C13" s="13">
        <v>2761</v>
      </c>
      <c r="D13" s="14">
        <v>0.88200000000000001</v>
      </c>
      <c r="E13" s="14">
        <v>0.97099999999999997</v>
      </c>
      <c r="F13" s="13">
        <v>29</v>
      </c>
      <c r="G13" s="14">
        <v>0.92400000000000004</v>
      </c>
      <c r="H13" s="18" t="s">
        <v>3264</v>
      </c>
      <c r="I13" s="26" t="s">
        <v>140</v>
      </c>
      <c r="J13" s="18" t="s">
        <v>54</v>
      </c>
      <c r="K13" s="4"/>
      <c r="L13" s="9">
        <v>2005</v>
      </c>
      <c r="N13" s="30" t="s">
        <v>502</v>
      </c>
      <c r="O13" s="13" t="s">
        <v>42</v>
      </c>
      <c r="P13" s="13">
        <f t="shared" si="0"/>
        <v>13</v>
      </c>
      <c r="Q13" s="15">
        <f t="shared" si="1"/>
        <v>212.38461538461539</v>
      </c>
      <c r="R13" s="13" t="s">
        <v>503</v>
      </c>
      <c r="S13" s="13"/>
      <c r="T13" s="13" t="s">
        <v>504</v>
      </c>
      <c r="U13" s="13" t="s">
        <v>505</v>
      </c>
      <c r="V13" s="27" t="s">
        <v>3985</v>
      </c>
      <c r="W13" s="13"/>
      <c r="X13" s="13" t="s">
        <v>4301</v>
      </c>
      <c r="Y13" s="13" t="s">
        <v>3980</v>
      </c>
      <c r="Z13" s="13" t="s">
        <v>3980</v>
      </c>
      <c r="AC13" s="18"/>
      <c r="AD13" s="18"/>
      <c r="AE13" s="16"/>
    </row>
    <row r="14" spans="1:31" x14ac:dyDescent="0.25">
      <c r="A14" s="18" t="s">
        <v>2304</v>
      </c>
      <c r="B14" s="30">
        <v>1984</v>
      </c>
      <c r="C14" s="13">
        <v>2454</v>
      </c>
      <c r="D14" s="14">
        <v>0.871</v>
      </c>
      <c r="E14" s="14">
        <v>0.96499999999999997</v>
      </c>
      <c r="F14" s="13">
        <v>24</v>
      </c>
      <c r="G14" s="14">
        <v>0.88300000000000001</v>
      </c>
      <c r="H14" s="18" t="s">
        <v>4987</v>
      </c>
      <c r="I14" s="26" t="s">
        <v>140</v>
      </c>
      <c r="J14" s="18" t="s">
        <v>54</v>
      </c>
      <c r="L14" s="9">
        <v>1984</v>
      </c>
      <c r="N14" s="30" t="s">
        <v>40</v>
      </c>
      <c r="O14" s="13" t="s">
        <v>28</v>
      </c>
      <c r="P14" s="13">
        <f t="shared" si="0"/>
        <v>34</v>
      </c>
      <c r="Q14" s="15">
        <f t="shared" si="1"/>
        <v>72.17647058823529</v>
      </c>
      <c r="R14" s="13" t="s">
        <v>2305</v>
      </c>
      <c r="S14" s="13"/>
      <c r="T14" s="13" t="s">
        <v>2306</v>
      </c>
      <c r="U14" s="13" t="s">
        <v>2307</v>
      </c>
      <c r="V14" s="13" t="s">
        <v>3980</v>
      </c>
      <c r="W14" s="13"/>
      <c r="X14" s="13" t="s">
        <v>3980</v>
      </c>
      <c r="Y14" s="13" t="s">
        <v>3980</v>
      </c>
      <c r="Z14" s="13" t="s">
        <v>3980</v>
      </c>
      <c r="AC14" s="18"/>
      <c r="AD14" s="18"/>
      <c r="AE14" s="16"/>
    </row>
    <row r="15" spans="1:31" x14ac:dyDescent="0.25">
      <c r="A15" s="18" t="s">
        <v>2984</v>
      </c>
      <c r="B15" s="30">
        <v>2005</v>
      </c>
      <c r="C15" s="8">
        <v>2997</v>
      </c>
      <c r="D15" s="14">
        <v>0.89300000000000002</v>
      </c>
      <c r="E15" s="14">
        <v>0.76</v>
      </c>
      <c r="F15" s="8">
        <v>31</v>
      </c>
      <c r="G15" s="14">
        <v>0.94</v>
      </c>
      <c r="H15" s="18" t="s">
        <v>3659</v>
      </c>
      <c r="I15" s="26" t="s">
        <v>140</v>
      </c>
      <c r="J15" s="18" t="s">
        <v>26</v>
      </c>
      <c r="L15" s="9">
        <f>B15</f>
        <v>2005</v>
      </c>
      <c r="N15" s="28" t="s">
        <v>3152</v>
      </c>
      <c r="O15" s="13" t="s">
        <v>42</v>
      </c>
      <c r="P15" s="13">
        <f t="shared" si="0"/>
        <v>13</v>
      </c>
      <c r="Q15" s="15">
        <f t="shared" si="1"/>
        <v>230.53846153846155</v>
      </c>
      <c r="R15" s="18" t="s">
        <v>3823</v>
      </c>
      <c r="T15" s="18" t="s">
        <v>1025</v>
      </c>
      <c r="V15" s="18" t="s">
        <v>3980</v>
      </c>
      <c r="X15" s="18" t="s">
        <v>3980</v>
      </c>
      <c r="Y15" s="18" t="s">
        <v>3980</v>
      </c>
      <c r="Z15" s="18" t="s">
        <v>3980</v>
      </c>
      <c r="AC15" s="18"/>
      <c r="AD15" s="18"/>
      <c r="AE15" s="18"/>
    </row>
    <row r="16" spans="1:31" x14ac:dyDescent="0.25">
      <c r="A16" t="s">
        <v>139</v>
      </c>
      <c r="B16" s="30">
        <v>2011</v>
      </c>
      <c r="C16" s="13">
        <v>280</v>
      </c>
      <c r="D16" s="14">
        <v>0.435</v>
      </c>
      <c r="E16" s="14">
        <v>0.441</v>
      </c>
      <c r="F16" s="13">
        <v>11</v>
      </c>
      <c r="G16" s="14">
        <v>0.56000000000000005</v>
      </c>
      <c r="H16" s="18" t="s">
        <v>3181</v>
      </c>
      <c r="I16" s="26" t="s">
        <v>140</v>
      </c>
      <c r="J16" s="18" t="s">
        <v>54</v>
      </c>
      <c r="L16" s="9">
        <v>2011</v>
      </c>
      <c r="N16" s="30" t="s">
        <v>88</v>
      </c>
      <c r="O16" s="13" t="s">
        <v>42</v>
      </c>
      <c r="P16" s="13">
        <f t="shared" si="0"/>
        <v>7</v>
      </c>
      <c r="Q16" s="15">
        <f t="shared" si="1"/>
        <v>40</v>
      </c>
      <c r="R16" s="13" t="s">
        <v>141</v>
      </c>
      <c r="S16" s="13"/>
      <c r="T16" s="13" t="s">
        <v>142</v>
      </c>
      <c r="U16" s="13" t="s">
        <v>143</v>
      </c>
      <c r="V16" s="13" t="s">
        <v>3986</v>
      </c>
      <c r="W16" s="13"/>
      <c r="X16" s="13" t="s">
        <v>4302</v>
      </c>
      <c r="Y16" s="13" t="s">
        <v>3980</v>
      </c>
      <c r="Z16" s="13" t="s">
        <v>3980</v>
      </c>
      <c r="AC16" s="18"/>
      <c r="AD16" s="18"/>
      <c r="AE16" s="13"/>
    </row>
    <row r="17" spans="1:31" x14ac:dyDescent="0.25">
      <c r="A17" t="s">
        <v>1422</v>
      </c>
      <c r="B17" s="30">
        <v>1983</v>
      </c>
      <c r="C17" s="13">
        <v>2269</v>
      </c>
      <c r="D17" s="14">
        <v>0.85499999999999998</v>
      </c>
      <c r="E17" s="14">
        <v>0.68700000000000006</v>
      </c>
      <c r="F17" s="13">
        <v>18</v>
      </c>
      <c r="G17" s="14">
        <v>0.78700000000000003</v>
      </c>
      <c r="H17" s="18" t="s">
        <v>3522</v>
      </c>
      <c r="I17" s="26" t="s">
        <v>140</v>
      </c>
      <c r="J17" s="18" t="s">
        <v>26</v>
      </c>
      <c r="L17" s="9">
        <f>B17</f>
        <v>1983</v>
      </c>
      <c r="N17" s="30" t="s">
        <v>3159</v>
      </c>
      <c r="O17" s="13" t="s">
        <v>28</v>
      </c>
      <c r="P17" s="13">
        <f t="shared" si="0"/>
        <v>35</v>
      </c>
      <c r="Q17" s="15">
        <f t="shared" si="1"/>
        <v>64.828571428571422</v>
      </c>
      <c r="R17" s="13" t="s">
        <v>173</v>
      </c>
      <c r="S17" s="13"/>
      <c r="T17" s="13" t="s">
        <v>1423</v>
      </c>
      <c r="U17" s="13"/>
      <c r="V17" s="13" t="s">
        <v>3980</v>
      </c>
      <c r="W17" s="13"/>
      <c r="X17" s="13" t="s">
        <v>3980</v>
      </c>
      <c r="Y17" s="13" t="s">
        <v>3980</v>
      </c>
      <c r="Z17" s="13" t="s">
        <v>3980</v>
      </c>
      <c r="AC17" s="18"/>
      <c r="AD17" s="18"/>
      <c r="AE17" s="13"/>
    </row>
    <row r="18" spans="1:31" x14ac:dyDescent="0.25">
      <c r="A18" t="s">
        <v>1808</v>
      </c>
      <c r="B18" s="30">
        <v>2007</v>
      </c>
      <c r="C18" s="8">
        <v>834</v>
      </c>
      <c r="D18" s="14">
        <v>0.66600000000000004</v>
      </c>
      <c r="E18" s="14">
        <v>0.75900000000000001</v>
      </c>
      <c r="F18" s="8">
        <v>17</v>
      </c>
      <c r="G18" s="14">
        <v>0.76400000000000001</v>
      </c>
      <c r="H18" s="18" t="s">
        <v>3605</v>
      </c>
      <c r="I18" s="26" t="s">
        <v>140</v>
      </c>
      <c r="J18" s="18" t="s">
        <v>54</v>
      </c>
      <c r="L18" s="9">
        <f>B18</f>
        <v>2007</v>
      </c>
      <c r="N18" s="28" t="s">
        <v>98</v>
      </c>
      <c r="O18" s="13" t="s">
        <v>42</v>
      </c>
      <c r="P18" s="13">
        <f t="shared" si="0"/>
        <v>11</v>
      </c>
      <c r="Q18" s="15">
        <f t="shared" si="1"/>
        <v>75.818181818181813</v>
      </c>
      <c r="R18" s="18" t="s">
        <v>3789</v>
      </c>
      <c r="T18" s="18" t="s">
        <v>3790</v>
      </c>
      <c r="V18" s="18" t="s">
        <v>3980</v>
      </c>
      <c r="X18" s="18" t="s">
        <v>3980</v>
      </c>
      <c r="Y18" s="18" t="s">
        <v>3980</v>
      </c>
      <c r="Z18" s="18" t="s">
        <v>3980</v>
      </c>
      <c r="AC18" s="18"/>
      <c r="AD18" s="18"/>
      <c r="AE18" s="16"/>
    </row>
    <row r="19" spans="1:31" x14ac:dyDescent="0.25">
      <c r="A19" s="18" t="s">
        <v>1888</v>
      </c>
      <c r="B19" s="30">
        <v>1977</v>
      </c>
      <c r="C19" s="13">
        <v>932</v>
      </c>
      <c r="D19" s="14">
        <v>0.68899999999999995</v>
      </c>
      <c r="E19" s="14">
        <v>0.432</v>
      </c>
      <c r="F19" s="13">
        <v>15</v>
      </c>
      <c r="G19" s="14">
        <v>0.71</v>
      </c>
      <c r="I19" s="26" t="s">
        <v>140</v>
      </c>
      <c r="J19" s="18" t="s">
        <v>26</v>
      </c>
      <c r="K19" s="4"/>
      <c r="L19" s="9">
        <v>1977</v>
      </c>
      <c r="N19" s="30" t="s">
        <v>41</v>
      </c>
      <c r="O19" s="13" t="s">
        <v>28</v>
      </c>
      <c r="P19" s="13">
        <f t="shared" si="0"/>
        <v>41</v>
      </c>
      <c r="Q19" s="15">
        <f t="shared" si="1"/>
        <v>22.73170731707317</v>
      </c>
      <c r="R19" s="13" t="s">
        <v>899</v>
      </c>
      <c r="S19" s="13"/>
      <c r="T19" s="13" t="s">
        <v>1889</v>
      </c>
      <c r="U19" s="13" t="s">
        <v>1890</v>
      </c>
      <c r="V19" s="13" t="s">
        <v>3980</v>
      </c>
      <c r="W19" s="13"/>
      <c r="X19" s="13" t="s">
        <v>3980</v>
      </c>
      <c r="Y19" s="13" t="s">
        <v>3980</v>
      </c>
      <c r="Z19" s="13" t="s">
        <v>3980</v>
      </c>
      <c r="AC19" s="18"/>
      <c r="AD19" s="18"/>
      <c r="AE19" s="13"/>
    </row>
    <row r="20" spans="1:31" x14ac:dyDescent="0.25">
      <c r="A20" s="18" t="s">
        <v>518</v>
      </c>
      <c r="B20" s="30">
        <v>1997</v>
      </c>
      <c r="C20" s="13">
        <v>1638</v>
      </c>
      <c r="D20" s="14">
        <v>0.80300000000000005</v>
      </c>
      <c r="E20" s="14">
        <v>0.59599999999999997</v>
      </c>
      <c r="F20" s="13">
        <v>23</v>
      </c>
      <c r="G20" s="14">
        <v>0.874</v>
      </c>
      <c r="H20" s="18" t="s">
        <v>3268</v>
      </c>
      <c r="I20" s="26" t="s">
        <v>140</v>
      </c>
      <c r="J20" s="18" t="s">
        <v>26</v>
      </c>
      <c r="L20" s="9">
        <v>1997</v>
      </c>
      <c r="M20" s="11"/>
      <c r="N20" s="30" t="s">
        <v>519</v>
      </c>
      <c r="O20" s="13" t="s">
        <v>42</v>
      </c>
      <c r="P20" s="13">
        <f t="shared" si="0"/>
        <v>21</v>
      </c>
      <c r="Q20" s="15">
        <f t="shared" si="1"/>
        <v>78</v>
      </c>
      <c r="R20" s="13" t="s">
        <v>294</v>
      </c>
      <c r="S20" s="13"/>
      <c r="T20" s="13" t="s">
        <v>520</v>
      </c>
      <c r="U20" s="13" t="s">
        <v>521</v>
      </c>
      <c r="V20" s="13" t="s">
        <v>3987</v>
      </c>
      <c r="W20" s="13"/>
      <c r="X20" s="13" t="s">
        <v>4303</v>
      </c>
      <c r="Y20" s="13" t="s">
        <v>3980</v>
      </c>
      <c r="Z20" s="13" t="s">
        <v>3980</v>
      </c>
      <c r="AC20" s="18"/>
      <c r="AD20" s="18"/>
      <c r="AE20" s="13"/>
    </row>
    <row r="21" spans="1:31" x14ac:dyDescent="0.25">
      <c r="A21" s="18" t="s">
        <v>2932</v>
      </c>
      <c r="B21" s="30">
        <v>2012</v>
      </c>
      <c r="C21" s="13">
        <v>8</v>
      </c>
      <c r="D21" s="14">
        <v>5.7000000000000002E-2</v>
      </c>
      <c r="E21" s="14">
        <v>0.108</v>
      </c>
      <c r="F21" s="13">
        <v>2</v>
      </c>
      <c r="G21" s="14">
        <v>7.0999999999999994E-2</v>
      </c>
      <c r="H21" s="18" t="s">
        <v>3570</v>
      </c>
      <c r="I21" s="26" t="s">
        <v>364</v>
      </c>
      <c r="J21" s="18" t="s">
        <v>105</v>
      </c>
      <c r="L21" s="9">
        <v>2012</v>
      </c>
      <c r="M21" s="11"/>
      <c r="N21" s="30" t="s">
        <v>186</v>
      </c>
      <c r="O21" s="13" t="s">
        <v>42</v>
      </c>
      <c r="P21" s="13">
        <f t="shared" si="0"/>
        <v>6</v>
      </c>
      <c r="Q21" s="15">
        <f t="shared" si="1"/>
        <v>1.3333333333333333</v>
      </c>
      <c r="R21" s="13" t="s">
        <v>2933</v>
      </c>
      <c r="S21" s="13"/>
      <c r="T21" s="13" t="s">
        <v>2934</v>
      </c>
      <c r="U21" s="13"/>
      <c r="V21" s="13" t="s">
        <v>3980</v>
      </c>
      <c r="W21" s="13"/>
      <c r="X21" s="13" t="s">
        <v>3980</v>
      </c>
      <c r="Y21" s="13" t="s">
        <v>3980</v>
      </c>
      <c r="Z21" s="13" t="s">
        <v>3980</v>
      </c>
      <c r="AC21" s="18"/>
      <c r="AD21" s="18"/>
      <c r="AE21" s="16"/>
    </row>
    <row r="22" spans="1:31" x14ac:dyDescent="0.25">
      <c r="A22" s="18" t="s">
        <v>2499</v>
      </c>
      <c r="B22" s="30">
        <v>2014</v>
      </c>
      <c r="C22" s="8">
        <v>1</v>
      </c>
      <c r="D22" s="14">
        <v>0</v>
      </c>
      <c r="E22" s="14">
        <v>0</v>
      </c>
      <c r="F22" s="8">
        <v>1</v>
      </c>
      <c r="G22" s="14">
        <v>0</v>
      </c>
      <c r="I22" s="26" t="s">
        <v>364</v>
      </c>
      <c r="J22" s="18" t="s">
        <v>105</v>
      </c>
      <c r="L22" s="9">
        <f>B22</f>
        <v>2014</v>
      </c>
      <c r="N22" s="28" t="s">
        <v>162</v>
      </c>
      <c r="O22" s="13" t="s">
        <v>28</v>
      </c>
      <c r="P22" s="13">
        <f t="shared" si="0"/>
        <v>4</v>
      </c>
      <c r="Q22" s="15">
        <f t="shared" si="1"/>
        <v>0.25</v>
      </c>
      <c r="R22" s="18" t="s">
        <v>2501</v>
      </c>
      <c r="T22" s="18" t="s">
        <v>3763</v>
      </c>
      <c r="V22" s="18" t="s">
        <v>3980</v>
      </c>
      <c r="X22" s="18" t="s">
        <v>3980</v>
      </c>
      <c r="Y22" s="18" t="s">
        <v>3980</v>
      </c>
      <c r="Z22" s="18" t="s">
        <v>3980</v>
      </c>
      <c r="AC22" s="18"/>
      <c r="AD22" s="18"/>
      <c r="AE22" s="13"/>
    </row>
    <row r="23" spans="1:31" x14ac:dyDescent="0.25">
      <c r="A23" s="37" t="s">
        <v>5028</v>
      </c>
      <c r="B23" s="30">
        <v>2014</v>
      </c>
      <c r="C23" s="13">
        <v>6</v>
      </c>
      <c r="D23" s="14">
        <v>4.8000000000000001E-2</v>
      </c>
      <c r="E23" s="14">
        <v>9.8000000000000004E-2</v>
      </c>
      <c r="F23" s="13">
        <v>1</v>
      </c>
      <c r="G23" s="14">
        <v>0</v>
      </c>
      <c r="I23" s="26" t="s">
        <v>364</v>
      </c>
      <c r="J23" s="18" t="s">
        <v>105</v>
      </c>
      <c r="L23" s="9">
        <v>2014</v>
      </c>
      <c r="N23" s="30" t="s">
        <v>181</v>
      </c>
      <c r="O23" s="13" t="s">
        <v>42</v>
      </c>
      <c r="P23" s="13">
        <f t="shared" si="0"/>
        <v>4</v>
      </c>
      <c r="Q23" s="15">
        <f t="shared" si="1"/>
        <v>1.5</v>
      </c>
      <c r="R23" s="13" t="s">
        <v>402</v>
      </c>
      <c r="S23" s="13" t="s">
        <v>859</v>
      </c>
      <c r="T23" s="13" t="s">
        <v>2517</v>
      </c>
      <c r="U23" s="13"/>
      <c r="V23" s="13" t="s">
        <v>3980</v>
      </c>
      <c r="W23" s="13"/>
      <c r="X23" s="13" t="s">
        <v>3980</v>
      </c>
      <c r="Y23" s="13" t="s">
        <v>3980</v>
      </c>
      <c r="Z23" s="13" t="s">
        <v>3980</v>
      </c>
      <c r="AC23" s="18"/>
      <c r="AD23" s="18"/>
      <c r="AE23" s="16"/>
    </row>
    <row r="24" spans="1:31" x14ac:dyDescent="0.25">
      <c r="A24" t="s">
        <v>363</v>
      </c>
      <c r="B24" s="30">
        <v>2011</v>
      </c>
      <c r="C24" s="13">
        <v>46</v>
      </c>
      <c r="D24" s="14">
        <v>0.16900000000000001</v>
      </c>
      <c r="E24" s="14">
        <v>0.33300000000000002</v>
      </c>
      <c r="F24" s="13">
        <v>5</v>
      </c>
      <c r="G24" s="14">
        <v>0.27400000000000002</v>
      </c>
      <c r="H24" s="18" t="s">
        <v>3231</v>
      </c>
      <c r="I24" s="26" t="s">
        <v>364</v>
      </c>
      <c r="J24" s="18" t="s">
        <v>105</v>
      </c>
      <c r="K24" s="4"/>
      <c r="L24" s="9">
        <v>2011</v>
      </c>
      <c r="M24" s="11"/>
      <c r="N24" s="30" t="s">
        <v>186</v>
      </c>
      <c r="O24" s="13" t="s">
        <v>28</v>
      </c>
      <c r="P24" s="13">
        <f t="shared" si="0"/>
        <v>7</v>
      </c>
      <c r="Q24" s="15">
        <f t="shared" si="1"/>
        <v>6.5714285714285712</v>
      </c>
      <c r="R24" s="13" t="s">
        <v>365</v>
      </c>
      <c r="S24" s="13"/>
      <c r="T24" s="13" t="s">
        <v>366</v>
      </c>
      <c r="U24" s="13" t="s">
        <v>367</v>
      </c>
      <c r="V24" s="13" t="s">
        <v>3988</v>
      </c>
      <c r="W24" s="13"/>
      <c r="X24" s="13" t="s">
        <v>4304</v>
      </c>
      <c r="Y24" s="13" t="s">
        <v>3980</v>
      </c>
      <c r="Z24" s="13" t="s">
        <v>3980</v>
      </c>
      <c r="AC24" s="18"/>
      <c r="AD24" s="18"/>
      <c r="AE24" s="13"/>
    </row>
    <row r="25" spans="1:31" x14ac:dyDescent="0.25">
      <c r="A25" s="18" t="s">
        <v>782</v>
      </c>
      <c r="B25" s="30">
        <v>2014</v>
      </c>
      <c r="C25" s="13">
        <v>34</v>
      </c>
      <c r="D25" s="14">
        <v>0.13600000000000001</v>
      </c>
      <c r="E25" s="14">
        <v>0.27300000000000002</v>
      </c>
      <c r="F25" s="13">
        <v>3</v>
      </c>
      <c r="G25" s="14">
        <v>0.13100000000000001</v>
      </c>
      <c r="H25" s="18" t="s">
        <v>3335</v>
      </c>
      <c r="I25" s="26" t="s">
        <v>364</v>
      </c>
      <c r="J25" t="s">
        <v>105</v>
      </c>
      <c r="L25" s="9">
        <v>2014</v>
      </c>
      <c r="N25" s="30" t="s">
        <v>161</v>
      </c>
      <c r="O25" s="13" t="s">
        <v>42</v>
      </c>
      <c r="P25" s="13">
        <f t="shared" si="0"/>
        <v>4</v>
      </c>
      <c r="Q25" s="15">
        <f t="shared" si="1"/>
        <v>8.5</v>
      </c>
      <c r="R25" s="13" t="s">
        <v>783</v>
      </c>
      <c r="S25" s="13"/>
      <c r="T25" s="13" t="s">
        <v>784</v>
      </c>
      <c r="U25" s="13"/>
      <c r="V25" s="13" t="s">
        <v>3980</v>
      </c>
      <c r="W25" s="13"/>
      <c r="X25" s="13" t="s">
        <v>3980</v>
      </c>
      <c r="Y25" s="13" t="s">
        <v>3980</v>
      </c>
      <c r="Z25" s="13" t="s">
        <v>3980</v>
      </c>
      <c r="AC25" s="18"/>
      <c r="AD25" s="18"/>
      <c r="AE25" s="18"/>
    </row>
    <row r="26" spans="1:31" x14ac:dyDescent="0.25">
      <c r="A26" t="s">
        <v>510</v>
      </c>
      <c r="B26" s="30">
        <v>2006</v>
      </c>
      <c r="C26" s="13">
        <v>342</v>
      </c>
      <c r="D26" s="14">
        <v>0.46899999999999997</v>
      </c>
      <c r="E26" s="14">
        <v>0.48699999999999999</v>
      </c>
      <c r="F26" s="13">
        <v>6</v>
      </c>
      <c r="G26" s="14">
        <v>0.32200000000000001</v>
      </c>
      <c r="H26" s="18" t="s">
        <v>3266</v>
      </c>
      <c r="I26" s="26" t="s">
        <v>364</v>
      </c>
      <c r="J26" s="18" t="s">
        <v>54</v>
      </c>
      <c r="L26" s="9">
        <v>2006</v>
      </c>
      <c r="N26" s="30" t="s">
        <v>181</v>
      </c>
      <c r="O26" s="13" t="s">
        <v>42</v>
      </c>
      <c r="P26" s="13">
        <f t="shared" si="0"/>
        <v>12</v>
      </c>
      <c r="Q26" s="15">
        <f t="shared" si="1"/>
        <v>28.5</v>
      </c>
      <c r="R26" s="13" t="s">
        <v>511</v>
      </c>
      <c r="S26" s="13"/>
      <c r="T26" s="13" t="s">
        <v>512</v>
      </c>
      <c r="U26" s="13" t="s">
        <v>513</v>
      </c>
      <c r="V26" s="13" t="s">
        <v>3980</v>
      </c>
      <c r="W26" s="13"/>
      <c r="X26" s="13" t="s">
        <v>4305</v>
      </c>
      <c r="Y26" s="13" t="s">
        <v>3980</v>
      </c>
      <c r="Z26" s="13" t="s">
        <v>3980</v>
      </c>
      <c r="AC26" s="18"/>
      <c r="AD26" s="18"/>
      <c r="AE26" s="13"/>
    </row>
    <row r="27" spans="1:31" x14ac:dyDescent="0.25">
      <c r="A27" s="18" t="s">
        <v>2232</v>
      </c>
      <c r="B27" s="30">
        <v>2013</v>
      </c>
      <c r="C27" s="8">
        <v>24</v>
      </c>
      <c r="D27" s="14">
        <v>0.107</v>
      </c>
      <c r="E27" s="14">
        <v>0.21</v>
      </c>
      <c r="F27" s="8">
        <v>3</v>
      </c>
      <c r="G27" s="14">
        <v>0.13100000000000001</v>
      </c>
      <c r="I27" s="26" t="s">
        <v>364</v>
      </c>
      <c r="J27" s="18" t="s">
        <v>105</v>
      </c>
      <c r="L27" s="9">
        <f>B27</f>
        <v>2013</v>
      </c>
      <c r="N27" s="28" t="s">
        <v>83</v>
      </c>
      <c r="O27" s="13" t="s">
        <v>28</v>
      </c>
      <c r="P27" s="13">
        <f t="shared" si="0"/>
        <v>5</v>
      </c>
      <c r="Q27" s="15">
        <f t="shared" si="1"/>
        <v>4.8</v>
      </c>
      <c r="R27" s="18" t="s">
        <v>1441</v>
      </c>
      <c r="T27" s="18" t="s">
        <v>3753</v>
      </c>
      <c r="V27" s="18" t="s">
        <v>3980</v>
      </c>
      <c r="X27" s="18" t="s">
        <v>3980</v>
      </c>
      <c r="Y27" s="18" t="s">
        <v>3980</v>
      </c>
      <c r="Z27" s="18" t="s">
        <v>3980</v>
      </c>
      <c r="AC27" s="18"/>
      <c r="AD27" s="18"/>
      <c r="AE27" s="13"/>
    </row>
    <row r="28" spans="1:31" x14ac:dyDescent="0.25">
      <c r="A28" s="18" t="s">
        <v>5029</v>
      </c>
      <c r="B28" s="30">
        <v>1993</v>
      </c>
      <c r="C28" s="13">
        <v>573</v>
      </c>
      <c r="D28" s="14">
        <v>0.58699999999999997</v>
      </c>
      <c r="E28" s="14">
        <v>0.32100000000000001</v>
      </c>
      <c r="F28" s="13">
        <v>13</v>
      </c>
      <c r="G28" s="14">
        <v>0.64500000000000002</v>
      </c>
      <c r="H28" s="18" t="s">
        <v>3677</v>
      </c>
      <c r="I28" s="26" t="s">
        <v>2207</v>
      </c>
      <c r="J28" s="18" t="s">
        <v>26</v>
      </c>
      <c r="K28" s="4"/>
      <c r="L28" s="9">
        <v>1993</v>
      </c>
      <c r="N28" s="30" t="s">
        <v>225</v>
      </c>
      <c r="O28" s="13" t="s">
        <v>28</v>
      </c>
      <c r="P28" s="13">
        <f t="shared" si="0"/>
        <v>25</v>
      </c>
      <c r="Q28" s="15">
        <f t="shared" si="1"/>
        <v>22.92</v>
      </c>
      <c r="R28" s="13" t="s">
        <v>84</v>
      </c>
      <c r="S28" s="13" t="s">
        <v>206</v>
      </c>
      <c r="T28" s="13" t="s">
        <v>2523</v>
      </c>
      <c r="U28" s="13" t="s">
        <v>2524</v>
      </c>
      <c r="V28" s="13" t="s">
        <v>3980</v>
      </c>
      <c r="W28" s="13"/>
      <c r="X28" s="13" t="s">
        <v>4306</v>
      </c>
      <c r="Y28" s="13" t="s">
        <v>3980</v>
      </c>
      <c r="Z28" s="13" t="s">
        <v>3980</v>
      </c>
      <c r="AC28" s="18"/>
      <c r="AD28" s="18"/>
      <c r="AE28" s="13"/>
    </row>
    <row r="29" spans="1:31" x14ac:dyDescent="0.25">
      <c r="A29" t="s">
        <v>2404</v>
      </c>
      <c r="B29" s="30">
        <v>2004</v>
      </c>
      <c r="C29" s="13">
        <v>2</v>
      </c>
      <c r="D29" s="14">
        <v>2.3E-2</v>
      </c>
      <c r="E29" s="14">
        <v>0.02</v>
      </c>
      <c r="F29" s="13">
        <v>1</v>
      </c>
      <c r="G29" s="14">
        <v>0</v>
      </c>
      <c r="I29" s="26" t="s">
        <v>2207</v>
      </c>
      <c r="J29" s="18" t="s">
        <v>54</v>
      </c>
      <c r="L29" s="9">
        <v>2004</v>
      </c>
      <c r="M29" s="11"/>
      <c r="N29" s="30" t="s">
        <v>2207</v>
      </c>
      <c r="O29" s="13" t="s">
        <v>28</v>
      </c>
      <c r="P29" s="13">
        <f t="shared" si="0"/>
        <v>14</v>
      </c>
      <c r="Q29" s="15">
        <f t="shared" si="1"/>
        <v>0.14285714285714285</v>
      </c>
      <c r="R29" s="13" t="s">
        <v>2405</v>
      </c>
      <c r="S29" s="13"/>
      <c r="T29" s="13" t="s">
        <v>2406</v>
      </c>
      <c r="U29" s="13" t="s">
        <v>2407</v>
      </c>
      <c r="V29" s="13" t="s">
        <v>3989</v>
      </c>
      <c r="W29" s="13"/>
      <c r="X29" s="13" t="s">
        <v>4307</v>
      </c>
      <c r="Y29" s="13" t="s">
        <v>3980</v>
      </c>
      <c r="Z29" s="13" t="s">
        <v>3980</v>
      </c>
      <c r="AC29" s="18"/>
      <c r="AD29" s="18"/>
      <c r="AE29" s="16"/>
    </row>
    <row r="30" spans="1:31" x14ac:dyDescent="0.25">
      <c r="A30" t="s">
        <v>4856</v>
      </c>
      <c r="B30" s="30">
        <v>1974</v>
      </c>
      <c r="C30" s="13">
        <v>15</v>
      </c>
      <c r="D30" s="14">
        <v>8.5999999999999993E-2</v>
      </c>
      <c r="E30" s="14">
        <v>3.5999999999999997E-2</v>
      </c>
      <c r="F30" s="13">
        <v>2</v>
      </c>
      <c r="G30" s="14">
        <v>7.0999999999999994E-2</v>
      </c>
      <c r="I30" s="26" t="s">
        <v>2207</v>
      </c>
      <c r="J30" s="18" t="s">
        <v>26</v>
      </c>
      <c r="L30" s="9">
        <v>1974</v>
      </c>
      <c r="N30" s="30" t="s">
        <v>220</v>
      </c>
      <c r="O30" s="13" t="s">
        <v>28</v>
      </c>
      <c r="P30" s="13">
        <f t="shared" si="0"/>
        <v>44</v>
      </c>
      <c r="Q30" s="15">
        <f t="shared" si="1"/>
        <v>0.34090909090909088</v>
      </c>
      <c r="R30" s="13" t="s">
        <v>657</v>
      </c>
      <c r="S30" s="13" t="s">
        <v>480</v>
      </c>
      <c r="T30" s="13" t="s">
        <v>3060</v>
      </c>
      <c r="U30" s="13" t="s">
        <v>3061</v>
      </c>
      <c r="V30" s="13" t="s">
        <v>3980</v>
      </c>
      <c r="W30" s="13"/>
      <c r="X30" s="13" t="s">
        <v>4308</v>
      </c>
      <c r="Y30" s="13" t="s">
        <v>3980</v>
      </c>
      <c r="Z30" s="13" t="s">
        <v>3980</v>
      </c>
      <c r="AC30" s="18"/>
      <c r="AD30" s="18"/>
      <c r="AE30" s="13"/>
    </row>
    <row r="31" spans="1:31" x14ac:dyDescent="0.25">
      <c r="A31" s="28" t="s">
        <v>5037</v>
      </c>
      <c r="B31" s="30">
        <v>1995</v>
      </c>
      <c r="C31" s="13">
        <v>539</v>
      </c>
      <c r="D31" s="14">
        <v>0.57099999999999995</v>
      </c>
      <c r="E31" s="14">
        <v>0.312</v>
      </c>
      <c r="F31" s="13">
        <v>12</v>
      </c>
      <c r="G31" s="14">
        <v>0.60899999999999999</v>
      </c>
      <c r="I31" s="26" t="s">
        <v>2207</v>
      </c>
      <c r="J31" s="18" t="s">
        <v>26</v>
      </c>
      <c r="L31" s="9">
        <v>1995</v>
      </c>
      <c r="N31" s="30" t="s">
        <v>3160</v>
      </c>
      <c r="O31" s="13" t="s">
        <v>28</v>
      </c>
      <c r="P31" s="13">
        <f t="shared" si="0"/>
        <v>23</v>
      </c>
      <c r="Q31" s="15">
        <f t="shared" si="1"/>
        <v>23.434782608695652</v>
      </c>
      <c r="R31" s="13" t="s">
        <v>2426</v>
      </c>
      <c r="S31" s="13" t="s">
        <v>2427</v>
      </c>
      <c r="T31" s="13" t="s">
        <v>2428</v>
      </c>
      <c r="U31" s="13"/>
      <c r="V31" s="13" t="s">
        <v>3980</v>
      </c>
      <c r="W31" s="13"/>
      <c r="X31" s="13" t="s">
        <v>3980</v>
      </c>
      <c r="Y31" s="13" t="s">
        <v>3980</v>
      </c>
      <c r="Z31" s="13" t="s">
        <v>3980</v>
      </c>
      <c r="AC31" s="18"/>
      <c r="AD31" s="18"/>
      <c r="AE31" s="16"/>
    </row>
    <row r="32" spans="1:31" x14ac:dyDescent="0.25">
      <c r="A32" t="s">
        <v>5097</v>
      </c>
      <c r="B32" s="30">
        <v>1982</v>
      </c>
      <c r="C32" s="13">
        <v>1</v>
      </c>
      <c r="D32" s="14">
        <v>0</v>
      </c>
      <c r="E32" s="14">
        <v>0</v>
      </c>
      <c r="F32" s="13">
        <v>1</v>
      </c>
      <c r="G32" s="14">
        <v>0</v>
      </c>
      <c r="I32" s="26" t="s">
        <v>2207</v>
      </c>
      <c r="J32" s="18" t="s">
        <v>54</v>
      </c>
      <c r="K32" s="4"/>
      <c r="L32" s="9">
        <v>1982</v>
      </c>
      <c r="N32" s="30" t="s">
        <v>2207</v>
      </c>
      <c r="O32" s="13" t="s">
        <v>28</v>
      </c>
      <c r="P32" s="13">
        <f t="shared" si="0"/>
        <v>36</v>
      </c>
      <c r="Q32" s="15">
        <f t="shared" si="1"/>
        <v>2.7777777777777776E-2</v>
      </c>
      <c r="R32" s="13" t="s">
        <v>718</v>
      </c>
      <c r="S32" s="13" t="s">
        <v>2469</v>
      </c>
      <c r="T32" s="13" t="s">
        <v>2856</v>
      </c>
      <c r="U32" s="13" t="s">
        <v>2857</v>
      </c>
      <c r="V32" s="13" t="s">
        <v>3980</v>
      </c>
      <c r="W32" s="13"/>
      <c r="X32" s="13" t="s">
        <v>4309</v>
      </c>
      <c r="Y32" s="13" t="s">
        <v>3980</v>
      </c>
      <c r="Z32" s="13" t="s">
        <v>3980</v>
      </c>
      <c r="AC32" s="18"/>
      <c r="AD32" s="18"/>
      <c r="AE32" s="13"/>
    </row>
    <row r="33" spans="1:31" x14ac:dyDescent="0.25">
      <c r="A33" s="18" t="s">
        <v>2206</v>
      </c>
      <c r="B33" s="30">
        <v>2015</v>
      </c>
      <c r="C33" s="13">
        <v>10</v>
      </c>
      <c r="D33" s="14">
        <v>6.9000000000000006E-2</v>
      </c>
      <c r="E33" s="14">
        <v>0.13600000000000001</v>
      </c>
      <c r="F33" s="13">
        <v>2</v>
      </c>
      <c r="G33" s="14">
        <v>7.0999999999999994E-2</v>
      </c>
      <c r="I33" s="26" t="s">
        <v>2207</v>
      </c>
      <c r="J33" s="18" t="s">
        <v>105</v>
      </c>
      <c r="L33" s="9">
        <v>2015</v>
      </c>
      <c r="N33" s="30" t="s">
        <v>72</v>
      </c>
      <c r="O33" s="13" t="s">
        <v>28</v>
      </c>
      <c r="P33" s="13">
        <f t="shared" si="0"/>
        <v>3</v>
      </c>
      <c r="Q33" s="15">
        <f t="shared" si="1"/>
        <v>3.3333333333333335</v>
      </c>
      <c r="R33" s="13" t="s">
        <v>808</v>
      </c>
      <c r="S33" s="13"/>
      <c r="T33" s="13" t="s">
        <v>2208</v>
      </c>
      <c r="U33" s="13"/>
      <c r="V33" s="13" t="s">
        <v>3980</v>
      </c>
      <c r="W33" s="13"/>
      <c r="X33" s="13" t="s">
        <v>3980</v>
      </c>
      <c r="Y33" s="13" t="s">
        <v>3980</v>
      </c>
      <c r="Z33" s="13" t="s">
        <v>3980</v>
      </c>
      <c r="AC33" s="18"/>
      <c r="AD33" s="18"/>
      <c r="AE33" s="13"/>
    </row>
    <row r="34" spans="1:31" x14ac:dyDescent="0.25">
      <c r="A34" s="18" t="s">
        <v>2829</v>
      </c>
      <c r="B34" s="30">
        <v>2012</v>
      </c>
      <c r="C34" s="13">
        <v>72</v>
      </c>
      <c r="D34" s="14">
        <v>0.219</v>
      </c>
      <c r="E34" s="14">
        <v>0.41699999999999998</v>
      </c>
      <c r="F34" s="13">
        <v>4</v>
      </c>
      <c r="G34" s="14">
        <v>0.19600000000000001</v>
      </c>
      <c r="I34" s="26" t="s">
        <v>2207</v>
      </c>
      <c r="J34" s="18" t="s">
        <v>105</v>
      </c>
      <c r="L34" s="9">
        <v>2012</v>
      </c>
      <c r="N34" s="30" t="s">
        <v>2830</v>
      </c>
      <c r="O34" s="13" t="s">
        <v>42</v>
      </c>
      <c r="P34" s="13">
        <f t="shared" si="0"/>
        <v>6</v>
      </c>
      <c r="Q34" s="15">
        <f t="shared" si="1"/>
        <v>12</v>
      </c>
      <c r="R34" s="13" t="s">
        <v>2831</v>
      </c>
      <c r="S34" s="13"/>
      <c r="T34" s="13" t="s">
        <v>2832</v>
      </c>
      <c r="U34" s="13"/>
      <c r="V34" s="13" t="s">
        <v>3990</v>
      </c>
      <c r="W34" s="13"/>
      <c r="X34" s="13" t="s">
        <v>4310</v>
      </c>
      <c r="Y34" s="13" t="s">
        <v>3980</v>
      </c>
      <c r="Z34" s="13" t="s">
        <v>3980</v>
      </c>
      <c r="AC34" s="18"/>
      <c r="AD34" s="18"/>
      <c r="AE34" s="18"/>
    </row>
    <row r="35" spans="1:31" x14ac:dyDescent="0.25">
      <c r="A35" s="18" t="s">
        <v>81</v>
      </c>
      <c r="B35" s="30">
        <v>2000</v>
      </c>
      <c r="C35" s="13">
        <v>254</v>
      </c>
      <c r="D35" s="14">
        <v>0.41899999999999998</v>
      </c>
      <c r="E35" s="14">
        <v>0.214</v>
      </c>
      <c r="F35" s="13">
        <v>6</v>
      </c>
      <c r="G35" s="14">
        <v>0.32200000000000001</v>
      </c>
      <c r="H35" s="18" t="s">
        <v>3171</v>
      </c>
      <c r="I35" s="26" t="s">
        <v>82</v>
      </c>
      <c r="J35" s="18" t="s">
        <v>26</v>
      </c>
      <c r="L35" s="9">
        <v>2000</v>
      </c>
      <c r="N35" s="30" t="s">
        <v>83</v>
      </c>
      <c r="O35" s="13" t="s">
        <v>28</v>
      </c>
      <c r="P35" s="13">
        <f t="shared" si="0"/>
        <v>18</v>
      </c>
      <c r="Q35" s="15">
        <f t="shared" si="1"/>
        <v>14.111111111111111</v>
      </c>
      <c r="R35" s="13" t="s">
        <v>84</v>
      </c>
      <c r="S35" s="13"/>
      <c r="T35" s="13" t="s">
        <v>85</v>
      </c>
      <c r="U35" s="13" t="s">
        <v>86</v>
      </c>
      <c r="V35" s="13" t="s">
        <v>3980</v>
      </c>
      <c r="W35" s="13"/>
      <c r="X35" s="13" t="s">
        <v>4311</v>
      </c>
      <c r="Y35" s="13" t="s">
        <v>3980</v>
      </c>
      <c r="Z35" s="13" t="s">
        <v>3980</v>
      </c>
      <c r="AC35" s="18"/>
      <c r="AD35" s="18"/>
      <c r="AE35" s="13"/>
    </row>
    <row r="36" spans="1:31" x14ac:dyDescent="0.25">
      <c r="A36" s="18" t="s">
        <v>2019</v>
      </c>
      <c r="B36" s="30">
        <v>1978</v>
      </c>
      <c r="C36" s="13">
        <v>319</v>
      </c>
      <c r="D36" s="14">
        <v>0.46100000000000002</v>
      </c>
      <c r="E36" s="14">
        <v>0.252</v>
      </c>
      <c r="F36" s="13">
        <v>9</v>
      </c>
      <c r="G36" s="14">
        <v>0.48799999999999999</v>
      </c>
      <c r="I36" s="26" t="s">
        <v>82</v>
      </c>
      <c r="J36" s="18" t="s">
        <v>26</v>
      </c>
      <c r="K36" s="4"/>
      <c r="L36" s="9">
        <v>1978</v>
      </c>
      <c r="N36" s="30" t="s">
        <v>88</v>
      </c>
      <c r="O36" s="13" t="s">
        <v>42</v>
      </c>
      <c r="P36" s="13">
        <f t="shared" si="0"/>
        <v>40</v>
      </c>
      <c r="Q36" s="15">
        <f t="shared" si="1"/>
        <v>7.9749999999999996</v>
      </c>
      <c r="R36" s="13" t="s">
        <v>2020</v>
      </c>
      <c r="S36" s="13"/>
      <c r="T36" s="13" t="s">
        <v>2021</v>
      </c>
      <c r="U36" s="13" t="s">
        <v>2022</v>
      </c>
      <c r="V36" s="13" t="s">
        <v>3980</v>
      </c>
      <c r="W36" s="13"/>
      <c r="X36" s="13" t="s">
        <v>4312</v>
      </c>
      <c r="Y36" s="13" t="s">
        <v>3980</v>
      </c>
      <c r="Z36" s="13" t="s">
        <v>3980</v>
      </c>
      <c r="AC36" s="18"/>
      <c r="AD36" s="18"/>
      <c r="AE36" s="13"/>
    </row>
    <row r="37" spans="1:31" x14ac:dyDescent="0.25">
      <c r="A37" s="18" t="s">
        <v>1462</v>
      </c>
      <c r="B37" s="30">
        <v>2006</v>
      </c>
      <c r="C37" s="13">
        <v>330</v>
      </c>
      <c r="D37" s="14">
        <v>0.46500000000000002</v>
      </c>
      <c r="E37" s="14">
        <v>0.47799999999999998</v>
      </c>
      <c r="F37" s="13">
        <v>6</v>
      </c>
      <c r="G37" s="14">
        <v>0.32200000000000001</v>
      </c>
      <c r="I37" s="26" t="s">
        <v>82</v>
      </c>
      <c r="J37" s="18" t="s">
        <v>54</v>
      </c>
      <c r="L37" s="9">
        <v>2006</v>
      </c>
      <c r="N37" s="30" t="s">
        <v>168</v>
      </c>
      <c r="O37" s="13" t="s">
        <v>42</v>
      </c>
      <c r="P37" s="13">
        <f t="shared" si="0"/>
        <v>12</v>
      </c>
      <c r="Q37" s="15">
        <f t="shared" si="1"/>
        <v>27.5</v>
      </c>
      <c r="R37" s="13" t="s">
        <v>1463</v>
      </c>
      <c r="S37" s="13"/>
      <c r="T37" s="13" t="s">
        <v>1464</v>
      </c>
      <c r="U37" s="13" t="s">
        <v>1465</v>
      </c>
      <c r="V37" s="13" t="s">
        <v>3991</v>
      </c>
      <c r="W37" s="13"/>
      <c r="X37" s="13" t="s">
        <v>4313</v>
      </c>
      <c r="Y37" s="13" t="s">
        <v>3980</v>
      </c>
      <c r="Z37" s="13" t="s">
        <v>3980</v>
      </c>
      <c r="AC37" s="18"/>
      <c r="AD37" s="18"/>
      <c r="AE37" s="13"/>
    </row>
    <row r="38" spans="1:31" x14ac:dyDescent="0.25">
      <c r="A38" s="26" t="s">
        <v>1427</v>
      </c>
      <c r="B38" s="30">
        <v>2015</v>
      </c>
      <c r="C38" s="13">
        <v>90</v>
      </c>
      <c r="D38" s="14">
        <v>0.24199999999999999</v>
      </c>
      <c r="E38" s="14">
        <v>0.46300000000000002</v>
      </c>
      <c r="F38" s="13">
        <v>5</v>
      </c>
      <c r="G38" s="14">
        <v>0.27400000000000002</v>
      </c>
      <c r="H38" s="18" t="s">
        <v>3525</v>
      </c>
      <c r="I38" s="26" t="s">
        <v>82</v>
      </c>
      <c r="J38" s="18" t="s">
        <v>105</v>
      </c>
      <c r="L38" s="9">
        <f>B38</f>
        <v>2015</v>
      </c>
      <c r="M38" s="11"/>
      <c r="N38" s="30" t="s">
        <v>290</v>
      </c>
      <c r="O38" s="13" t="s">
        <v>28</v>
      </c>
      <c r="P38" s="13">
        <f t="shared" si="0"/>
        <v>3</v>
      </c>
      <c r="Q38" s="15">
        <f t="shared" si="1"/>
        <v>30</v>
      </c>
      <c r="R38" s="13" t="s">
        <v>1428</v>
      </c>
      <c r="S38" s="13"/>
      <c r="T38" s="13" t="s">
        <v>1429</v>
      </c>
      <c r="U38" s="13"/>
      <c r="V38" s="13" t="s">
        <v>3980</v>
      </c>
      <c r="W38" s="13"/>
      <c r="X38" s="13" t="s">
        <v>3980</v>
      </c>
      <c r="Y38" s="13" t="s">
        <v>3980</v>
      </c>
      <c r="Z38" s="13" t="s">
        <v>3980</v>
      </c>
      <c r="AC38" s="18"/>
      <c r="AD38" s="18"/>
      <c r="AE38" s="13"/>
    </row>
    <row r="39" spans="1:31" x14ac:dyDescent="0.25">
      <c r="A39" s="18" t="s">
        <v>2288</v>
      </c>
      <c r="B39" s="30">
        <v>2007</v>
      </c>
      <c r="C39" s="13">
        <v>101</v>
      </c>
      <c r="D39" s="14">
        <v>0.26500000000000001</v>
      </c>
      <c r="E39" s="14">
        <v>0.22900000000000001</v>
      </c>
      <c r="F39" s="13">
        <v>5</v>
      </c>
      <c r="G39" s="14">
        <v>0.27400000000000002</v>
      </c>
      <c r="I39" s="26" t="s">
        <v>82</v>
      </c>
      <c r="J39" s="18" t="s">
        <v>54</v>
      </c>
      <c r="L39" s="9">
        <v>2007</v>
      </c>
      <c r="N39" s="30" t="s">
        <v>88</v>
      </c>
      <c r="O39" s="13" t="s">
        <v>42</v>
      </c>
      <c r="P39" s="13">
        <f t="shared" si="0"/>
        <v>11</v>
      </c>
      <c r="Q39" s="15">
        <f t="shared" si="1"/>
        <v>9.1818181818181817</v>
      </c>
      <c r="R39" s="13" t="s">
        <v>997</v>
      </c>
      <c r="S39" s="13"/>
      <c r="T39" s="13" t="s">
        <v>2289</v>
      </c>
      <c r="U39" s="13" t="s">
        <v>2290</v>
      </c>
      <c r="V39" s="13" t="s">
        <v>3980</v>
      </c>
      <c r="W39" s="13"/>
      <c r="X39" s="13" t="s">
        <v>4314</v>
      </c>
      <c r="Y39" s="13" t="s">
        <v>3980</v>
      </c>
      <c r="Z39" s="13" t="s">
        <v>3980</v>
      </c>
      <c r="AC39" s="18"/>
      <c r="AD39" s="18"/>
      <c r="AE39" s="16"/>
    </row>
    <row r="40" spans="1:31" x14ac:dyDescent="0.25">
      <c r="A40" s="18" t="s">
        <v>1765</v>
      </c>
      <c r="B40" s="30">
        <v>2004</v>
      </c>
      <c r="C40" s="13">
        <v>197</v>
      </c>
      <c r="D40" s="14">
        <v>0.378</v>
      </c>
      <c r="E40" s="14">
        <v>0.184</v>
      </c>
      <c r="F40" s="13">
        <v>7</v>
      </c>
      <c r="G40" s="14">
        <v>0.39300000000000002</v>
      </c>
      <c r="I40" s="26" t="s">
        <v>82</v>
      </c>
      <c r="J40" s="18" t="s">
        <v>26</v>
      </c>
      <c r="K40" s="4"/>
      <c r="L40" s="9">
        <v>2004</v>
      </c>
      <c r="N40" s="30" t="s">
        <v>41</v>
      </c>
      <c r="O40" s="13" t="s">
        <v>28</v>
      </c>
      <c r="P40" s="13">
        <f t="shared" si="0"/>
        <v>14</v>
      </c>
      <c r="Q40" s="15">
        <f t="shared" si="1"/>
        <v>14.071428571428571</v>
      </c>
      <c r="R40" s="13" t="s">
        <v>1766</v>
      </c>
      <c r="S40" s="13"/>
      <c r="T40" s="13" t="s">
        <v>1767</v>
      </c>
      <c r="U40" s="13" t="s">
        <v>1768</v>
      </c>
      <c r="V40" s="13" t="s">
        <v>3992</v>
      </c>
      <c r="W40" s="13"/>
      <c r="X40" s="13" t="s">
        <v>3980</v>
      </c>
      <c r="Y40" s="13" t="s">
        <v>3980</v>
      </c>
      <c r="Z40" s="13" t="s">
        <v>3980</v>
      </c>
      <c r="AC40" s="18"/>
      <c r="AD40" s="18"/>
      <c r="AE40" s="13"/>
    </row>
    <row r="41" spans="1:31" x14ac:dyDescent="0.25">
      <c r="A41" s="18" t="s">
        <v>5126</v>
      </c>
      <c r="B41" s="30">
        <v>1991</v>
      </c>
      <c r="C41" s="13">
        <v>1563</v>
      </c>
      <c r="D41" s="14">
        <v>0.79600000000000004</v>
      </c>
      <c r="E41" s="14">
        <v>0.58699999999999997</v>
      </c>
      <c r="F41" s="13">
        <v>15</v>
      </c>
      <c r="G41" s="14">
        <v>0.71</v>
      </c>
      <c r="H41" s="18" t="s">
        <v>3332</v>
      </c>
      <c r="I41" s="26" t="s">
        <v>82</v>
      </c>
      <c r="J41" s="18" t="s">
        <v>26</v>
      </c>
      <c r="L41" s="9">
        <v>1991</v>
      </c>
      <c r="N41" s="30" t="s">
        <v>769</v>
      </c>
      <c r="O41" s="13" t="s">
        <v>28</v>
      </c>
      <c r="P41" s="13">
        <f t="shared" si="0"/>
        <v>27</v>
      </c>
      <c r="Q41" s="15">
        <f t="shared" si="1"/>
        <v>57.888888888888886</v>
      </c>
      <c r="R41" s="13" t="s">
        <v>770</v>
      </c>
      <c r="S41" s="13" t="s">
        <v>771</v>
      </c>
      <c r="T41" s="13" t="s">
        <v>772</v>
      </c>
      <c r="U41" s="13" t="s">
        <v>773</v>
      </c>
      <c r="V41" s="13" t="s">
        <v>3993</v>
      </c>
      <c r="W41" s="13"/>
      <c r="X41" s="13" t="s">
        <v>4315</v>
      </c>
      <c r="Y41" s="13" t="s">
        <v>3980</v>
      </c>
      <c r="Z41" s="13" t="s">
        <v>3980</v>
      </c>
      <c r="AC41" s="18"/>
      <c r="AD41" s="18"/>
      <c r="AE41" s="16"/>
    </row>
    <row r="42" spans="1:31" x14ac:dyDescent="0.25">
      <c r="A42" s="18" t="s">
        <v>5137</v>
      </c>
      <c r="B42" s="30">
        <v>1990</v>
      </c>
      <c r="C42" s="13">
        <v>259</v>
      </c>
      <c r="D42" s="14">
        <v>0.42</v>
      </c>
      <c r="E42" s="14">
        <v>0.216</v>
      </c>
      <c r="F42" s="13">
        <v>9</v>
      </c>
      <c r="G42" s="14">
        <v>0.48799999999999999</v>
      </c>
      <c r="I42" s="26" t="s">
        <v>82</v>
      </c>
      <c r="J42" s="18" t="s">
        <v>26</v>
      </c>
      <c r="L42" s="9">
        <v>1990</v>
      </c>
      <c r="N42" s="30" t="s">
        <v>88</v>
      </c>
      <c r="O42" s="13" t="s">
        <v>28</v>
      </c>
      <c r="P42" s="13">
        <f t="shared" si="0"/>
        <v>28</v>
      </c>
      <c r="Q42" s="15">
        <f t="shared" si="1"/>
        <v>9.25</v>
      </c>
      <c r="R42" s="13" t="s">
        <v>1432</v>
      </c>
      <c r="S42" s="13" t="s">
        <v>62</v>
      </c>
      <c r="T42" s="13" t="s">
        <v>3010</v>
      </c>
      <c r="U42" s="13"/>
      <c r="V42" s="13" t="s">
        <v>3994</v>
      </c>
      <c r="W42" s="13"/>
      <c r="X42" s="13" t="s">
        <v>4316</v>
      </c>
      <c r="Y42" s="13" t="s">
        <v>3980</v>
      </c>
      <c r="Z42" s="13" t="s">
        <v>3980</v>
      </c>
      <c r="AC42" s="18"/>
      <c r="AD42" s="18"/>
      <c r="AE42" s="1"/>
    </row>
    <row r="43" spans="1:31" x14ac:dyDescent="0.25">
      <c r="A43" s="18" t="s">
        <v>1867</v>
      </c>
      <c r="B43" s="30">
        <v>2012</v>
      </c>
      <c r="C43" s="8">
        <v>1</v>
      </c>
      <c r="D43" s="14">
        <v>0</v>
      </c>
      <c r="E43" s="14">
        <v>0</v>
      </c>
      <c r="F43" s="8">
        <v>1</v>
      </c>
      <c r="G43" s="14">
        <v>0</v>
      </c>
      <c r="I43" s="26" t="s">
        <v>1076</v>
      </c>
      <c r="J43" s="18" t="s">
        <v>105</v>
      </c>
      <c r="L43" s="9">
        <f>B43</f>
        <v>2012</v>
      </c>
      <c r="N43" s="28" t="s">
        <v>98</v>
      </c>
      <c r="O43" s="13" t="s">
        <v>42</v>
      </c>
      <c r="P43" s="13">
        <f t="shared" si="0"/>
        <v>6</v>
      </c>
      <c r="Q43" s="15">
        <f t="shared" si="1"/>
        <v>0.16666666666666666</v>
      </c>
      <c r="R43" s="18" t="s">
        <v>3746</v>
      </c>
      <c r="T43" s="18" t="s">
        <v>3747</v>
      </c>
      <c r="V43" s="18" t="s">
        <v>3980</v>
      </c>
      <c r="X43" s="18" t="s">
        <v>3980</v>
      </c>
      <c r="Y43" s="18" t="s">
        <v>3980</v>
      </c>
      <c r="Z43" s="18" t="s">
        <v>3980</v>
      </c>
      <c r="AC43" s="18"/>
      <c r="AD43" s="18"/>
      <c r="AE43" s="13"/>
    </row>
    <row r="44" spans="1:31" x14ac:dyDescent="0.25">
      <c r="A44" t="s">
        <v>4909</v>
      </c>
      <c r="B44" s="30">
        <v>1986</v>
      </c>
      <c r="C44" s="13">
        <v>11</v>
      </c>
      <c r="D44" s="14">
        <v>7.4999999999999997E-2</v>
      </c>
      <c r="E44" s="14">
        <v>2.7E-2</v>
      </c>
      <c r="F44" s="13">
        <v>1</v>
      </c>
      <c r="G44" s="14">
        <v>0</v>
      </c>
      <c r="I44" s="26" t="s">
        <v>1076</v>
      </c>
      <c r="J44" s="18" t="s">
        <v>26</v>
      </c>
      <c r="K44" s="4"/>
      <c r="L44" s="9">
        <v>1986</v>
      </c>
      <c r="N44" s="30" t="s">
        <v>67</v>
      </c>
      <c r="O44" s="13" t="s">
        <v>28</v>
      </c>
      <c r="P44" s="13">
        <f t="shared" si="0"/>
        <v>32</v>
      </c>
      <c r="Q44" s="15">
        <f t="shared" si="1"/>
        <v>0.34375</v>
      </c>
      <c r="R44" s="13" t="s">
        <v>1942</v>
      </c>
      <c r="S44" s="13" t="s">
        <v>1636</v>
      </c>
      <c r="T44" s="13" t="s">
        <v>1943</v>
      </c>
      <c r="U44" s="13" t="s">
        <v>1944</v>
      </c>
      <c r="V44" s="13" t="s">
        <v>3980</v>
      </c>
      <c r="W44" s="13"/>
      <c r="X44" s="13" t="s">
        <v>4317</v>
      </c>
      <c r="Y44" s="13" t="s">
        <v>3980</v>
      </c>
      <c r="Z44" s="13" t="s">
        <v>3980</v>
      </c>
      <c r="AC44" s="18"/>
      <c r="AD44" s="18"/>
      <c r="AE44" s="13"/>
    </row>
    <row r="45" spans="1:31" x14ac:dyDescent="0.25">
      <c r="A45" s="18" t="s">
        <v>2247</v>
      </c>
      <c r="B45" s="30">
        <v>1992</v>
      </c>
      <c r="C45" s="13">
        <v>1</v>
      </c>
      <c r="D45" s="14">
        <v>0</v>
      </c>
      <c r="E45" s="14">
        <v>0</v>
      </c>
      <c r="F45" s="13">
        <v>1</v>
      </c>
      <c r="G45" s="14">
        <v>0</v>
      </c>
      <c r="I45" s="26" t="s">
        <v>1076</v>
      </c>
      <c r="J45" s="18" t="s">
        <v>26</v>
      </c>
      <c r="L45" s="9">
        <v>1992</v>
      </c>
      <c r="M45" s="11"/>
      <c r="N45" s="30" t="s">
        <v>41</v>
      </c>
      <c r="O45" s="13" t="s">
        <v>42</v>
      </c>
      <c r="P45" s="13">
        <f t="shared" si="0"/>
        <v>26</v>
      </c>
      <c r="Q45" s="15">
        <f t="shared" si="1"/>
        <v>3.8461538461538464E-2</v>
      </c>
      <c r="R45" s="13" t="s">
        <v>2248</v>
      </c>
      <c r="S45" s="13"/>
      <c r="T45" s="13" t="s">
        <v>2249</v>
      </c>
      <c r="U45" s="13" t="s">
        <v>2250</v>
      </c>
      <c r="V45" s="13" t="s">
        <v>3980</v>
      </c>
      <c r="W45" s="13"/>
      <c r="X45" s="13" t="s">
        <v>4318</v>
      </c>
      <c r="Y45" s="13" t="s">
        <v>3980</v>
      </c>
      <c r="Z45" s="13" t="s">
        <v>3980</v>
      </c>
      <c r="AC45" s="18"/>
      <c r="AD45" s="18"/>
      <c r="AE45" s="1"/>
    </row>
    <row r="46" spans="1:31" x14ac:dyDescent="0.25">
      <c r="A46" s="18" t="s">
        <v>1102</v>
      </c>
      <c r="B46" s="30">
        <v>2011</v>
      </c>
      <c r="C46" s="13">
        <v>32</v>
      </c>
      <c r="D46" s="14">
        <v>0.13200000000000001</v>
      </c>
      <c r="E46" s="14">
        <v>0.26300000000000001</v>
      </c>
      <c r="F46" s="13">
        <v>3</v>
      </c>
      <c r="G46" s="14">
        <v>0.13100000000000001</v>
      </c>
      <c r="H46" s="18" t="s">
        <v>3429</v>
      </c>
      <c r="I46" s="26" t="s">
        <v>1076</v>
      </c>
      <c r="J46" s="18" t="s">
        <v>105</v>
      </c>
      <c r="L46" s="9">
        <v>2011</v>
      </c>
      <c r="M46" s="11"/>
      <c r="N46" s="30" t="s">
        <v>765</v>
      </c>
      <c r="O46" s="13" t="s">
        <v>28</v>
      </c>
      <c r="P46" s="13">
        <f t="shared" si="0"/>
        <v>7</v>
      </c>
      <c r="Q46" s="15">
        <f t="shared" si="1"/>
        <v>4.5714285714285712</v>
      </c>
      <c r="R46" s="13" t="s">
        <v>1103</v>
      </c>
      <c r="S46" s="13"/>
      <c r="T46" s="13" t="s">
        <v>1104</v>
      </c>
      <c r="U46" s="13" t="s">
        <v>348</v>
      </c>
      <c r="V46" s="13" t="s">
        <v>3980</v>
      </c>
      <c r="W46" s="13"/>
      <c r="X46" s="13" t="s">
        <v>3980</v>
      </c>
      <c r="Y46" s="13" t="s">
        <v>3980</v>
      </c>
      <c r="Z46" s="13" t="s">
        <v>3980</v>
      </c>
      <c r="AC46" s="18"/>
      <c r="AD46" s="18"/>
      <c r="AE46" s="13"/>
    </row>
    <row r="47" spans="1:31" x14ac:dyDescent="0.25">
      <c r="A47" s="18" t="s">
        <v>3644</v>
      </c>
      <c r="B47" s="30">
        <v>2005</v>
      </c>
      <c r="C47" s="8">
        <v>38</v>
      </c>
      <c r="D47" s="14">
        <v>0.14799999999999999</v>
      </c>
      <c r="E47" s="14">
        <v>0.29799999999999999</v>
      </c>
      <c r="F47" s="8">
        <v>4</v>
      </c>
      <c r="G47" s="14">
        <v>0.19600000000000001</v>
      </c>
      <c r="H47" s="18" t="s">
        <v>4818</v>
      </c>
      <c r="I47" s="26" t="s">
        <v>1076</v>
      </c>
      <c r="J47" s="18" t="s">
        <v>105</v>
      </c>
      <c r="L47" s="9">
        <f>B47</f>
        <v>2005</v>
      </c>
      <c r="N47" s="28" t="s">
        <v>830</v>
      </c>
      <c r="O47" s="13" t="s">
        <v>28</v>
      </c>
      <c r="P47" s="13">
        <f t="shared" si="0"/>
        <v>13</v>
      </c>
      <c r="Q47" s="15">
        <f t="shared" si="1"/>
        <v>2.9230769230769229</v>
      </c>
      <c r="R47" s="18" t="s">
        <v>3748</v>
      </c>
      <c r="T47" s="18" t="s">
        <v>320</v>
      </c>
      <c r="V47" s="18" t="s">
        <v>3980</v>
      </c>
      <c r="X47" s="18" t="s">
        <v>3980</v>
      </c>
      <c r="Y47" s="18" t="s">
        <v>3980</v>
      </c>
      <c r="Z47" s="18" t="s">
        <v>3980</v>
      </c>
      <c r="AC47" s="18"/>
      <c r="AD47" s="18"/>
      <c r="AE47" s="1"/>
    </row>
    <row r="48" spans="1:31" x14ac:dyDescent="0.25">
      <c r="A48" s="18" t="s">
        <v>1769</v>
      </c>
      <c r="B48" s="30">
        <v>2014</v>
      </c>
      <c r="C48" s="13">
        <v>3</v>
      </c>
      <c r="D48" s="14">
        <v>3.2000000000000001E-2</v>
      </c>
      <c r="E48" s="14">
        <v>6.6000000000000003E-2</v>
      </c>
      <c r="F48" s="13">
        <v>1</v>
      </c>
      <c r="G48" s="14">
        <v>0</v>
      </c>
      <c r="I48" s="26" t="s">
        <v>1076</v>
      </c>
      <c r="J48" s="18" t="s">
        <v>105</v>
      </c>
      <c r="L48" s="9">
        <v>2014</v>
      </c>
      <c r="N48" s="30" t="s">
        <v>152</v>
      </c>
      <c r="O48" s="13" t="s">
        <v>42</v>
      </c>
      <c r="P48" s="13">
        <f t="shared" si="0"/>
        <v>4</v>
      </c>
      <c r="Q48" s="15">
        <f t="shared" si="1"/>
        <v>0.75</v>
      </c>
      <c r="R48" s="13" t="s">
        <v>1770</v>
      </c>
      <c r="S48" s="13"/>
      <c r="T48" s="13" t="s">
        <v>1771</v>
      </c>
      <c r="U48" s="13" t="s">
        <v>348</v>
      </c>
      <c r="V48" s="13" t="s">
        <v>3980</v>
      </c>
      <c r="W48" s="13"/>
      <c r="X48" s="13" t="s">
        <v>3980</v>
      </c>
      <c r="Y48" s="13" t="s">
        <v>3980</v>
      </c>
      <c r="Z48" s="13" t="s">
        <v>3980</v>
      </c>
      <c r="AC48" s="18"/>
      <c r="AD48" s="18"/>
      <c r="AE48" s="1"/>
    </row>
    <row r="49" spans="1:31" x14ac:dyDescent="0.25">
      <c r="A49" t="s">
        <v>4949</v>
      </c>
      <c r="B49" s="30">
        <v>1986</v>
      </c>
      <c r="C49" s="13">
        <v>425</v>
      </c>
      <c r="D49" s="14">
        <v>0.52</v>
      </c>
      <c r="E49" s="14">
        <v>0.27700000000000002</v>
      </c>
      <c r="F49" s="13">
        <v>8</v>
      </c>
      <c r="G49" s="14">
        <v>0.434</v>
      </c>
      <c r="I49" s="26" t="s">
        <v>1076</v>
      </c>
      <c r="J49" s="18" t="s">
        <v>26</v>
      </c>
      <c r="L49" s="9">
        <v>1986</v>
      </c>
      <c r="N49" s="30" t="s">
        <v>77</v>
      </c>
      <c r="O49" s="13" t="s">
        <v>28</v>
      </c>
      <c r="P49" s="13">
        <f t="shared" si="0"/>
        <v>32</v>
      </c>
      <c r="Q49" s="15">
        <f t="shared" si="1"/>
        <v>13.28125</v>
      </c>
      <c r="R49" s="13" t="s">
        <v>1340</v>
      </c>
      <c r="S49" s="13" t="s">
        <v>2140</v>
      </c>
      <c r="T49" s="13" t="s">
        <v>1205</v>
      </c>
      <c r="U49" s="13" t="s">
        <v>2141</v>
      </c>
      <c r="V49" s="13" t="s">
        <v>3995</v>
      </c>
      <c r="W49" s="13"/>
      <c r="X49" s="13" t="s">
        <v>4319</v>
      </c>
      <c r="Y49" s="13" t="s">
        <v>3980</v>
      </c>
      <c r="Z49" s="13" t="s">
        <v>3980</v>
      </c>
      <c r="AC49" s="18"/>
      <c r="AD49" s="18"/>
      <c r="AE49" s="13"/>
    </row>
    <row r="50" spans="1:31" x14ac:dyDescent="0.25">
      <c r="A50" t="s">
        <v>2014</v>
      </c>
      <c r="B50" s="30">
        <v>1995</v>
      </c>
      <c r="C50" s="8">
        <v>89</v>
      </c>
      <c r="D50" s="14">
        <v>0.24</v>
      </c>
      <c r="E50" s="14">
        <v>0.125</v>
      </c>
      <c r="F50" s="8">
        <v>4</v>
      </c>
      <c r="G50" s="14">
        <v>0.19600000000000001</v>
      </c>
      <c r="I50" s="26" t="s">
        <v>1076</v>
      </c>
      <c r="J50" s="18" t="s">
        <v>26</v>
      </c>
      <c r="L50" s="9">
        <f>B50</f>
        <v>1995</v>
      </c>
      <c r="N50" s="28" t="s">
        <v>152</v>
      </c>
      <c r="O50" s="13" t="s">
        <v>42</v>
      </c>
      <c r="P50" s="13">
        <f t="shared" si="0"/>
        <v>23</v>
      </c>
      <c r="Q50" s="15">
        <f t="shared" si="1"/>
        <v>3.8695652173913042</v>
      </c>
      <c r="R50" s="18" t="s">
        <v>3844</v>
      </c>
      <c r="T50" s="18" t="s">
        <v>3845</v>
      </c>
      <c r="V50" s="18" t="s">
        <v>3980</v>
      </c>
      <c r="X50" s="18" t="s">
        <v>3980</v>
      </c>
      <c r="Y50" s="18" t="s">
        <v>3980</v>
      </c>
      <c r="Z50" s="18" t="s">
        <v>3980</v>
      </c>
      <c r="AC50" s="18"/>
      <c r="AD50" s="18"/>
      <c r="AE50" s="13"/>
    </row>
    <row r="51" spans="1:31" x14ac:dyDescent="0.25">
      <c r="A51" t="s">
        <v>5068</v>
      </c>
      <c r="B51" s="30">
        <v>1991</v>
      </c>
      <c r="C51" s="13">
        <v>1333</v>
      </c>
      <c r="D51" s="14">
        <v>0.75600000000000001</v>
      </c>
      <c r="E51" s="14">
        <v>0.51700000000000002</v>
      </c>
      <c r="F51" s="13">
        <v>17</v>
      </c>
      <c r="G51" s="14">
        <v>0.76400000000000001</v>
      </c>
      <c r="H51" s="18" t="s">
        <v>3421</v>
      </c>
      <c r="I51" s="26" t="s">
        <v>1076</v>
      </c>
      <c r="J51" s="18" t="s">
        <v>26</v>
      </c>
      <c r="L51" s="9">
        <v>1991</v>
      </c>
      <c r="M51" s="11"/>
      <c r="N51" s="30" t="s">
        <v>88</v>
      </c>
      <c r="O51" s="13" t="s">
        <v>28</v>
      </c>
      <c r="P51" s="13">
        <f t="shared" si="0"/>
        <v>27</v>
      </c>
      <c r="Q51" s="15">
        <f t="shared" si="1"/>
        <v>49.370370370370374</v>
      </c>
      <c r="R51" s="13" t="s">
        <v>130</v>
      </c>
      <c r="S51" s="13" t="s">
        <v>480</v>
      </c>
      <c r="T51" s="13" t="s">
        <v>1077</v>
      </c>
      <c r="U51" s="13" t="s">
        <v>1078</v>
      </c>
      <c r="V51" s="13" t="s">
        <v>3980</v>
      </c>
      <c r="W51" s="13"/>
      <c r="X51" s="13" t="s">
        <v>4320</v>
      </c>
      <c r="Y51" s="13" t="s">
        <v>3980</v>
      </c>
      <c r="Z51" s="13" t="s">
        <v>3980</v>
      </c>
      <c r="AC51" s="18"/>
      <c r="AD51" s="18"/>
      <c r="AE51" s="1"/>
    </row>
    <row r="52" spans="1:31" x14ac:dyDescent="0.25">
      <c r="A52" t="s">
        <v>2296</v>
      </c>
      <c r="B52" s="30">
        <v>2003</v>
      </c>
      <c r="C52" s="13">
        <v>141</v>
      </c>
      <c r="D52" s="14">
        <v>0.32900000000000001</v>
      </c>
      <c r="E52" s="14">
        <v>0.318</v>
      </c>
      <c r="F52" s="13">
        <v>6</v>
      </c>
      <c r="G52" s="14">
        <v>0.32200000000000001</v>
      </c>
      <c r="I52" s="26" t="s">
        <v>47</v>
      </c>
      <c r="J52" s="18" t="s">
        <v>54</v>
      </c>
      <c r="L52" s="9">
        <v>2003</v>
      </c>
      <c r="N52" s="30" t="s">
        <v>393</v>
      </c>
      <c r="O52" s="13" t="s">
        <v>42</v>
      </c>
      <c r="P52" s="13">
        <f t="shared" si="0"/>
        <v>15</v>
      </c>
      <c r="Q52" s="15">
        <f t="shared" si="1"/>
        <v>9.4</v>
      </c>
      <c r="R52" s="13" t="s">
        <v>2297</v>
      </c>
      <c r="S52" s="13"/>
      <c r="T52" s="13" t="s">
        <v>2298</v>
      </c>
      <c r="U52" s="13" t="s">
        <v>2299</v>
      </c>
      <c r="V52" s="13" t="s">
        <v>3980</v>
      </c>
      <c r="W52" s="13"/>
      <c r="X52" s="13" t="s">
        <v>4321</v>
      </c>
      <c r="Y52" s="13" t="s">
        <v>3980</v>
      </c>
      <c r="Z52" s="13" t="s">
        <v>3980</v>
      </c>
      <c r="AC52" s="18"/>
      <c r="AD52" s="18"/>
      <c r="AE52" s="13"/>
    </row>
    <row r="53" spans="1:31" x14ac:dyDescent="0.25">
      <c r="A53" s="18" t="s">
        <v>5073</v>
      </c>
      <c r="B53" s="30">
        <v>1983</v>
      </c>
      <c r="C53" s="13">
        <v>435</v>
      </c>
      <c r="D53" s="14">
        <v>0.52500000000000002</v>
      </c>
      <c r="E53" s="14">
        <v>0.28199999999999997</v>
      </c>
      <c r="F53" s="13">
        <v>10</v>
      </c>
      <c r="G53" s="14">
        <v>0.52200000000000002</v>
      </c>
      <c r="I53" s="26" t="s">
        <v>47</v>
      </c>
      <c r="J53" s="18" t="s">
        <v>26</v>
      </c>
      <c r="L53" s="9">
        <v>1983</v>
      </c>
      <c r="N53" s="30" t="s">
        <v>1818</v>
      </c>
      <c r="O53" s="13" t="s">
        <v>28</v>
      </c>
      <c r="P53" s="13">
        <f t="shared" si="0"/>
        <v>35</v>
      </c>
      <c r="Q53" s="15">
        <f t="shared" si="1"/>
        <v>12.428571428571429</v>
      </c>
      <c r="R53" s="13" t="s">
        <v>177</v>
      </c>
      <c r="S53" s="13" t="s">
        <v>90</v>
      </c>
      <c r="T53" s="13" t="s">
        <v>2769</v>
      </c>
      <c r="U53" s="13" t="s">
        <v>2770</v>
      </c>
      <c r="V53" s="13" t="s">
        <v>3980</v>
      </c>
      <c r="W53" s="13"/>
      <c r="X53" s="13" t="s">
        <v>4322</v>
      </c>
      <c r="Y53" s="13" t="s">
        <v>3980</v>
      </c>
      <c r="Z53" s="13" t="s">
        <v>3980</v>
      </c>
      <c r="AC53" s="18"/>
      <c r="AD53" s="18"/>
      <c r="AE53" s="13"/>
    </row>
    <row r="54" spans="1:31" x14ac:dyDescent="0.25">
      <c r="A54" s="18" t="s">
        <v>4928</v>
      </c>
      <c r="B54" s="30">
        <v>2002</v>
      </c>
      <c r="C54" s="13">
        <v>597</v>
      </c>
      <c r="D54" s="14">
        <v>0.6</v>
      </c>
      <c r="E54" s="14">
        <v>0.68400000000000005</v>
      </c>
      <c r="F54" s="13">
        <v>11</v>
      </c>
      <c r="G54" s="14">
        <v>0.56000000000000005</v>
      </c>
      <c r="I54" s="26" t="s">
        <v>47</v>
      </c>
      <c r="J54" s="18" t="s">
        <v>54</v>
      </c>
      <c r="K54" s="4"/>
      <c r="L54" s="9">
        <v>2002</v>
      </c>
      <c r="N54" s="30" t="s">
        <v>2023</v>
      </c>
      <c r="O54" s="13" t="s">
        <v>28</v>
      </c>
      <c r="P54" s="13">
        <f t="shared" si="0"/>
        <v>16</v>
      </c>
      <c r="Q54" s="15">
        <f t="shared" si="1"/>
        <v>37.3125</v>
      </c>
      <c r="R54" s="13" t="s">
        <v>2024</v>
      </c>
      <c r="S54" s="13" t="s">
        <v>947</v>
      </c>
      <c r="T54" s="13" t="s">
        <v>2025</v>
      </c>
      <c r="U54" s="13" t="s">
        <v>2026</v>
      </c>
      <c r="V54" s="13" t="s">
        <v>3996</v>
      </c>
      <c r="W54" s="13"/>
      <c r="X54" s="13" t="s">
        <v>4323</v>
      </c>
      <c r="Y54" s="13" t="s">
        <v>3980</v>
      </c>
      <c r="Z54" s="13" t="s">
        <v>3980</v>
      </c>
      <c r="AC54" s="18"/>
      <c r="AD54" s="18"/>
      <c r="AE54" s="13"/>
    </row>
    <row r="55" spans="1:31" x14ac:dyDescent="0.25">
      <c r="A55" t="s">
        <v>1772</v>
      </c>
      <c r="B55" s="30">
        <v>2010</v>
      </c>
      <c r="C55" s="13">
        <v>6</v>
      </c>
      <c r="D55" s="14">
        <v>4.8000000000000001E-2</v>
      </c>
      <c r="E55" s="14">
        <v>4.2000000000000003E-2</v>
      </c>
      <c r="F55" s="13">
        <v>1</v>
      </c>
      <c r="G55" s="14">
        <v>0</v>
      </c>
      <c r="I55" s="26" t="s">
        <v>47</v>
      </c>
      <c r="J55" s="18" t="s">
        <v>54</v>
      </c>
      <c r="L55" s="9">
        <v>2010</v>
      </c>
      <c r="M55" s="11"/>
      <c r="N55" s="30" t="s">
        <v>98</v>
      </c>
      <c r="O55" s="13" t="s">
        <v>28</v>
      </c>
      <c r="P55" s="13">
        <f t="shared" si="0"/>
        <v>8</v>
      </c>
      <c r="Q55" s="15">
        <f t="shared" si="1"/>
        <v>0.75</v>
      </c>
      <c r="R55" s="13" t="s">
        <v>1773</v>
      </c>
      <c r="S55" s="13"/>
      <c r="T55" s="13" t="s">
        <v>1774</v>
      </c>
      <c r="U55" s="13" t="s">
        <v>1775</v>
      </c>
      <c r="V55" s="13" t="s">
        <v>3980</v>
      </c>
      <c r="W55" s="13"/>
      <c r="X55" s="13" t="s">
        <v>4324</v>
      </c>
      <c r="Y55" s="13" t="s">
        <v>3980</v>
      </c>
      <c r="Z55" s="13" t="s">
        <v>3980</v>
      </c>
      <c r="AC55" s="18"/>
      <c r="AD55" s="18"/>
      <c r="AE55" s="1"/>
    </row>
    <row r="56" spans="1:31" x14ac:dyDescent="0.25">
      <c r="A56" t="s">
        <v>1193</v>
      </c>
      <c r="B56" s="30">
        <v>2015</v>
      </c>
      <c r="C56" s="13">
        <v>129</v>
      </c>
      <c r="D56" s="14">
        <v>0.307</v>
      </c>
      <c r="E56" s="14">
        <v>0.57799999999999996</v>
      </c>
      <c r="F56" s="13">
        <v>5</v>
      </c>
      <c r="G56" s="14">
        <v>0.27400000000000002</v>
      </c>
      <c r="H56" s="18" t="s">
        <v>3454</v>
      </c>
      <c r="I56" s="26" t="s">
        <v>47</v>
      </c>
      <c r="J56" s="18" t="s">
        <v>105</v>
      </c>
      <c r="K56" s="4"/>
      <c r="L56" s="9">
        <f>B56</f>
        <v>2015</v>
      </c>
      <c r="N56" s="30" t="s">
        <v>3097</v>
      </c>
      <c r="O56" s="13" t="s">
        <v>28</v>
      </c>
      <c r="P56" s="13">
        <f t="shared" si="0"/>
        <v>3</v>
      </c>
      <c r="Q56" s="15">
        <f t="shared" si="1"/>
        <v>43</v>
      </c>
      <c r="R56" s="13" t="s">
        <v>1194</v>
      </c>
      <c r="S56" s="13"/>
      <c r="T56" s="13" t="s">
        <v>1195</v>
      </c>
      <c r="U56" s="13"/>
      <c r="V56" s="13" t="s">
        <v>3980</v>
      </c>
      <c r="W56" s="13"/>
      <c r="X56" s="13" t="s">
        <v>3980</v>
      </c>
      <c r="Y56" s="13" t="s">
        <v>3980</v>
      </c>
      <c r="Z56" s="13" t="s">
        <v>3980</v>
      </c>
      <c r="AC56" s="18"/>
      <c r="AD56" s="18"/>
      <c r="AE56" s="1"/>
    </row>
    <row r="57" spans="1:31" x14ac:dyDescent="0.25">
      <c r="A57" t="s">
        <v>3000</v>
      </c>
      <c r="B57" s="30">
        <v>1997</v>
      </c>
      <c r="C57" s="13">
        <v>145</v>
      </c>
      <c r="D57" s="14">
        <v>0.33300000000000002</v>
      </c>
      <c r="E57" s="14">
        <v>0.159</v>
      </c>
      <c r="F57" s="13">
        <v>4</v>
      </c>
      <c r="G57" s="14">
        <v>0.19600000000000001</v>
      </c>
      <c r="I57" s="26" t="s">
        <v>47</v>
      </c>
      <c r="J57" s="18" t="s">
        <v>26</v>
      </c>
      <c r="L57" s="9">
        <v>1997</v>
      </c>
      <c r="N57" s="30" t="s">
        <v>88</v>
      </c>
      <c r="O57" s="13" t="s">
        <v>28</v>
      </c>
      <c r="P57" s="13">
        <f t="shared" si="0"/>
        <v>21</v>
      </c>
      <c r="Q57" s="15">
        <f t="shared" si="1"/>
        <v>6.9047619047619051</v>
      </c>
      <c r="R57" s="13" t="s">
        <v>269</v>
      </c>
      <c r="S57" s="13"/>
      <c r="T57" s="13" t="s">
        <v>285</v>
      </c>
      <c r="U57" s="13" t="s">
        <v>3001</v>
      </c>
      <c r="V57" s="13" t="s">
        <v>3980</v>
      </c>
      <c r="W57" s="13"/>
      <c r="X57" s="13" t="s">
        <v>3980</v>
      </c>
      <c r="Y57" s="13" t="s">
        <v>3980</v>
      </c>
      <c r="Z57" s="13" t="s">
        <v>3980</v>
      </c>
      <c r="AC57" s="18"/>
      <c r="AD57" s="18"/>
      <c r="AE57" s="13"/>
    </row>
    <row r="58" spans="1:31" x14ac:dyDescent="0.25">
      <c r="A58" t="s">
        <v>3044</v>
      </c>
      <c r="B58" s="30">
        <v>2004</v>
      </c>
      <c r="C58" s="13">
        <v>185</v>
      </c>
      <c r="D58" s="14">
        <v>0.36799999999999999</v>
      </c>
      <c r="E58" s="14">
        <v>0.17699999999999999</v>
      </c>
      <c r="F58" s="13">
        <v>6</v>
      </c>
      <c r="G58" s="14">
        <v>0.32200000000000001</v>
      </c>
      <c r="I58" s="26" t="s">
        <v>47</v>
      </c>
      <c r="J58" s="18" t="s">
        <v>26</v>
      </c>
      <c r="L58" s="9">
        <v>2004</v>
      </c>
      <c r="N58" s="30" t="s">
        <v>3045</v>
      </c>
      <c r="O58" s="13" t="s">
        <v>28</v>
      </c>
      <c r="P58" s="13">
        <f t="shared" si="0"/>
        <v>14</v>
      </c>
      <c r="Q58" s="15">
        <f t="shared" si="1"/>
        <v>13.214285714285714</v>
      </c>
      <c r="R58" s="13" t="s">
        <v>3042</v>
      </c>
      <c r="S58" s="13"/>
      <c r="T58" s="13" t="s">
        <v>3046</v>
      </c>
      <c r="U58" s="13" t="s">
        <v>3047</v>
      </c>
      <c r="V58" s="13" t="s">
        <v>3997</v>
      </c>
      <c r="W58" s="13"/>
      <c r="X58" s="13" t="s">
        <v>3980</v>
      </c>
      <c r="Y58" s="13" t="s">
        <v>3980</v>
      </c>
      <c r="Z58" s="13" t="s">
        <v>3980</v>
      </c>
      <c r="AC58" s="18"/>
      <c r="AD58" s="18"/>
      <c r="AE58" s="13"/>
    </row>
    <row r="59" spans="1:31" x14ac:dyDescent="0.25">
      <c r="A59" t="s">
        <v>46</v>
      </c>
      <c r="B59" s="30">
        <v>2007</v>
      </c>
      <c r="C59" s="13">
        <v>211</v>
      </c>
      <c r="D59" s="14">
        <v>0.39</v>
      </c>
      <c r="E59" s="14">
        <v>0.191</v>
      </c>
      <c r="F59" s="13">
        <v>8</v>
      </c>
      <c r="G59" s="14">
        <v>0.434</v>
      </c>
      <c r="H59" s="18" t="s">
        <v>3165</v>
      </c>
      <c r="I59" s="26" t="s">
        <v>47</v>
      </c>
      <c r="J59" s="18" t="s">
        <v>26</v>
      </c>
      <c r="L59" s="9">
        <v>2007</v>
      </c>
      <c r="N59" s="30" t="s">
        <v>48</v>
      </c>
      <c r="O59" s="13" t="s">
        <v>28</v>
      </c>
      <c r="P59" s="13">
        <f t="shared" si="0"/>
        <v>11</v>
      </c>
      <c r="Q59" s="15">
        <f t="shared" si="1"/>
        <v>19.181818181818183</v>
      </c>
      <c r="R59" s="13" t="s">
        <v>49</v>
      </c>
      <c r="S59" s="13"/>
      <c r="T59" s="13" t="s">
        <v>50</v>
      </c>
      <c r="U59" s="13" t="s">
        <v>51</v>
      </c>
      <c r="V59" s="13" t="s">
        <v>3980</v>
      </c>
      <c r="W59" s="13"/>
      <c r="X59" s="13" t="s">
        <v>4325</v>
      </c>
      <c r="Y59" s="13" t="s">
        <v>3980</v>
      </c>
      <c r="Z59" s="13" t="s">
        <v>3980</v>
      </c>
      <c r="AC59" s="18"/>
      <c r="AD59" s="18"/>
      <c r="AE59" s="16"/>
    </row>
    <row r="60" spans="1:31" x14ac:dyDescent="0.25">
      <c r="A60" t="s">
        <v>2001</v>
      </c>
      <c r="B60" s="30">
        <v>1995</v>
      </c>
      <c r="C60" s="8">
        <v>87</v>
      </c>
      <c r="D60" s="14">
        <v>0.23899999999999999</v>
      </c>
      <c r="E60" s="14">
        <v>0.20300000000000001</v>
      </c>
      <c r="F60" s="8">
        <v>3</v>
      </c>
      <c r="G60" s="14">
        <v>0.13100000000000001</v>
      </c>
      <c r="I60" s="26" t="s">
        <v>304</v>
      </c>
      <c r="J60" s="18" t="s">
        <v>54</v>
      </c>
      <c r="L60" s="9">
        <f>B60</f>
        <v>1995</v>
      </c>
      <c r="N60" s="28" t="s">
        <v>304</v>
      </c>
      <c r="O60" s="13" t="s">
        <v>28</v>
      </c>
      <c r="P60" s="13">
        <f t="shared" si="0"/>
        <v>23</v>
      </c>
      <c r="Q60" s="15">
        <f t="shared" si="1"/>
        <v>3.7826086956521738</v>
      </c>
      <c r="R60" s="18" t="s">
        <v>1398</v>
      </c>
      <c r="T60" s="18" t="s">
        <v>3798</v>
      </c>
      <c r="V60" s="18" t="s">
        <v>3980</v>
      </c>
      <c r="X60" s="18" t="s">
        <v>3980</v>
      </c>
      <c r="Y60" s="18" t="s">
        <v>3980</v>
      </c>
      <c r="Z60" s="18" t="s">
        <v>3980</v>
      </c>
      <c r="AC60" s="18"/>
      <c r="AD60" s="18"/>
      <c r="AE60" s="1"/>
    </row>
    <row r="61" spans="1:31" x14ac:dyDescent="0.25">
      <c r="A61" t="s">
        <v>1669</v>
      </c>
      <c r="B61" s="30">
        <v>2005</v>
      </c>
      <c r="C61" s="13">
        <v>165</v>
      </c>
      <c r="D61" s="14">
        <v>0.35499999999999998</v>
      </c>
      <c r="E61" s="14">
        <v>0.34300000000000003</v>
      </c>
      <c r="F61" s="13">
        <v>6</v>
      </c>
      <c r="G61" s="14">
        <v>0.32200000000000001</v>
      </c>
      <c r="I61" s="26" t="s">
        <v>304</v>
      </c>
      <c r="J61" s="18" t="s">
        <v>54</v>
      </c>
      <c r="K61" s="4"/>
      <c r="L61" s="9">
        <v>2005</v>
      </c>
      <c r="N61" s="30" t="s">
        <v>41</v>
      </c>
      <c r="O61" s="13" t="s">
        <v>42</v>
      </c>
      <c r="P61" s="13">
        <f t="shared" si="0"/>
        <v>13</v>
      </c>
      <c r="Q61" s="15">
        <f t="shared" si="1"/>
        <v>12.692307692307692</v>
      </c>
      <c r="R61" s="13" t="s">
        <v>1670</v>
      </c>
      <c r="S61" s="13"/>
      <c r="T61" s="13" t="s">
        <v>1671</v>
      </c>
      <c r="U61" s="13" t="s">
        <v>1672</v>
      </c>
      <c r="V61" s="13" t="s">
        <v>3998</v>
      </c>
      <c r="W61" s="13"/>
      <c r="X61" s="13" t="s">
        <v>4326</v>
      </c>
      <c r="Y61" s="13" t="s">
        <v>3980</v>
      </c>
      <c r="Z61" s="13" t="s">
        <v>3980</v>
      </c>
      <c r="AC61" s="18"/>
      <c r="AD61" s="18"/>
      <c r="AE61" s="1"/>
    </row>
    <row r="62" spans="1:31" x14ac:dyDescent="0.25">
      <c r="A62" s="28" t="s">
        <v>1755</v>
      </c>
      <c r="B62" s="30">
        <v>1990</v>
      </c>
      <c r="C62" s="13">
        <v>874</v>
      </c>
      <c r="D62" s="14">
        <v>0.67800000000000005</v>
      </c>
      <c r="E62" s="14">
        <v>0.42099999999999999</v>
      </c>
      <c r="F62" s="13">
        <v>13</v>
      </c>
      <c r="G62" s="14">
        <v>0.64500000000000002</v>
      </c>
      <c r="I62" s="26" t="s">
        <v>304</v>
      </c>
      <c r="J62" s="18" t="s">
        <v>26</v>
      </c>
      <c r="K62" s="4"/>
      <c r="L62" s="9">
        <v>1990</v>
      </c>
      <c r="N62" s="30" t="s">
        <v>41</v>
      </c>
      <c r="O62" s="13" t="s">
        <v>28</v>
      </c>
      <c r="P62" s="13">
        <f t="shared" si="0"/>
        <v>28</v>
      </c>
      <c r="Q62" s="15">
        <f t="shared" si="1"/>
        <v>31.214285714285715</v>
      </c>
      <c r="R62" s="13" t="s">
        <v>1756</v>
      </c>
      <c r="S62" s="13"/>
      <c r="T62" s="13" t="s">
        <v>1757</v>
      </c>
      <c r="U62" s="13" t="s">
        <v>1758</v>
      </c>
      <c r="V62" s="13" t="s">
        <v>3999</v>
      </c>
      <c r="W62" s="13"/>
      <c r="X62" s="13" t="s">
        <v>4327</v>
      </c>
      <c r="Y62" s="13" t="s">
        <v>3980</v>
      </c>
      <c r="Z62" s="13" t="s">
        <v>3980</v>
      </c>
      <c r="AC62" s="18"/>
      <c r="AD62" s="18"/>
      <c r="AE62" s="13"/>
    </row>
    <row r="63" spans="1:31" x14ac:dyDescent="0.25">
      <c r="A63" t="s">
        <v>2178</v>
      </c>
      <c r="B63" s="30">
        <v>1993</v>
      </c>
      <c r="C63" s="8">
        <v>384</v>
      </c>
      <c r="D63" s="14">
        <v>0.495</v>
      </c>
      <c r="E63" s="14">
        <v>0.26100000000000001</v>
      </c>
      <c r="F63" s="8">
        <v>10</v>
      </c>
      <c r="G63" s="14">
        <v>0.52200000000000002</v>
      </c>
      <c r="H63" s="18" t="s">
        <v>4826</v>
      </c>
      <c r="I63" s="26" t="s">
        <v>304</v>
      </c>
      <c r="J63" s="18" t="s">
        <v>26</v>
      </c>
      <c r="L63" s="9">
        <f>B63</f>
        <v>1993</v>
      </c>
      <c r="N63" s="28" t="s">
        <v>72</v>
      </c>
      <c r="O63" s="13" t="s">
        <v>28</v>
      </c>
      <c r="P63" s="13">
        <f t="shared" si="0"/>
        <v>25</v>
      </c>
      <c r="Q63" s="15">
        <f t="shared" si="1"/>
        <v>15.36</v>
      </c>
      <c r="R63" s="18" t="s">
        <v>808</v>
      </c>
      <c r="T63" s="18" t="s">
        <v>3850</v>
      </c>
      <c r="V63" s="18" t="s">
        <v>3980</v>
      </c>
      <c r="X63" s="18" t="s">
        <v>3980</v>
      </c>
      <c r="Y63" s="18" t="s">
        <v>3980</v>
      </c>
      <c r="Z63" s="18" t="s">
        <v>3980</v>
      </c>
      <c r="AC63" s="18"/>
      <c r="AD63" s="18"/>
      <c r="AE63" s="13"/>
    </row>
    <row r="64" spans="1:31" x14ac:dyDescent="0.25">
      <c r="A64" t="s">
        <v>2962</v>
      </c>
      <c r="B64" s="30">
        <v>2014</v>
      </c>
      <c r="C64" s="8">
        <v>14</v>
      </c>
      <c r="D64" s="14">
        <v>8.2000000000000003E-2</v>
      </c>
      <c r="E64" s="14">
        <v>0.16400000000000001</v>
      </c>
      <c r="F64" s="8">
        <v>1</v>
      </c>
      <c r="G64" s="14">
        <v>0</v>
      </c>
      <c r="I64" s="26" t="s">
        <v>304</v>
      </c>
      <c r="J64" s="18" t="s">
        <v>105</v>
      </c>
      <c r="L64" s="9">
        <f>B64</f>
        <v>2014</v>
      </c>
      <c r="N64" s="28" t="s">
        <v>3139</v>
      </c>
      <c r="O64" s="13" t="s">
        <v>28</v>
      </c>
      <c r="P64" s="13">
        <f t="shared" si="0"/>
        <v>4</v>
      </c>
      <c r="Q64" s="15">
        <f t="shared" si="1"/>
        <v>3.5</v>
      </c>
      <c r="R64" s="18" t="s">
        <v>3772</v>
      </c>
      <c r="T64" s="18" t="s">
        <v>3773</v>
      </c>
      <c r="V64" s="18" t="s">
        <v>3980</v>
      </c>
      <c r="X64" s="18" t="s">
        <v>3980</v>
      </c>
      <c r="Y64" s="18" t="s">
        <v>3980</v>
      </c>
      <c r="Z64" s="18" t="s">
        <v>3980</v>
      </c>
      <c r="AC64" s="18"/>
      <c r="AD64" s="18"/>
      <c r="AE64" s="13"/>
    </row>
    <row r="65" spans="1:31" x14ac:dyDescent="0.25">
      <c r="A65" s="18" t="s">
        <v>2558</v>
      </c>
      <c r="B65" s="30">
        <v>1980</v>
      </c>
      <c r="C65" s="13">
        <v>1993</v>
      </c>
      <c r="D65" s="14">
        <v>0.83</v>
      </c>
      <c r="E65" s="14">
        <v>0.63300000000000001</v>
      </c>
      <c r="F65" s="13">
        <v>21</v>
      </c>
      <c r="G65" s="14">
        <v>0.84199999999999997</v>
      </c>
      <c r="H65" s="18" t="s">
        <v>3549</v>
      </c>
      <c r="I65" s="26" t="s">
        <v>304</v>
      </c>
      <c r="J65" s="18" t="s">
        <v>26</v>
      </c>
      <c r="K65" s="4"/>
      <c r="L65" s="9">
        <v>1980</v>
      </c>
      <c r="N65" s="30" t="s">
        <v>119</v>
      </c>
      <c r="O65" s="13" t="s">
        <v>28</v>
      </c>
      <c r="P65" s="13">
        <f t="shared" si="0"/>
        <v>38</v>
      </c>
      <c r="Q65" s="15">
        <f t="shared" si="1"/>
        <v>52.44736842105263</v>
      </c>
      <c r="R65" s="13" t="s">
        <v>2559</v>
      </c>
      <c r="S65" s="13"/>
      <c r="T65" s="13" t="s">
        <v>2560</v>
      </c>
      <c r="U65" s="13" t="s">
        <v>2561</v>
      </c>
      <c r="V65" s="13" t="s">
        <v>4000</v>
      </c>
      <c r="W65" s="13"/>
      <c r="X65" s="13" t="s">
        <v>4328</v>
      </c>
      <c r="Y65" s="13" t="s">
        <v>3980</v>
      </c>
      <c r="Z65" s="13" t="s">
        <v>3980</v>
      </c>
      <c r="AC65" s="18"/>
      <c r="AD65" s="18"/>
      <c r="AE65" s="13"/>
    </row>
    <row r="66" spans="1:31" x14ac:dyDescent="0.25">
      <c r="A66" t="s">
        <v>4904</v>
      </c>
      <c r="B66" s="30">
        <v>2011</v>
      </c>
      <c r="C66" s="13">
        <v>432</v>
      </c>
      <c r="D66" s="14">
        <v>0.52200000000000002</v>
      </c>
      <c r="E66" s="14">
        <v>0.84199999999999997</v>
      </c>
      <c r="F66" s="13">
        <v>10</v>
      </c>
      <c r="G66" s="14">
        <v>0.52200000000000002</v>
      </c>
      <c r="H66" s="18" t="s">
        <v>3218</v>
      </c>
      <c r="I66" s="26" t="s">
        <v>304</v>
      </c>
      <c r="J66" s="4" t="s">
        <v>105</v>
      </c>
      <c r="L66" s="9">
        <v>2011</v>
      </c>
      <c r="N66" s="30" t="s">
        <v>88</v>
      </c>
      <c r="O66" s="13" t="s">
        <v>28</v>
      </c>
      <c r="P66" s="13">
        <f t="shared" ref="P66:P129" si="2">2018-L66</f>
        <v>7</v>
      </c>
      <c r="Q66" s="15">
        <f t="shared" ref="Q66:Q129" si="3">C66/P66</f>
        <v>61.714285714285715</v>
      </c>
      <c r="R66" s="13" t="s">
        <v>305</v>
      </c>
      <c r="S66" s="13" t="s">
        <v>206</v>
      </c>
      <c r="T66" s="13" t="s">
        <v>306</v>
      </c>
      <c r="U66" s="13" t="s">
        <v>307</v>
      </c>
      <c r="V66" s="13" t="s">
        <v>4001</v>
      </c>
      <c r="W66" s="13"/>
      <c r="X66" s="13" t="s">
        <v>3980</v>
      </c>
      <c r="Y66" s="13" t="s">
        <v>3980</v>
      </c>
      <c r="Z66" s="13" t="s">
        <v>3980</v>
      </c>
      <c r="AC66" s="18"/>
      <c r="AD66" s="18"/>
      <c r="AE66" s="1"/>
    </row>
    <row r="67" spans="1:31" x14ac:dyDescent="0.25">
      <c r="A67" s="18" t="s">
        <v>2957</v>
      </c>
      <c r="B67" s="30">
        <v>1989</v>
      </c>
      <c r="C67" s="13">
        <v>93</v>
      </c>
      <c r="D67" s="14">
        <v>0.251</v>
      </c>
      <c r="E67" s="14">
        <v>0.129</v>
      </c>
      <c r="F67" s="13">
        <v>3</v>
      </c>
      <c r="G67" s="14">
        <v>0.13100000000000001</v>
      </c>
      <c r="I67" s="26" t="s">
        <v>304</v>
      </c>
      <c r="J67" s="18" t="s">
        <v>26</v>
      </c>
      <c r="L67" s="9">
        <v>1989</v>
      </c>
      <c r="N67" s="30" t="s">
        <v>168</v>
      </c>
      <c r="O67" s="13" t="s">
        <v>28</v>
      </c>
      <c r="P67" s="13">
        <f t="shared" si="2"/>
        <v>29</v>
      </c>
      <c r="Q67" s="15">
        <f t="shared" si="3"/>
        <v>3.2068965517241379</v>
      </c>
      <c r="R67" s="13" t="s">
        <v>285</v>
      </c>
      <c r="S67" s="13"/>
      <c r="T67" s="13" t="s">
        <v>2958</v>
      </c>
      <c r="U67" s="13" t="s">
        <v>2959</v>
      </c>
      <c r="V67" s="13" t="s">
        <v>4002</v>
      </c>
      <c r="W67" s="13"/>
      <c r="X67" s="13" t="s">
        <v>4329</v>
      </c>
      <c r="Y67" s="13" t="s">
        <v>3980</v>
      </c>
      <c r="Z67" s="13" t="s">
        <v>3980</v>
      </c>
      <c r="AC67" s="18"/>
      <c r="AD67" s="18"/>
      <c r="AE67" s="13"/>
    </row>
    <row r="68" spans="1:31" x14ac:dyDescent="0.25">
      <c r="A68" t="s">
        <v>4940</v>
      </c>
      <c r="B68" s="30">
        <v>2002</v>
      </c>
      <c r="C68" s="13">
        <v>395</v>
      </c>
      <c r="D68" s="14">
        <v>0.501</v>
      </c>
      <c r="E68" s="14">
        <v>0.26600000000000001</v>
      </c>
      <c r="F68" s="13">
        <v>11</v>
      </c>
      <c r="G68" s="14">
        <v>0.56000000000000005</v>
      </c>
      <c r="H68" s="18" t="s">
        <v>3472</v>
      </c>
      <c r="I68" s="26" t="s">
        <v>304</v>
      </c>
      <c r="J68" s="18" t="s">
        <v>26</v>
      </c>
      <c r="K68" s="4"/>
      <c r="L68" s="9">
        <v>2002</v>
      </c>
      <c r="N68" s="30" t="s">
        <v>88</v>
      </c>
      <c r="O68" s="13" t="s">
        <v>28</v>
      </c>
      <c r="P68" s="13">
        <f t="shared" si="2"/>
        <v>16</v>
      </c>
      <c r="Q68" s="15">
        <f t="shared" si="3"/>
        <v>24.6875</v>
      </c>
      <c r="R68" s="13" t="s">
        <v>205</v>
      </c>
      <c r="S68" s="13" t="s">
        <v>1002</v>
      </c>
      <c r="T68" s="13" t="s">
        <v>1253</v>
      </c>
      <c r="U68" s="13" t="s">
        <v>1254</v>
      </c>
      <c r="V68" s="13" t="s">
        <v>4003</v>
      </c>
      <c r="W68" s="13"/>
      <c r="X68" s="13" t="s">
        <v>4330</v>
      </c>
      <c r="Y68" s="13" t="s">
        <v>3980</v>
      </c>
      <c r="Z68" s="13" t="s">
        <v>3980</v>
      </c>
      <c r="AC68" s="18"/>
      <c r="AD68" s="18"/>
      <c r="AE68" s="1"/>
    </row>
    <row r="69" spans="1:31" x14ac:dyDescent="0.25">
      <c r="A69" s="18" t="s">
        <v>1430</v>
      </c>
      <c r="B69" s="30">
        <v>1990</v>
      </c>
      <c r="C69" s="13">
        <v>1823</v>
      </c>
      <c r="D69" s="14">
        <v>0.81499999999999995</v>
      </c>
      <c r="E69" s="14">
        <v>0.61199999999999999</v>
      </c>
      <c r="F69" s="13">
        <v>21</v>
      </c>
      <c r="G69" s="14">
        <v>0.84199999999999997</v>
      </c>
      <c r="H69" s="18" t="s">
        <v>3634</v>
      </c>
      <c r="I69" s="26" t="s">
        <v>146</v>
      </c>
      <c r="J69" s="18" t="s">
        <v>26</v>
      </c>
      <c r="L69" s="9">
        <v>1990</v>
      </c>
      <c r="N69" s="30" t="s">
        <v>1431</v>
      </c>
      <c r="O69" s="13" t="s">
        <v>28</v>
      </c>
      <c r="P69" s="13">
        <f t="shared" si="2"/>
        <v>28</v>
      </c>
      <c r="Q69" s="15">
        <f t="shared" si="3"/>
        <v>65.107142857142861</v>
      </c>
      <c r="R69" s="13" t="s">
        <v>1432</v>
      </c>
      <c r="S69" s="13"/>
      <c r="T69" s="13" t="s">
        <v>1433</v>
      </c>
      <c r="U69" s="13"/>
      <c r="V69" s="13" t="s">
        <v>3980</v>
      </c>
      <c r="W69" s="13"/>
      <c r="X69" s="13" t="s">
        <v>3980</v>
      </c>
      <c r="Y69" s="13" t="s">
        <v>3980</v>
      </c>
      <c r="Z69" s="13" t="s">
        <v>3980</v>
      </c>
      <c r="AC69" s="18"/>
      <c r="AD69" s="18"/>
      <c r="AE69" s="1"/>
    </row>
    <row r="70" spans="1:31" x14ac:dyDescent="0.25">
      <c r="A70" s="18" t="s">
        <v>618</v>
      </c>
      <c r="B70" s="30">
        <v>2010</v>
      </c>
      <c r="C70" s="13">
        <v>109</v>
      </c>
      <c r="D70" s="14">
        <v>0.27800000000000002</v>
      </c>
      <c r="E70" s="14">
        <v>0.52600000000000002</v>
      </c>
      <c r="F70" s="13">
        <v>6</v>
      </c>
      <c r="G70" s="14">
        <v>0.32200000000000001</v>
      </c>
      <c r="H70" s="18" t="s">
        <v>3294</v>
      </c>
      <c r="I70" s="26" t="s">
        <v>146</v>
      </c>
      <c r="J70" s="18" t="s">
        <v>105</v>
      </c>
      <c r="L70" s="9">
        <v>2010</v>
      </c>
      <c r="N70" s="30" t="s">
        <v>40</v>
      </c>
      <c r="O70" s="13" t="s">
        <v>42</v>
      </c>
      <c r="P70" s="13">
        <f t="shared" si="2"/>
        <v>8</v>
      </c>
      <c r="Q70" s="15">
        <f t="shared" si="3"/>
        <v>13.625</v>
      </c>
      <c r="R70" s="13" t="s">
        <v>619</v>
      </c>
      <c r="S70" s="13"/>
      <c r="T70" s="13" t="s">
        <v>620</v>
      </c>
      <c r="U70" s="13" t="s">
        <v>621</v>
      </c>
      <c r="V70" s="13" t="s">
        <v>3980</v>
      </c>
      <c r="W70" s="13"/>
      <c r="X70" s="13" t="s">
        <v>3980</v>
      </c>
      <c r="Y70" s="13" t="s">
        <v>3980</v>
      </c>
      <c r="Z70" s="13" t="s">
        <v>3980</v>
      </c>
      <c r="AC70" s="18"/>
      <c r="AD70" s="18"/>
      <c r="AE70" s="13"/>
    </row>
    <row r="71" spans="1:31" x14ac:dyDescent="0.25">
      <c r="A71" t="s">
        <v>491</v>
      </c>
      <c r="B71" s="30">
        <v>1985</v>
      </c>
      <c r="C71" s="13">
        <v>745</v>
      </c>
      <c r="D71" s="14">
        <v>0.64300000000000002</v>
      </c>
      <c r="E71" s="14">
        <v>0.38</v>
      </c>
      <c r="F71" s="13">
        <v>13</v>
      </c>
      <c r="G71" s="14">
        <v>0.64500000000000002</v>
      </c>
      <c r="H71" s="18" t="s">
        <v>3262</v>
      </c>
      <c r="I71" s="26" t="s">
        <v>146</v>
      </c>
      <c r="J71" s="18" t="s">
        <v>26</v>
      </c>
      <c r="L71" s="9">
        <v>1985</v>
      </c>
      <c r="M71" s="11"/>
      <c r="N71" s="30" t="s">
        <v>492</v>
      </c>
      <c r="O71" s="13" t="s">
        <v>42</v>
      </c>
      <c r="P71" s="13">
        <f t="shared" si="2"/>
        <v>33</v>
      </c>
      <c r="Q71" s="15">
        <f t="shared" si="3"/>
        <v>22.575757575757574</v>
      </c>
      <c r="R71" s="13" t="s">
        <v>493</v>
      </c>
      <c r="S71" s="13"/>
      <c r="T71" s="13" t="s">
        <v>494</v>
      </c>
      <c r="U71" s="13" t="s">
        <v>495</v>
      </c>
      <c r="V71" s="13" t="s">
        <v>4004</v>
      </c>
      <c r="W71" s="13"/>
      <c r="X71" s="13" t="s">
        <v>4331</v>
      </c>
      <c r="Y71" s="13" t="s">
        <v>3980</v>
      </c>
      <c r="Z71" s="13" t="s">
        <v>3980</v>
      </c>
      <c r="AC71" s="18"/>
      <c r="AD71" s="18"/>
      <c r="AE71" s="13"/>
    </row>
    <row r="72" spans="1:31" x14ac:dyDescent="0.25">
      <c r="A72" s="28" t="s">
        <v>5147</v>
      </c>
      <c r="B72" s="30">
        <v>1978</v>
      </c>
      <c r="C72" s="8">
        <v>1331</v>
      </c>
      <c r="D72" s="14">
        <v>0.755</v>
      </c>
      <c r="E72" s="14">
        <v>0.51400000000000001</v>
      </c>
      <c r="F72" s="8">
        <v>18</v>
      </c>
      <c r="G72" s="14">
        <v>0.78700000000000003</v>
      </c>
      <c r="I72" s="26" t="s">
        <v>146</v>
      </c>
      <c r="J72" s="18" t="s">
        <v>26</v>
      </c>
      <c r="L72" s="9">
        <f>B72</f>
        <v>1978</v>
      </c>
      <c r="N72" s="28" t="s">
        <v>765</v>
      </c>
      <c r="O72" s="13" t="s">
        <v>28</v>
      </c>
      <c r="P72" s="13">
        <f t="shared" si="2"/>
        <v>40</v>
      </c>
      <c r="Q72" s="15">
        <f t="shared" si="3"/>
        <v>33.274999999999999</v>
      </c>
      <c r="R72" s="18" t="s">
        <v>3865</v>
      </c>
      <c r="T72" s="18" t="s">
        <v>3866</v>
      </c>
      <c r="V72" s="18" t="s">
        <v>3980</v>
      </c>
      <c r="X72" s="18" t="s">
        <v>3980</v>
      </c>
      <c r="Y72" s="18" t="s">
        <v>3980</v>
      </c>
      <c r="Z72" s="18" t="s">
        <v>3980</v>
      </c>
      <c r="AC72" s="18"/>
      <c r="AD72" s="18"/>
      <c r="AE72" s="16"/>
    </row>
    <row r="73" spans="1:31" x14ac:dyDescent="0.25">
      <c r="A73" t="s">
        <v>5130</v>
      </c>
      <c r="B73" s="30">
        <v>1993</v>
      </c>
      <c r="C73" s="13">
        <v>314</v>
      </c>
      <c r="D73" s="14">
        <v>0.45500000000000002</v>
      </c>
      <c r="E73" s="14">
        <v>0.246</v>
      </c>
      <c r="F73" s="13">
        <v>10</v>
      </c>
      <c r="G73" s="14">
        <v>0.52200000000000002</v>
      </c>
      <c r="H73" s="18" t="s">
        <v>3411</v>
      </c>
      <c r="I73" s="26" t="s">
        <v>146</v>
      </c>
      <c r="J73" s="18" t="s">
        <v>26</v>
      </c>
      <c r="L73" s="9">
        <v>1993</v>
      </c>
      <c r="N73" s="30" t="s">
        <v>152</v>
      </c>
      <c r="O73" s="13" t="s">
        <v>42</v>
      </c>
      <c r="P73" s="13">
        <f t="shared" si="2"/>
        <v>25</v>
      </c>
      <c r="Q73" s="15">
        <f t="shared" si="3"/>
        <v>12.56</v>
      </c>
      <c r="R73" s="13" t="s">
        <v>1036</v>
      </c>
      <c r="S73" s="13" t="s">
        <v>206</v>
      </c>
      <c r="T73" s="13" t="s">
        <v>1037</v>
      </c>
      <c r="U73" s="13" t="s">
        <v>1038</v>
      </c>
      <c r="V73" s="13" t="s">
        <v>3980</v>
      </c>
      <c r="W73" s="13"/>
      <c r="X73" s="13" t="s">
        <v>3980</v>
      </c>
      <c r="Y73" s="13" t="s">
        <v>3980</v>
      </c>
      <c r="Z73" s="13" t="s">
        <v>3980</v>
      </c>
      <c r="AC73" s="18"/>
      <c r="AD73" s="18"/>
      <c r="AE73" s="13"/>
    </row>
    <row r="74" spans="1:31" x14ac:dyDescent="0.25">
      <c r="A74" t="s">
        <v>4854</v>
      </c>
      <c r="B74" s="30">
        <v>2000</v>
      </c>
      <c r="C74" s="13">
        <v>591</v>
      </c>
      <c r="D74" s="14">
        <v>0.59899999999999998</v>
      </c>
      <c r="E74" s="14">
        <v>0.68100000000000005</v>
      </c>
      <c r="F74" s="13">
        <v>10</v>
      </c>
      <c r="G74" s="14">
        <v>0.52200000000000002</v>
      </c>
      <c r="H74" s="18" t="s">
        <v>3327</v>
      </c>
      <c r="I74" s="26" t="s">
        <v>146</v>
      </c>
      <c r="J74" s="18" t="s">
        <v>54</v>
      </c>
      <c r="L74" s="9">
        <v>2000</v>
      </c>
      <c r="N74" s="30" t="s">
        <v>98</v>
      </c>
      <c r="O74" s="13" t="s">
        <v>28</v>
      </c>
      <c r="P74" s="13">
        <f t="shared" si="2"/>
        <v>18</v>
      </c>
      <c r="Q74" s="15">
        <f t="shared" si="3"/>
        <v>32.833333333333336</v>
      </c>
      <c r="R74" s="13" t="s">
        <v>575</v>
      </c>
      <c r="S74" s="13" t="s">
        <v>206</v>
      </c>
      <c r="T74" s="13" t="s">
        <v>749</v>
      </c>
      <c r="U74" s="13" t="s">
        <v>750</v>
      </c>
      <c r="V74" s="13" t="s">
        <v>3980</v>
      </c>
      <c r="W74" s="13"/>
      <c r="X74" s="13" t="s">
        <v>4332</v>
      </c>
      <c r="Y74" s="13" t="s">
        <v>3980</v>
      </c>
      <c r="Z74" s="13" t="s">
        <v>3980</v>
      </c>
      <c r="AC74" s="18"/>
      <c r="AD74" s="18"/>
      <c r="AE74" s="13"/>
    </row>
    <row r="75" spans="1:31" x14ac:dyDescent="0.25">
      <c r="A75" t="s">
        <v>5103</v>
      </c>
      <c r="B75" s="30">
        <v>2010</v>
      </c>
      <c r="C75" s="8">
        <v>120</v>
      </c>
      <c r="D75" s="14">
        <v>0.29299999999999998</v>
      </c>
      <c r="E75" s="14">
        <v>0.27500000000000002</v>
      </c>
      <c r="F75" s="8">
        <v>6</v>
      </c>
      <c r="G75" s="14">
        <v>0.32200000000000001</v>
      </c>
      <c r="H75" s="18" t="s">
        <v>4823</v>
      </c>
      <c r="I75" s="26" t="s">
        <v>146</v>
      </c>
      <c r="J75" s="18" t="s">
        <v>54</v>
      </c>
      <c r="L75" s="9">
        <f>B75</f>
        <v>2010</v>
      </c>
      <c r="N75" s="28" t="s">
        <v>220</v>
      </c>
      <c r="O75" s="13" t="s">
        <v>42</v>
      </c>
      <c r="P75" s="13">
        <f t="shared" si="2"/>
        <v>8</v>
      </c>
      <c r="Q75" s="15">
        <f t="shared" si="3"/>
        <v>15</v>
      </c>
      <c r="R75" s="18" t="s">
        <v>1262</v>
      </c>
      <c r="T75" s="18" t="s">
        <v>3816</v>
      </c>
      <c r="V75" s="18" t="s">
        <v>3980</v>
      </c>
      <c r="X75" s="18" t="s">
        <v>3980</v>
      </c>
      <c r="Y75" s="18" t="s">
        <v>3980</v>
      </c>
      <c r="Z75" s="18" t="s">
        <v>3980</v>
      </c>
      <c r="AC75" s="18"/>
      <c r="AD75" s="18"/>
      <c r="AE75" s="13"/>
    </row>
    <row r="76" spans="1:31" x14ac:dyDescent="0.25">
      <c r="A76" t="s">
        <v>5079</v>
      </c>
      <c r="B76" s="30">
        <v>1990</v>
      </c>
      <c r="C76" s="13">
        <v>1497</v>
      </c>
      <c r="D76" s="14">
        <v>0.78300000000000003</v>
      </c>
      <c r="E76" s="14">
        <v>0.56699999999999995</v>
      </c>
      <c r="F76" s="13">
        <v>23</v>
      </c>
      <c r="G76" s="14">
        <v>0.874</v>
      </c>
      <c r="H76" s="18" t="s">
        <v>3671</v>
      </c>
      <c r="I76" s="26" t="s">
        <v>146</v>
      </c>
      <c r="J76" s="18" t="s">
        <v>26</v>
      </c>
      <c r="L76" s="9">
        <v>1990</v>
      </c>
      <c r="M76" s="11"/>
      <c r="N76" s="30" t="s">
        <v>94</v>
      </c>
      <c r="O76" s="13" t="s">
        <v>28</v>
      </c>
      <c r="P76" s="13">
        <f t="shared" si="2"/>
        <v>28</v>
      </c>
      <c r="Q76" s="15">
        <f t="shared" si="3"/>
        <v>53.464285714285715</v>
      </c>
      <c r="R76" s="13" t="s">
        <v>177</v>
      </c>
      <c r="S76" s="13" t="s">
        <v>206</v>
      </c>
      <c r="T76" s="13" t="s">
        <v>2767</v>
      </c>
      <c r="U76" s="13" t="s">
        <v>2768</v>
      </c>
      <c r="V76" s="13" t="s">
        <v>4005</v>
      </c>
      <c r="W76" s="13"/>
      <c r="X76" s="13" t="s">
        <v>4333</v>
      </c>
      <c r="Y76" s="13" t="s">
        <v>3980</v>
      </c>
      <c r="Z76" s="13" t="s">
        <v>3980</v>
      </c>
      <c r="AC76" s="18"/>
      <c r="AD76" s="18"/>
      <c r="AE76" s="13"/>
    </row>
    <row r="77" spans="1:31" x14ac:dyDescent="0.25">
      <c r="A77" s="18" t="s">
        <v>797</v>
      </c>
      <c r="B77" s="30">
        <v>2009</v>
      </c>
      <c r="C77" s="13">
        <v>285</v>
      </c>
      <c r="D77" s="14">
        <v>0.438</v>
      </c>
      <c r="E77" s="14">
        <v>0.44400000000000001</v>
      </c>
      <c r="F77" s="13">
        <v>8</v>
      </c>
      <c r="G77" s="14">
        <v>0.434</v>
      </c>
      <c r="H77" s="18" t="s">
        <v>3612</v>
      </c>
      <c r="I77" s="26" t="s">
        <v>146</v>
      </c>
      <c r="J77" s="18" t="s">
        <v>54</v>
      </c>
      <c r="K77" s="4"/>
      <c r="L77" s="9">
        <v>2009</v>
      </c>
      <c r="N77" s="30" t="s">
        <v>798</v>
      </c>
      <c r="O77" s="13" t="s">
        <v>42</v>
      </c>
      <c r="P77" s="13">
        <f t="shared" si="2"/>
        <v>9</v>
      </c>
      <c r="Q77" s="15">
        <f t="shared" si="3"/>
        <v>31.666666666666668</v>
      </c>
      <c r="R77" s="13" t="s">
        <v>799</v>
      </c>
      <c r="S77" s="13"/>
      <c r="T77" s="13" t="s">
        <v>800</v>
      </c>
      <c r="U77" s="13"/>
      <c r="V77" s="13" t="s">
        <v>4006</v>
      </c>
      <c r="W77" s="13"/>
      <c r="X77" s="13" t="s">
        <v>4334</v>
      </c>
      <c r="Y77" s="13" t="s">
        <v>3980</v>
      </c>
      <c r="Z77" s="13" t="s">
        <v>3980</v>
      </c>
      <c r="AC77" s="18"/>
      <c r="AD77" s="18"/>
      <c r="AE77" s="1"/>
    </row>
    <row r="78" spans="1:31" x14ac:dyDescent="0.25">
      <c r="A78" s="18" t="s">
        <v>1479</v>
      </c>
      <c r="B78" s="30">
        <v>1977</v>
      </c>
      <c r="C78" s="13">
        <v>86</v>
      </c>
      <c r="D78" s="14">
        <v>0.23799999999999999</v>
      </c>
      <c r="E78" s="14">
        <v>0.12</v>
      </c>
      <c r="F78" s="13">
        <v>5</v>
      </c>
      <c r="G78" s="14">
        <v>0.27400000000000002</v>
      </c>
      <c r="I78" s="26" t="s">
        <v>146</v>
      </c>
      <c r="J78" s="18" t="s">
        <v>26</v>
      </c>
      <c r="L78" s="9">
        <f>B78</f>
        <v>1977</v>
      </c>
      <c r="M78" s="20" t="s">
        <v>3132</v>
      </c>
      <c r="N78" s="30" t="s">
        <v>765</v>
      </c>
      <c r="O78" s="13" t="s">
        <v>28</v>
      </c>
      <c r="P78" s="13">
        <f t="shared" si="2"/>
        <v>41</v>
      </c>
      <c r="Q78" s="15">
        <f t="shared" si="3"/>
        <v>2.0975609756097562</v>
      </c>
      <c r="R78" s="13" t="s">
        <v>297</v>
      </c>
      <c r="S78" s="13"/>
      <c r="T78" s="13" t="s">
        <v>631</v>
      </c>
      <c r="U78" s="13"/>
      <c r="V78" s="13" t="s">
        <v>3980</v>
      </c>
      <c r="W78" s="13"/>
      <c r="X78" s="13" t="s">
        <v>3980</v>
      </c>
      <c r="Y78" s="13" t="s">
        <v>3980</v>
      </c>
      <c r="Z78" s="13" t="s">
        <v>3980</v>
      </c>
      <c r="AC78" s="18"/>
      <c r="AD78" s="18"/>
      <c r="AE78" s="13"/>
    </row>
    <row r="79" spans="1:31" x14ac:dyDescent="0.25">
      <c r="A79" t="s">
        <v>5069</v>
      </c>
      <c r="B79" s="30">
        <v>1975</v>
      </c>
      <c r="C79" s="13">
        <v>5808</v>
      </c>
      <c r="D79" s="14">
        <v>0.95399999999999996</v>
      </c>
      <c r="E79" s="14">
        <v>0.89500000000000002</v>
      </c>
      <c r="F79" s="13">
        <v>37</v>
      </c>
      <c r="G79" s="14">
        <v>0.96899999999999997</v>
      </c>
      <c r="H79" s="18" t="s">
        <v>3661</v>
      </c>
      <c r="I79" s="26" t="s">
        <v>72</v>
      </c>
      <c r="J79" s="18" t="s">
        <v>26</v>
      </c>
      <c r="L79" s="9">
        <v>1975</v>
      </c>
      <c r="N79" s="30" t="s">
        <v>152</v>
      </c>
      <c r="O79" s="13" t="s">
        <v>28</v>
      </c>
      <c r="P79" s="13">
        <f t="shared" si="2"/>
        <v>43</v>
      </c>
      <c r="Q79" s="15">
        <f t="shared" si="3"/>
        <v>135.06976744186048</v>
      </c>
      <c r="R79" s="13" t="s">
        <v>177</v>
      </c>
      <c r="S79" s="13" t="s">
        <v>206</v>
      </c>
      <c r="T79" s="13" t="s">
        <v>2763</v>
      </c>
      <c r="U79" s="13" t="s">
        <v>2764</v>
      </c>
      <c r="V79" s="13" t="s">
        <v>3980</v>
      </c>
      <c r="W79" s="13"/>
      <c r="X79" s="13" t="s">
        <v>4335</v>
      </c>
      <c r="Y79" s="13" t="s">
        <v>3980</v>
      </c>
      <c r="Z79" s="13" t="s">
        <v>3980</v>
      </c>
      <c r="AC79" s="18"/>
      <c r="AD79" s="18"/>
      <c r="AE79" s="16"/>
    </row>
    <row r="80" spans="1:31" x14ac:dyDescent="0.25">
      <c r="A80" s="18" t="s">
        <v>413</v>
      </c>
      <c r="B80" s="30">
        <v>1997</v>
      </c>
      <c r="C80" s="13">
        <v>3671</v>
      </c>
      <c r="D80" s="14">
        <v>0.92</v>
      </c>
      <c r="E80" s="14">
        <v>0.81499999999999995</v>
      </c>
      <c r="F80" s="13">
        <v>25</v>
      </c>
      <c r="G80" s="14">
        <v>0.89500000000000002</v>
      </c>
      <c r="H80" s="18" t="s">
        <v>3242</v>
      </c>
      <c r="I80" s="26" t="s">
        <v>72</v>
      </c>
      <c r="J80" s="18" t="s">
        <v>26</v>
      </c>
      <c r="L80" s="9">
        <v>1997</v>
      </c>
      <c r="N80" s="30" t="s">
        <v>94</v>
      </c>
      <c r="O80" s="13" t="s">
        <v>28</v>
      </c>
      <c r="P80" s="13">
        <f t="shared" si="2"/>
        <v>21</v>
      </c>
      <c r="Q80" s="15">
        <f t="shared" si="3"/>
        <v>174.8095238095238</v>
      </c>
      <c r="R80" s="13" t="s">
        <v>414</v>
      </c>
      <c r="S80" s="13"/>
      <c r="T80" s="13" t="s">
        <v>415</v>
      </c>
      <c r="U80" s="13" t="s">
        <v>416</v>
      </c>
      <c r="V80" s="13" t="s">
        <v>4007</v>
      </c>
      <c r="W80" s="13"/>
      <c r="X80" s="13" t="s">
        <v>4336</v>
      </c>
      <c r="Y80" s="13" t="s">
        <v>3980</v>
      </c>
      <c r="Z80" s="13" t="s">
        <v>3980</v>
      </c>
      <c r="AC80" s="18"/>
      <c r="AD80" s="18"/>
      <c r="AE80" s="1"/>
    </row>
    <row r="81" spans="1:31" x14ac:dyDescent="0.25">
      <c r="A81" t="s">
        <v>5006</v>
      </c>
      <c r="B81" s="30">
        <v>2006</v>
      </c>
      <c r="C81" s="13">
        <v>867</v>
      </c>
      <c r="D81" s="14">
        <v>0.67500000000000004</v>
      </c>
      <c r="E81" s="14">
        <v>0.76700000000000002</v>
      </c>
      <c r="F81" s="13">
        <v>7</v>
      </c>
      <c r="G81" s="14">
        <v>0.39300000000000002</v>
      </c>
      <c r="H81" s="18" t="s">
        <v>3698</v>
      </c>
      <c r="I81" s="26" t="s">
        <v>72</v>
      </c>
      <c r="J81" s="18" t="s">
        <v>54</v>
      </c>
      <c r="K81" s="4"/>
      <c r="L81" s="9">
        <v>2006</v>
      </c>
      <c r="N81" s="30" t="s">
        <v>123</v>
      </c>
      <c r="O81" s="13" t="s">
        <v>28</v>
      </c>
      <c r="P81" s="13">
        <f t="shared" si="2"/>
        <v>12</v>
      </c>
      <c r="Q81" s="15">
        <f t="shared" si="3"/>
        <v>72.25</v>
      </c>
      <c r="R81" s="13" t="s">
        <v>2438</v>
      </c>
      <c r="S81" s="13" t="s">
        <v>1139</v>
      </c>
      <c r="T81" s="13" t="s">
        <v>2439</v>
      </c>
      <c r="U81" s="13" t="s">
        <v>2440</v>
      </c>
      <c r="V81" s="13" t="s">
        <v>3980</v>
      </c>
      <c r="W81" s="13"/>
      <c r="X81" s="13" t="s">
        <v>4337</v>
      </c>
      <c r="Y81" s="13" t="s">
        <v>3980</v>
      </c>
      <c r="Z81" s="13" t="s">
        <v>3980</v>
      </c>
      <c r="AC81" s="18"/>
      <c r="AD81" s="18"/>
      <c r="AE81" s="1"/>
    </row>
    <row r="82" spans="1:31" x14ac:dyDescent="0.25">
      <c r="A82" t="s">
        <v>1314</v>
      </c>
      <c r="B82" s="30">
        <v>2009</v>
      </c>
      <c r="C82" s="13">
        <v>110</v>
      </c>
      <c r="D82" s="14">
        <v>0.28000000000000003</v>
      </c>
      <c r="E82" s="14">
        <v>0.53300000000000003</v>
      </c>
      <c r="F82" s="13">
        <v>4</v>
      </c>
      <c r="G82" s="14">
        <v>0.19600000000000001</v>
      </c>
      <c r="H82" s="18" t="s">
        <v>3489</v>
      </c>
      <c r="I82" s="26" t="s">
        <v>72</v>
      </c>
      <c r="J82" s="18" t="s">
        <v>105</v>
      </c>
      <c r="K82" s="4"/>
      <c r="L82" s="9">
        <f>B82</f>
        <v>2009</v>
      </c>
      <c r="M82" s="20" t="s">
        <v>3132</v>
      </c>
      <c r="N82" s="30" t="s">
        <v>72</v>
      </c>
      <c r="O82" s="13" t="s">
        <v>42</v>
      </c>
      <c r="P82" s="13">
        <f t="shared" si="2"/>
        <v>9</v>
      </c>
      <c r="Q82" s="15">
        <f t="shared" si="3"/>
        <v>12.222222222222221</v>
      </c>
      <c r="R82" s="13" t="s">
        <v>1315</v>
      </c>
      <c r="S82" s="13"/>
      <c r="T82" s="13" t="s">
        <v>1316</v>
      </c>
      <c r="U82" s="13"/>
      <c r="V82" s="13" t="s">
        <v>3980</v>
      </c>
      <c r="W82" s="13"/>
      <c r="X82" s="13" t="s">
        <v>3980</v>
      </c>
      <c r="Y82" s="13" t="s">
        <v>3980</v>
      </c>
      <c r="Z82" s="13" t="s">
        <v>3980</v>
      </c>
      <c r="AC82" s="18"/>
      <c r="AD82" s="18"/>
      <c r="AE82" s="1"/>
    </row>
    <row r="83" spans="1:31" x14ac:dyDescent="0.25">
      <c r="A83" t="s">
        <v>589</v>
      </c>
      <c r="B83" s="30">
        <v>1972</v>
      </c>
      <c r="C83" s="13">
        <v>3048</v>
      </c>
      <c r="D83" s="14">
        <v>0.89300000000000002</v>
      </c>
      <c r="E83" s="14">
        <v>0.76300000000000001</v>
      </c>
      <c r="F83" s="13">
        <v>22</v>
      </c>
      <c r="G83" s="14">
        <v>0.85699999999999998</v>
      </c>
      <c r="H83" s="18" t="s">
        <v>3287</v>
      </c>
      <c r="I83" s="26" t="s">
        <v>72</v>
      </c>
      <c r="J83" s="18" t="s">
        <v>26</v>
      </c>
      <c r="L83" s="9">
        <v>1972</v>
      </c>
      <c r="N83" s="30" t="s">
        <v>331</v>
      </c>
      <c r="O83" s="13" t="s">
        <v>28</v>
      </c>
      <c r="P83" s="13">
        <f t="shared" si="2"/>
        <v>46</v>
      </c>
      <c r="Q83" s="15">
        <f t="shared" si="3"/>
        <v>66.260869565217391</v>
      </c>
      <c r="R83" s="13" t="s">
        <v>590</v>
      </c>
      <c r="S83" s="13"/>
      <c r="T83" s="13" t="s">
        <v>591</v>
      </c>
      <c r="U83" s="13" t="s">
        <v>592</v>
      </c>
      <c r="V83" s="13" t="s">
        <v>4008</v>
      </c>
      <c r="W83" s="13"/>
      <c r="X83" s="13" t="s">
        <v>4338</v>
      </c>
      <c r="Y83" s="13" t="s">
        <v>3980</v>
      </c>
      <c r="Z83" s="13" t="s">
        <v>3980</v>
      </c>
      <c r="AC83" s="18"/>
      <c r="AD83" s="18"/>
      <c r="AE83" s="1"/>
    </row>
    <row r="84" spans="1:31" x14ac:dyDescent="0.25">
      <c r="A84" t="s">
        <v>2314</v>
      </c>
      <c r="B84" s="30">
        <v>1992</v>
      </c>
      <c r="C84" s="8">
        <v>509</v>
      </c>
      <c r="D84" s="14">
        <v>0.55900000000000005</v>
      </c>
      <c r="E84" s="14">
        <v>0.30199999999999999</v>
      </c>
      <c r="F84" s="8">
        <v>10</v>
      </c>
      <c r="G84" s="14">
        <v>0.52200000000000002</v>
      </c>
      <c r="H84" s="18" t="s">
        <v>3599</v>
      </c>
      <c r="I84" s="26" t="s">
        <v>72</v>
      </c>
      <c r="J84" s="18" t="s">
        <v>26</v>
      </c>
      <c r="L84" s="9">
        <f>B84</f>
        <v>1992</v>
      </c>
      <c r="N84" s="28" t="s">
        <v>72</v>
      </c>
      <c r="O84" s="13" t="s">
        <v>28</v>
      </c>
      <c r="P84" s="13">
        <f t="shared" si="2"/>
        <v>26</v>
      </c>
      <c r="Q84" s="15">
        <f t="shared" si="3"/>
        <v>19.576923076923077</v>
      </c>
      <c r="R84" s="18" t="s">
        <v>1040</v>
      </c>
      <c r="T84" s="18" t="s">
        <v>3830</v>
      </c>
      <c r="V84" s="18" t="s">
        <v>3980</v>
      </c>
      <c r="X84" s="18" t="s">
        <v>3980</v>
      </c>
      <c r="Y84" s="18" t="s">
        <v>3980</v>
      </c>
      <c r="Z84" s="18" t="s">
        <v>3980</v>
      </c>
      <c r="AC84" s="18"/>
      <c r="AD84" s="18"/>
      <c r="AE84" s="1"/>
    </row>
    <row r="85" spans="1:31" x14ac:dyDescent="0.25">
      <c r="A85" s="18" t="s">
        <v>71</v>
      </c>
      <c r="B85" s="30">
        <v>1996</v>
      </c>
      <c r="C85" s="13">
        <v>2590</v>
      </c>
      <c r="D85" s="14">
        <v>0.875</v>
      </c>
      <c r="E85" s="14">
        <v>0.72399999999999998</v>
      </c>
      <c r="F85" s="13">
        <v>24</v>
      </c>
      <c r="G85" s="14">
        <v>0.88300000000000001</v>
      </c>
      <c r="H85" s="18" t="s">
        <v>3169</v>
      </c>
      <c r="I85" s="26" t="s">
        <v>72</v>
      </c>
      <c r="J85" s="18" t="s">
        <v>26</v>
      </c>
      <c r="L85" s="9">
        <v>1996</v>
      </c>
      <c r="N85" s="30" t="s">
        <v>67</v>
      </c>
      <c r="O85" s="13" t="s">
        <v>42</v>
      </c>
      <c r="P85" s="13">
        <f t="shared" si="2"/>
        <v>22</v>
      </c>
      <c r="Q85" s="15">
        <f t="shared" si="3"/>
        <v>117.72727272727273</v>
      </c>
      <c r="R85" s="13" t="s">
        <v>73</v>
      </c>
      <c r="S85" s="13"/>
      <c r="T85" s="13" t="s">
        <v>74</v>
      </c>
      <c r="U85" s="13" t="s">
        <v>75</v>
      </c>
      <c r="V85" s="13" t="s">
        <v>3980</v>
      </c>
      <c r="W85" s="13"/>
      <c r="X85" s="13" t="s">
        <v>4339</v>
      </c>
      <c r="Y85" s="13" t="s">
        <v>3980</v>
      </c>
      <c r="Z85" s="13" t="s">
        <v>3980</v>
      </c>
      <c r="AC85" s="18"/>
      <c r="AD85" s="18"/>
      <c r="AE85" s="13"/>
    </row>
    <row r="86" spans="1:31" x14ac:dyDescent="0.25">
      <c r="A86" s="18" t="s">
        <v>5127</v>
      </c>
      <c r="B86" s="30">
        <v>1999</v>
      </c>
      <c r="C86" s="13">
        <v>1216</v>
      </c>
      <c r="D86" s="14">
        <v>0.74199999999999999</v>
      </c>
      <c r="E86" s="14">
        <v>0.85299999999999998</v>
      </c>
      <c r="F86" s="13">
        <v>15</v>
      </c>
      <c r="G86" s="14">
        <v>0.71</v>
      </c>
      <c r="I86" s="26" t="s">
        <v>152</v>
      </c>
      <c r="J86" s="18" t="s">
        <v>54</v>
      </c>
      <c r="L86" s="9">
        <v>1999</v>
      </c>
      <c r="N86" s="30" t="s">
        <v>277</v>
      </c>
      <c r="O86" s="13" t="s">
        <v>42</v>
      </c>
      <c r="P86" s="13">
        <f t="shared" si="2"/>
        <v>19</v>
      </c>
      <c r="Q86" s="15">
        <f t="shared" si="3"/>
        <v>64</v>
      </c>
      <c r="R86" s="13" t="s">
        <v>2991</v>
      </c>
      <c r="S86" s="13" t="s">
        <v>206</v>
      </c>
      <c r="T86" s="13" t="s">
        <v>2992</v>
      </c>
      <c r="U86" s="13"/>
      <c r="V86" s="13" t="s">
        <v>3980</v>
      </c>
      <c r="W86" s="13"/>
      <c r="X86" s="13" t="s">
        <v>4340</v>
      </c>
      <c r="Y86" s="13" t="s">
        <v>3980</v>
      </c>
      <c r="Z86" s="13" t="s">
        <v>3980</v>
      </c>
      <c r="AC86" s="18"/>
      <c r="AD86" s="18"/>
      <c r="AE86" s="13"/>
    </row>
    <row r="87" spans="1:31" x14ac:dyDescent="0.25">
      <c r="A87" t="s">
        <v>5059</v>
      </c>
      <c r="B87" s="30">
        <v>1972</v>
      </c>
      <c r="C87" s="13">
        <v>78</v>
      </c>
      <c r="D87" s="14">
        <v>0.22700000000000001</v>
      </c>
      <c r="E87" s="14">
        <v>0.11799999999999999</v>
      </c>
      <c r="F87" s="13">
        <v>4</v>
      </c>
      <c r="G87" s="14">
        <v>0.19600000000000001</v>
      </c>
      <c r="I87" s="26" t="s">
        <v>152</v>
      </c>
      <c r="J87" t="s">
        <v>26</v>
      </c>
      <c r="L87" s="9">
        <v>1972</v>
      </c>
      <c r="N87" s="30" t="s">
        <v>760</v>
      </c>
      <c r="O87" s="13" t="s">
        <v>28</v>
      </c>
      <c r="P87" s="13">
        <f t="shared" si="2"/>
        <v>46</v>
      </c>
      <c r="Q87" s="15">
        <f t="shared" si="3"/>
        <v>1.6956521739130435</v>
      </c>
      <c r="R87" s="13" t="s">
        <v>130</v>
      </c>
      <c r="S87" s="13" t="s">
        <v>30</v>
      </c>
      <c r="T87" s="13" t="s">
        <v>1980</v>
      </c>
      <c r="U87" s="13" t="s">
        <v>2762</v>
      </c>
      <c r="V87" s="13" t="s">
        <v>3980</v>
      </c>
      <c r="W87" s="13"/>
      <c r="X87" s="13" t="s">
        <v>3980</v>
      </c>
      <c r="Y87" s="13" t="s">
        <v>3980</v>
      </c>
      <c r="Z87" s="13" t="s">
        <v>3980</v>
      </c>
      <c r="AC87" s="18"/>
      <c r="AD87" s="18"/>
      <c r="AE87" s="1"/>
    </row>
    <row r="88" spans="1:31" x14ac:dyDescent="0.25">
      <c r="A88" s="18" t="s">
        <v>2588</v>
      </c>
      <c r="B88" s="30">
        <v>1995</v>
      </c>
      <c r="C88" s="8">
        <v>521</v>
      </c>
      <c r="D88" s="14">
        <v>0.56299999999999994</v>
      </c>
      <c r="E88" s="14">
        <v>0.63</v>
      </c>
      <c r="F88" s="8">
        <v>9</v>
      </c>
      <c r="G88" s="14">
        <v>0.48799999999999999</v>
      </c>
      <c r="I88" s="26" t="s">
        <v>152</v>
      </c>
      <c r="J88" s="18" t="s">
        <v>54</v>
      </c>
      <c r="L88" s="9">
        <f>B88</f>
        <v>1995</v>
      </c>
      <c r="N88" s="28" t="s">
        <v>220</v>
      </c>
      <c r="O88" s="13" t="s">
        <v>42</v>
      </c>
      <c r="P88" s="13">
        <f t="shared" si="2"/>
        <v>23</v>
      </c>
      <c r="Q88" s="15">
        <f t="shared" si="3"/>
        <v>22.652173913043477</v>
      </c>
      <c r="R88" s="18" t="s">
        <v>2590</v>
      </c>
      <c r="T88" s="18" t="s">
        <v>2302</v>
      </c>
      <c r="V88" s="18" t="s">
        <v>3980</v>
      </c>
      <c r="X88" s="18" t="s">
        <v>3980</v>
      </c>
      <c r="Y88" s="18" t="s">
        <v>3980</v>
      </c>
      <c r="Z88" s="18" t="s">
        <v>3980</v>
      </c>
      <c r="AC88" s="18"/>
      <c r="AD88" s="18"/>
      <c r="AE88" s="1"/>
    </row>
    <row r="89" spans="1:31" x14ac:dyDescent="0.25">
      <c r="A89" s="18" t="s">
        <v>5116</v>
      </c>
      <c r="B89" s="30">
        <v>1999</v>
      </c>
      <c r="C89" s="13">
        <v>1986</v>
      </c>
      <c r="D89" s="14">
        <v>0.82799999999999996</v>
      </c>
      <c r="E89" s="14">
        <v>0.94199999999999995</v>
      </c>
      <c r="F89" s="13">
        <v>13</v>
      </c>
      <c r="G89" s="14">
        <v>0.64500000000000002</v>
      </c>
      <c r="H89" s="18" t="s">
        <v>3377</v>
      </c>
      <c r="I89" s="26" t="s">
        <v>152</v>
      </c>
      <c r="J89" s="4" t="s">
        <v>54</v>
      </c>
      <c r="L89" s="9">
        <v>1999</v>
      </c>
      <c r="N89" s="30" t="s">
        <v>123</v>
      </c>
      <c r="O89" s="13" t="s">
        <v>28</v>
      </c>
      <c r="P89" s="13">
        <f t="shared" si="2"/>
        <v>19</v>
      </c>
      <c r="Q89" s="15">
        <f t="shared" si="3"/>
        <v>104.52631578947368</v>
      </c>
      <c r="R89" s="13" t="s">
        <v>285</v>
      </c>
      <c r="S89" s="13" t="s">
        <v>62</v>
      </c>
      <c r="T89" s="13" t="s">
        <v>925</v>
      </c>
      <c r="U89" s="13"/>
      <c r="V89" s="13" t="s">
        <v>4009</v>
      </c>
      <c r="W89" s="13"/>
      <c r="X89" s="13" t="s">
        <v>4341</v>
      </c>
      <c r="Y89" s="13" t="s">
        <v>3980</v>
      </c>
      <c r="Z89" s="13" t="s">
        <v>3980</v>
      </c>
      <c r="AC89" s="18"/>
      <c r="AD89" s="18"/>
      <c r="AE89" s="13"/>
    </row>
    <row r="90" spans="1:31" x14ac:dyDescent="0.25">
      <c r="A90" t="s">
        <v>5113</v>
      </c>
      <c r="B90" s="30">
        <v>2011</v>
      </c>
      <c r="C90" s="13">
        <v>46</v>
      </c>
      <c r="D90" s="14">
        <v>0.16900000000000001</v>
      </c>
      <c r="E90" s="14">
        <v>0.33300000000000002</v>
      </c>
      <c r="F90" s="13">
        <v>3</v>
      </c>
      <c r="G90" s="14">
        <v>0.13100000000000001</v>
      </c>
      <c r="H90" s="18" t="s">
        <v>3513</v>
      </c>
      <c r="I90" s="26" t="s">
        <v>152</v>
      </c>
      <c r="J90" s="18" t="s">
        <v>105</v>
      </c>
      <c r="K90" s="4"/>
      <c r="L90" s="9">
        <f>B90</f>
        <v>2011</v>
      </c>
      <c r="N90" s="30" t="s">
        <v>34</v>
      </c>
      <c r="O90" s="13" t="s">
        <v>42</v>
      </c>
      <c r="P90" s="13">
        <f t="shared" si="2"/>
        <v>7</v>
      </c>
      <c r="Q90" s="15">
        <f t="shared" si="3"/>
        <v>6.5714285714285712</v>
      </c>
      <c r="R90" s="13" t="s">
        <v>1389</v>
      </c>
      <c r="S90" s="13" t="s">
        <v>1390</v>
      </c>
      <c r="T90" s="13" t="s">
        <v>1391</v>
      </c>
      <c r="U90" s="13"/>
      <c r="V90" s="13" t="s">
        <v>3980</v>
      </c>
      <c r="W90" s="13"/>
      <c r="X90" s="13" t="s">
        <v>3980</v>
      </c>
      <c r="Y90" s="13" t="s">
        <v>3980</v>
      </c>
      <c r="Z90" s="13" t="s">
        <v>3980</v>
      </c>
      <c r="AC90" s="18"/>
      <c r="AD90" s="18"/>
      <c r="AE90" s="13"/>
    </row>
    <row r="91" spans="1:31" x14ac:dyDescent="0.25">
      <c r="A91" t="s">
        <v>2118</v>
      </c>
      <c r="B91" s="30">
        <v>1982</v>
      </c>
      <c r="C91" s="13">
        <v>35</v>
      </c>
      <c r="D91" s="14">
        <v>0.13800000000000001</v>
      </c>
      <c r="E91" s="14">
        <v>0.111</v>
      </c>
      <c r="F91" s="13">
        <v>3</v>
      </c>
      <c r="G91" s="14">
        <v>0.13100000000000001</v>
      </c>
      <c r="I91" s="26" t="s">
        <v>152</v>
      </c>
      <c r="J91" t="s">
        <v>54</v>
      </c>
      <c r="K91" s="4"/>
      <c r="L91" s="9">
        <v>1982</v>
      </c>
      <c r="N91" s="30" t="s">
        <v>41</v>
      </c>
      <c r="O91" s="13" t="s">
        <v>28</v>
      </c>
      <c r="P91" s="13">
        <f t="shared" si="2"/>
        <v>36</v>
      </c>
      <c r="Q91" s="15">
        <f t="shared" si="3"/>
        <v>0.97222222222222221</v>
      </c>
      <c r="R91" s="13" t="s">
        <v>346</v>
      </c>
      <c r="S91" s="13"/>
      <c r="T91" s="13" t="s">
        <v>2119</v>
      </c>
      <c r="U91" s="13" t="s">
        <v>2120</v>
      </c>
      <c r="V91" s="13" t="s">
        <v>3980</v>
      </c>
      <c r="W91" s="13"/>
      <c r="X91" s="13" t="s">
        <v>4342</v>
      </c>
      <c r="Y91" s="13" t="s">
        <v>3980</v>
      </c>
      <c r="Z91" s="13" t="s">
        <v>3980</v>
      </c>
      <c r="AC91" s="18"/>
      <c r="AD91" s="18"/>
      <c r="AE91" s="13"/>
    </row>
    <row r="92" spans="1:31" x14ac:dyDescent="0.25">
      <c r="A92" s="18" t="s">
        <v>2315</v>
      </c>
      <c r="B92" s="30">
        <v>1987</v>
      </c>
      <c r="C92" s="13">
        <v>675</v>
      </c>
      <c r="D92" s="14">
        <v>0.625</v>
      </c>
      <c r="E92" s="14">
        <v>0.35</v>
      </c>
      <c r="F92" s="13">
        <v>15</v>
      </c>
      <c r="G92" s="14">
        <v>0.71</v>
      </c>
      <c r="I92" s="26" t="s">
        <v>152</v>
      </c>
      <c r="J92" s="18" t="s">
        <v>26</v>
      </c>
      <c r="L92" s="9">
        <v>1987</v>
      </c>
      <c r="N92" s="30" t="s">
        <v>152</v>
      </c>
      <c r="O92" s="13" t="s">
        <v>28</v>
      </c>
      <c r="P92" s="13">
        <f t="shared" si="2"/>
        <v>31</v>
      </c>
      <c r="Q92" s="15">
        <f t="shared" si="3"/>
        <v>21.774193548387096</v>
      </c>
      <c r="R92" s="13" t="s">
        <v>2316</v>
      </c>
      <c r="S92" s="13"/>
      <c r="T92" s="13" t="s">
        <v>2317</v>
      </c>
      <c r="U92" s="13" t="s">
        <v>2318</v>
      </c>
      <c r="V92" s="13" t="s">
        <v>3980</v>
      </c>
      <c r="W92" s="13"/>
      <c r="X92" s="13" t="s">
        <v>4343</v>
      </c>
      <c r="Y92" s="13" t="s">
        <v>3980</v>
      </c>
      <c r="Z92" s="13" t="s">
        <v>3980</v>
      </c>
      <c r="AC92" s="18"/>
      <c r="AD92" s="18"/>
      <c r="AE92" s="13"/>
    </row>
    <row r="93" spans="1:31" x14ac:dyDescent="0.25">
      <c r="A93" t="s">
        <v>2175</v>
      </c>
      <c r="B93" s="30">
        <v>1977</v>
      </c>
      <c r="C93" s="13">
        <v>15604</v>
      </c>
      <c r="D93" s="14">
        <v>0.99199999999999999</v>
      </c>
      <c r="E93" s="14">
        <v>0.98099999999999998</v>
      </c>
      <c r="F93" s="13">
        <v>43</v>
      </c>
      <c r="G93" s="14">
        <v>0.98299999999999998</v>
      </c>
      <c r="I93" s="26" t="s">
        <v>152</v>
      </c>
      <c r="J93" s="18" t="s">
        <v>26</v>
      </c>
      <c r="L93" s="9">
        <v>1977</v>
      </c>
      <c r="N93" s="30" t="s">
        <v>41</v>
      </c>
      <c r="O93" s="13" t="s">
        <v>28</v>
      </c>
      <c r="P93" s="13">
        <f t="shared" si="2"/>
        <v>41</v>
      </c>
      <c r="Q93" s="15">
        <f t="shared" si="3"/>
        <v>380.58536585365852</v>
      </c>
      <c r="R93" s="13" t="s">
        <v>808</v>
      </c>
      <c r="S93" s="13"/>
      <c r="T93" s="13" t="s">
        <v>2176</v>
      </c>
      <c r="U93" s="13" t="s">
        <v>2177</v>
      </c>
      <c r="V93" s="13" t="s">
        <v>4010</v>
      </c>
      <c r="W93" s="13"/>
      <c r="X93" s="13" t="s">
        <v>4344</v>
      </c>
      <c r="Y93" s="13" t="s">
        <v>3980</v>
      </c>
      <c r="Z93" s="13" t="s">
        <v>3980</v>
      </c>
      <c r="AC93" s="18"/>
      <c r="AD93" s="18"/>
      <c r="AE93" s="13"/>
    </row>
    <row r="94" spans="1:31" x14ac:dyDescent="0.25">
      <c r="A94" t="s">
        <v>2609</v>
      </c>
      <c r="B94" s="30">
        <v>2014</v>
      </c>
      <c r="C94" s="8">
        <v>261</v>
      </c>
      <c r="D94" s="14">
        <v>0.42099999999999999</v>
      </c>
      <c r="E94" s="14">
        <v>0.72599999999999998</v>
      </c>
      <c r="F94" s="8">
        <v>8</v>
      </c>
      <c r="G94" s="14">
        <v>0.434</v>
      </c>
      <c r="H94" s="18" t="s">
        <v>3571</v>
      </c>
      <c r="I94" s="26" t="s">
        <v>152</v>
      </c>
      <c r="J94" s="18" t="s">
        <v>105</v>
      </c>
      <c r="L94" s="9">
        <f>B94</f>
        <v>2014</v>
      </c>
      <c r="N94" s="28" t="s">
        <v>67</v>
      </c>
      <c r="O94" s="13" t="s">
        <v>28</v>
      </c>
      <c r="P94" s="13">
        <f t="shared" si="2"/>
        <v>4</v>
      </c>
      <c r="Q94" s="15">
        <f t="shared" si="3"/>
        <v>65.25</v>
      </c>
      <c r="R94" s="18" t="s">
        <v>2607</v>
      </c>
      <c r="T94" s="18" t="s">
        <v>3779</v>
      </c>
      <c r="V94" s="18" t="s">
        <v>3980</v>
      </c>
      <c r="X94" s="18" t="s">
        <v>3980</v>
      </c>
      <c r="Y94" s="18" t="s">
        <v>3980</v>
      </c>
      <c r="Z94" s="18" t="s">
        <v>3980</v>
      </c>
      <c r="AC94" s="18"/>
      <c r="AD94" s="18"/>
      <c r="AE94" s="1"/>
    </row>
    <row r="95" spans="1:31" x14ac:dyDescent="0.25">
      <c r="A95" t="s">
        <v>2598</v>
      </c>
      <c r="B95" s="30">
        <v>2001</v>
      </c>
      <c r="C95" s="13">
        <v>450</v>
      </c>
      <c r="D95" s="14">
        <v>0.53300000000000003</v>
      </c>
      <c r="E95" s="14">
        <v>0.58399999999999996</v>
      </c>
      <c r="F95" s="13">
        <v>10</v>
      </c>
      <c r="G95" s="14">
        <v>0.52200000000000002</v>
      </c>
      <c r="I95" s="26" t="s">
        <v>152</v>
      </c>
      <c r="J95" s="18" t="s">
        <v>54</v>
      </c>
      <c r="L95" s="9">
        <v>2001</v>
      </c>
      <c r="N95" s="30" t="s">
        <v>41</v>
      </c>
      <c r="O95" s="13" t="s">
        <v>42</v>
      </c>
      <c r="P95" s="13">
        <f t="shared" si="2"/>
        <v>17</v>
      </c>
      <c r="Q95" s="15">
        <f t="shared" si="3"/>
        <v>26.470588235294116</v>
      </c>
      <c r="R95" s="13" t="s">
        <v>2599</v>
      </c>
      <c r="S95" s="13"/>
      <c r="T95" s="13" t="s">
        <v>2600</v>
      </c>
      <c r="U95" s="13" t="s">
        <v>2601</v>
      </c>
      <c r="V95" s="13" t="s">
        <v>3980</v>
      </c>
      <c r="W95" s="13"/>
      <c r="X95" s="13" t="s">
        <v>4345</v>
      </c>
      <c r="Y95" s="13" t="s">
        <v>3980</v>
      </c>
      <c r="Z95" s="13" t="s">
        <v>3980</v>
      </c>
      <c r="AC95" s="18"/>
      <c r="AD95" s="18"/>
      <c r="AE95" s="1"/>
    </row>
    <row r="96" spans="1:31" x14ac:dyDescent="0.25">
      <c r="A96" t="s">
        <v>2124</v>
      </c>
      <c r="B96" s="30">
        <v>2013</v>
      </c>
      <c r="C96" s="13">
        <v>33</v>
      </c>
      <c r="D96" s="14">
        <v>0.13300000000000001</v>
      </c>
      <c r="E96" s="14">
        <v>0.26600000000000001</v>
      </c>
      <c r="F96" s="13">
        <v>3</v>
      </c>
      <c r="G96" s="14">
        <v>0.13100000000000001</v>
      </c>
      <c r="H96" s="18" t="s">
        <v>4946</v>
      </c>
      <c r="I96" s="26" t="s">
        <v>152</v>
      </c>
      <c r="J96" s="4" t="s">
        <v>105</v>
      </c>
      <c r="L96" s="9">
        <v>2013</v>
      </c>
      <c r="N96" s="30" t="s">
        <v>798</v>
      </c>
      <c r="O96" s="13" t="s">
        <v>42</v>
      </c>
      <c r="P96" s="13">
        <f t="shared" si="2"/>
        <v>5</v>
      </c>
      <c r="Q96" s="15">
        <f t="shared" si="3"/>
        <v>6.6</v>
      </c>
      <c r="R96" s="13" t="s">
        <v>338</v>
      </c>
      <c r="S96" s="13"/>
      <c r="T96" s="13" t="s">
        <v>2125</v>
      </c>
      <c r="U96" s="13" t="s">
        <v>2126</v>
      </c>
      <c r="V96" s="13" t="s">
        <v>4011</v>
      </c>
      <c r="W96" s="13"/>
      <c r="X96" s="13" t="s">
        <v>3980</v>
      </c>
      <c r="Y96" s="13" t="s">
        <v>3980</v>
      </c>
      <c r="Z96" s="13" t="s">
        <v>3980</v>
      </c>
      <c r="AC96" s="18"/>
      <c r="AD96" s="18"/>
      <c r="AE96" s="1"/>
    </row>
    <row r="97" spans="1:31" x14ac:dyDescent="0.25">
      <c r="A97" t="s">
        <v>2905</v>
      </c>
      <c r="B97" s="30">
        <v>2006</v>
      </c>
      <c r="C97" s="13">
        <v>415</v>
      </c>
      <c r="D97" s="14">
        <v>0.51300000000000001</v>
      </c>
      <c r="E97" s="14">
        <v>0.56399999999999995</v>
      </c>
      <c r="F97" s="13">
        <v>11</v>
      </c>
      <c r="G97" s="14">
        <v>0.56000000000000005</v>
      </c>
      <c r="I97" s="26" t="s">
        <v>152</v>
      </c>
      <c r="J97" t="s">
        <v>54</v>
      </c>
      <c r="K97" s="4"/>
      <c r="L97" s="9">
        <v>2006</v>
      </c>
      <c r="N97" s="30" t="s">
        <v>67</v>
      </c>
      <c r="O97" s="13" t="s">
        <v>28</v>
      </c>
      <c r="P97" s="13">
        <f t="shared" si="2"/>
        <v>12</v>
      </c>
      <c r="Q97" s="15">
        <f t="shared" si="3"/>
        <v>34.583333333333336</v>
      </c>
      <c r="R97" s="13" t="s">
        <v>2903</v>
      </c>
      <c r="S97" s="13"/>
      <c r="T97" s="13" t="s">
        <v>2906</v>
      </c>
      <c r="U97" s="13"/>
      <c r="V97" s="13" t="s">
        <v>4012</v>
      </c>
      <c r="W97" s="13"/>
      <c r="X97" s="13" t="s">
        <v>4346</v>
      </c>
      <c r="Y97" s="13" t="s">
        <v>3980</v>
      </c>
      <c r="Z97" s="13" t="s">
        <v>3980</v>
      </c>
      <c r="AC97" s="18"/>
      <c r="AD97" s="18"/>
      <c r="AE97" s="1"/>
    </row>
    <row r="98" spans="1:31" x14ac:dyDescent="0.25">
      <c r="A98" t="s">
        <v>2395</v>
      </c>
      <c r="B98" s="30">
        <v>2017</v>
      </c>
      <c r="C98" s="8">
        <v>153</v>
      </c>
      <c r="D98" s="14">
        <v>0.34300000000000003</v>
      </c>
      <c r="E98" s="14">
        <v>0.628</v>
      </c>
      <c r="F98" s="8">
        <v>5</v>
      </c>
      <c r="G98" s="14">
        <v>0.27400000000000002</v>
      </c>
      <c r="H98" s="18" t="s">
        <v>3580</v>
      </c>
      <c r="I98" s="26" t="s">
        <v>152</v>
      </c>
      <c r="J98" s="4" t="s">
        <v>105</v>
      </c>
      <c r="L98" s="9">
        <f>B98</f>
        <v>2017</v>
      </c>
      <c r="N98" s="28" t="s">
        <v>123</v>
      </c>
      <c r="O98" s="13" t="s">
        <v>42</v>
      </c>
      <c r="P98" s="13">
        <f t="shared" si="2"/>
        <v>1</v>
      </c>
      <c r="Q98" s="15">
        <f t="shared" si="3"/>
        <v>153</v>
      </c>
      <c r="R98" s="18" t="s">
        <v>3780</v>
      </c>
      <c r="T98" s="18" t="s">
        <v>3781</v>
      </c>
      <c r="V98" s="18" t="s">
        <v>3980</v>
      </c>
      <c r="X98" s="18" t="s">
        <v>3980</v>
      </c>
      <c r="Y98" s="18" t="s">
        <v>3980</v>
      </c>
      <c r="Z98" s="18" t="s">
        <v>3980</v>
      </c>
      <c r="AC98" s="18"/>
      <c r="AD98" s="18"/>
      <c r="AE98" s="13"/>
    </row>
    <row r="99" spans="1:31" x14ac:dyDescent="0.25">
      <c r="A99" t="s">
        <v>2545</v>
      </c>
      <c r="B99" s="30">
        <v>1976</v>
      </c>
      <c r="C99" s="13">
        <v>141</v>
      </c>
      <c r="D99" s="14">
        <v>0.32900000000000001</v>
      </c>
      <c r="E99" s="14">
        <v>0.157</v>
      </c>
      <c r="F99" s="13">
        <v>6</v>
      </c>
      <c r="G99" s="14">
        <v>0.32200000000000001</v>
      </c>
      <c r="I99" s="26" t="s">
        <v>152</v>
      </c>
      <c r="J99" s="18" t="s">
        <v>26</v>
      </c>
      <c r="K99" s="4"/>
      <c r="L99" s="9">
        <v>1976</v>
      </c>
      <c r="N99" s="30" t="s">
        <v>152</v>
      </c>
      <c r="O99" s="13" t="s">
        <v>28</v>
      </c>
      <c r="P99" s="13">
        <f t="shared" si="2"/>
        <v>42</v>
      </c>
      <c r="Q99" s="15">
        <f t="shared" si="3"/>
        <v>3.3571428571428572</v>
      </c>
      <c r="R99" s="13" t="s">
        <v>84</v>
      </c>
      <c r="S99" s="13"/>
      <c r="T99" s="13" t="s">
        <v>2546</v>
      </c>
      <c r="U99" s="13" t="s">
        <v>2547</v>
      </c>
      <c r="V99" s="13" t="s">
        <v>3980</v>
      </c>
      <c r="W99" s="13"/>
      <c r="X99" s="13" t="s">
        <v>4347</v>
      </c>
      <c r="Y99" s="13" t="s">
        <v>3980</v>
      </c>
      <c r="Z99" s="13" t="s">
        <v>3980</v>
      </c>
      <c r="AC99" s="18"/>
      <c r="AD99" s="18"/>
      <c r="AE99" s="1"/>
    </row>
    <row r="100" spans="1:31" x14ac:dyDescent="0.25">
      <c r="A100" t="s">
        <v>660</v>
      </c>
      <c r="B100" s="30">
        <v>1997</v>
      </c>
      <c r="C100" s="13">
        <v>6085</v>
      </c>
      <c r="D100" s="14">
        <v>0.96199999999999997</v>
      </c>
      <c r="E100" s="14">
        <v>0.91100000000000003</v>
      </c>
      <c r="F100" s="13">
        <v>38</v>
      </c>
      <c r="G100" s="14">
        <v>0.97299999999999998</v>
      </c>
      <c r="H100" s="18" t="s">
        <v>3306</v>
      </c>
      <c r="I100" s="26" t="s">
        <v>152</v>
      </c>
      <c r="J100" s="18" t="s">
        <v>26</v>
      </c>
      <c r="K100" s="4"/>
      <c r="L100" s="9">
        <v>1997</v>
      </c>
      <c r="N100" s="30" t="s">
        <v>152</v>
      </c>
      <c r="O100" s="13" t="s">
        <v>42</v>
      </c>
      <c r="P100" s="13">
        <f t="shared" si="2"/>
        <v>21</v>
      </c>
      <c r="Q100" s="15">
        <f t="shared" si="3"/>
        <v>289.76190476190476</v>
      </c>
      <c r="R100" s="13" t="s">
        <v>661</v>
      </c>
      <c r="S100" s="13"/>
      <c r="T100" s="13" t="s">
        <v>662</v>
      </c>
      <c r="U100" s="13" t="s">
        <v>663</v>
      </c>
      <c r="V100" s="13" t="s">
        <v>4013</v>
      </c>
      <c r="W100" s="13"/>
      <c r="X100" s="13" t="s">
        <v>4348</v>
      </c>
      <c r="Y100" s="13" t="s">
        <v>3980</v>
      </c>
      <c r="Z100" s="13" t="s">
        <v>3980</v>
      </c>
      <c r="AC100" s="18"/>
      <c r="AD100" s="18"/>
      <c r="AE100" s="1"/>
    </row>
    <row r="101" spans="1:31" x14ac:dyDescent="0.25">
      <c r="A101" t="s">
        <v>4953</v>
      </c>
      <c r="B101" s="30">
        <v>1991</v>
      </c>
      <c r="C101" s="13">
        <v>2717</v>
      </c>
      <c r="D101" s="14">
        <v>0.88</v>
      </c>
      <c r="E101" s="14">
        <v>0.73299999999999998</v>
      </c>
      <c r="F101" s="13">
        <v>26</v>
      </c>
      <c r="G101" s="14">
        <v>0.90200000000000002</v>
      </c>
      <c r="H101" s="18" t="s">
        <v>3516</v>
      </c>
      <c r="I101" s="18" t="s">
        <v>1032</v>
      </c>
      <c r="J101" s="18" t="s">
        <v>26</v>
      </c>
      <c r="L101" s="9">
        <f t="shared" ref="L101:L108" si="4">B101</f>
        <v>1991</v>
      </c>
      <c r="N101" s="30" t="s">
        <v>2336</v>
      </c>
      <c r="O101" s="13" t="s">
        <v>42</v>
      </c>
      <c r="P101" s="13">
        <f t="shared" si="2"/>
        <v>27</v>
      </c>
      <c r="Q101" s="15">
        <f t="shared" si="3"/>
        <v>100.62962962962963</v>
      </c>
      <c r="R101" s="13" t="s">
        <v>993</v>
      </c>
      <c r="S101" s="13"/>
      <c r="T101" s="13" t="s">
        <v>1398</v>
      </c>
      <c r="U101" s="13"/>
      <c r="V101" s="13" t="s">
        <v>3980</v>
      </c>
      <c r="W101" s="13"/>
      <c r="X101" s="13" t="s">
        <v>3980</v>
      </c>
      <c r="Y101" s="13" t="s">
        <v>3980</v>
      </c>
      <c r="Z101" s="13" t="s">
        <v>3980</v>
      </c>
      <c r="AC101" s="18"/>
      <c r="AD101" s="18"/>
      <c r="AE101" s="1"/>
    </row>
    <row r="102" spans="1:31" x14ac:dyDescent="0.25">
      <c r="A102" s="28" t="s">
        <v>4829</v>
      </c>
      <c r="B102" s="30">
        <v>2009</v>
      </c>
      <c r="C102" s="13">
        <v>70</v>
      </c>
      <c r="D102" s="14">
        <v>0.21299999999999999</v>
      </c>
      <c r="E102" s="14">
        <v>0.17699999999999999</v>
      </c>
      <c r="F102" s="13">
        <v>3</v>
      </c>
      <c r="G102" s="14">
        <v>0.13100000000000001</v>
      </c>
      <c r="I102" s="18" t="s">
        <v>1032</v>
      </c>
      <c r="J102" t="s">
        <v>54</v>
      </c>
      <c r="K102" s="4"/>
      <c r="L102" s="9">
        <f t="shared" si="4"/>
        <v>2009</v>
      </c>
      <c r="N102" s="30" t="s">
        <v>259</v>
      </c>
      <c r="O102" s="13" t="s">
        <v>28</v>
      </c>
      <c r="P102" s="13">
        <f t="shared" si="2"/>
        <v>9</v>
      </c>
      <c r="Q102" s="15">
        <f t="shared" si="3"/>
        <v>7.7777777777777777</v>
      </c>
      <c r="R102" s="13" t="s">
        <v>1468</v>
      </c>
      <c r="S102" s="13"/>
      <c r="T102" s="13" t="s">
        <v>1469</v>
      </c>
      <c r="U102" s="13"/>
      <c r="V102" s="13" t="s">
        <v>3980</v>
      </c>
      <c r="W102" s="13"/>
      <c r="X102" s="13" t="s">
        <v>3980</v>
      </c>
      <c r="Y102" s="13" t="s">
        <v>3980</v>
      </c>
      <c r="Z102" s="13" t="s">
        <v>3980</v>
      </c>
      <c r="AC102" s="18"/>
      <c r="AD102" s="18"/>
      <c r="AE102" s="1"/>
    </row>
    <row r="103" spans="1:31" x14ac:dyDescent="0.25">
      <c r="A103" s="18" t="s">
        <v>5043</v>
      </c>
      <c r="B103" s="30">
        <v>1992</v>
      </c>
      <c r="C103" s="13">
        <v>295</v>
      </c>
      <c r="D103" s="14">
        <v>0.44400000000000001</v>
      </c>
      <c r="E103" s="14">
        <v>0.23599999999999999</v>
      </c>
      <c r="F103" s="13">
        <v>9</v>
      </c>
      <c r="G103" s="14">
        <v>0.48799999999999999</v>
      </c>
      <c r="I103" s="18" t="s">
        <v>1032</v>
      </c>
      <c r="J103" s="18" t="s">
        <v>26</v>
      </c>
      <c r="K103" s="4"/>
      <c r="L103" s="9">
        <f t="shared" si="4"/>
        <v>1992</v>
      </c>
      <c r="N103" s="30" t="s">
        <v>1032</v>
      </c>
      <c r="O103" s="13" t="s">
        <v>42</v>
      </c>
      <c r="P103" s="13">
        <f t="shared" si="2"/>
        <v>26</v>
      </c>
      <c r="Q103" s="15">
        <f t="shared" si="3"/>
        <v>11.346153846153847</v>
      </c>
      <c r="R103" s="13" t="s">
        <v>1357</v>
      </c>
      <c r="S103" s="13"/>
      <c r="T103" s="13" t="s">
        <v>1070</v>
      </c>
      <c r="U103" s="13"/>
      <c r="V103" s="13" t="s">
        <v>3980</v>
      </c>
      <c r="W103" s="13"/>
      <c r="X103" s="13" t="s">
        <v>3980</v>
      </c>
      <c r="Y103" s="13" t="s">
        <v>3980</v>
      </c>
      <c r="Z103" s="13" t="s">
        <v>3980</v>
      </c>
      <c r="AC103" s="18"/>
      <c r="AD103" s="18"/>
      <c r="AE103" s="1"/>
    </row>
    <row r="104" spans="1:31" x14ac:dyDescent="0.25">
      <c r="A104" s="18" t="s">
        <v>4912</v>
      </c>
      <c r="B104" s="30">
        <v>1985</v>
      </c>
      <c r="C104" s="13">
        <v>14</v>
      </c>
      <c r="D104" s="14">
        <v>8.2000000000000003E-2</v>
      </c>
      <c r="E104" s="14">
        <v>3.1E-2</v>
      </c>
      <c r="F104" s="13">
        <v>1</v>
      </c>
      <c r="G104" s="14">
        <v>0</v>
      </c>
      <c r="I104" s="18" t="s">
        <v>1032</v>
      </c>
      <c r="J104" s="18" t="s">
        <v>26</v>
      </c>
      <c r="L104" s="9">
        <f t="shared" si="4"/>
        <v>1985</v>
      </c>
      <c r="M104" s="20" t="s">
        <v>3132</v>
      </c>
      <c r="N104" s="30" t="s">
        <v>34</v>
      </c>
      <c r="O104" s="13" t="s">
        <v>28</v>
      </c>
      <c r="P104" s="13">
        <f t="shared" si="2"/>
        <v>33</v>
      </c>
      <c r="Q104" s="15">
        <f t="shared" si="3"/>
        <v>0.42424242424242425</v>
      </c>
      <c r="R104" s="13" t="s">
        <v>227</v>
      </c>
      <c r="S104" s="13"/>
      <c r="T104" s="13" t="s">
        <v>1965</v>
      </c>
      <c r="U104" s="13"/>
      <c r="V104" s="13" t="s">
        <v>3980</v>
      </c>
      <c r="W104" s="13"/>
      <c r="X104" s="13" t="s">
        <v>3980</v>
      </c>
      <c r="Y104" s="13" t="s">
        <v>3980</v>
      </c>
      <c r="Z104" s="13" t="s">
        <v>3980</v>
      </c>
      <c r="AC104" s="18"/>
      <c r="AD104" s="18"/>
      <c r="AE104" s="1"/>
    </row>
    <row r="105" spans="1:31" x14ac:dyDescent="0.25">
      <c r="A105" s="18" t="s">
        <v>4905</v>
      </c>
      <c r="B105" s="30">
        <v>2002</v>
      </c>
      <c r="C105" s="13">
        <v>244</v>
      </c>
      <c r="D105" s="14">
        <v>0.40799999999999997</v>
      </c>
      <c r="E105" s="14">
        <v>0.41199999999999998</v>
      </c>
      <c r="F105" s="13">
        <v>10</v>
      </c>
      <c r="G105" s="14">
        <v>0.52200000000000002</v>
      </c>
      <c r="I105" s="18" t="s">
        <v>1032</v>
      </c>
      <c r="J105" s="18" t="s">
        <v>54</v>
      </c>
      <c r="K105" s="4"/>
      <c r="L105" s="9">
        <f t="shared" si="4"/>
        <v>2002</v>
      </c>
      <c r="N105" s="30" t="s">
        <v>3123</v>
      </c>
      <c r="O105" s="13" t="s">
        <v>28</v>
      </c>
      <c r="P105" s="13">
        <f t="shared" si="2"/>
        <v>16</v>
      </c>
      <c r="Q105" s="15">
        <f t="shared" si="3"/>
        <v>15.25</v>
      </c>
      <c r="R105" s="13" t="s">
        <v>305</v>
      </c>
      <c r="S105" s="13"/>
      <c r="T105" s="13" t="s">
        <v>1932</v>
      </c>
      <c r="U105" s="13"/>
      <c r="V105" s="13" t="s">
        <v>3980</v>
      </c>
      <c r="W105" s="13"/>
      <c r="X105" s="13" t="s">
        <v>3980</v>
      </c>
      <c r="Y105" s="13" t="s">
        <v>3980</v>
      </c>
      <c r="Z105" s="13" t="s">
        <v>3980</v>
      </c>
      <c r="AC105" s="18"/>
      <c r="AD105" s="18"/>
      <c r="AE105" s="1"/>
    </row>
    <row r="106" spans="1:31" x14ac:dyDescent="0.25">
      <c r="A106" s="18" t="s">
        <v>5033</v>
      </c>
      <c r="B106" s="30">
        <v>2011</v>
      </c>
      <c r="C106" s="13">
        <v>140</v>
      </c>
      <c r="D106" s="14">
        <v>0.32600000000000001</v>
      </c>
      <c r="E106" s="14">
        <v>0.60699999999999998</v>
      </c>
      <c r="F106" s="13">
        <v>6</v>
      </c>
      <c r="G106" s="14">
        <v>0.32200000000000001</v>
      </c>
      <c r="I106" s="18" t="s">
        <v>1032</v>
      </c>
      <c r="J106" s="18" t="s">
        <v>105</v>
      </c>
      <c r="K106" s="4"/>
      <c r="L106" s="9">
        <f t="shared" si="4"/>
        <v>2011</v>
      </c>
      <c r="N106" s="30" t="s">
        <v>3145</v>
      </c>
      <c r="O106" s="13" t="s">
        <v>42</v>
      </c>
      <c r="P106" s="13">
        <f t="shared" si="2"/>
        <v>7</v>
      </c>
      <c r="Q106" s="15">
        <f t="shared" si="3"/>
        <v>20</v>
      </c>
      <c r="R106" s="13" t="s">
        <v>2562</v>
      </c>
      <c r="S106" s="13"/>
      <c r="T106" s="13" t="s">
        <v>2563</v>
      </c>
      <c r="U106" s="13"/>
      <c r="V106" s="13" t="s">
        <v>3980</v>
      </c>
      <c r="W106" s="13"/>
      <c r="X106" s="13" t="s">
        <v>3980</v>
      </c>
      <c r="Y106" s="13" t="s">
        <v>3980</v>
      </c>
      <c r="Z106" s="13" t="s">
        <v>3980</v>
      </c>
      <c r="AC106" s="18"/>
      <c r="AD106" s="18"/>
      <c r="AE106" s="1"/>
    </row>
    <row r="107" spans="1:31" x14ac:dyDescent="0.25">
      <c r="A107" s="18" t="s">
        <v>1031</v>
      </c>
      <c r="B107" s="30">
        <v>2011</v>
      </c>
      <c r="C107" s="13">
        <v>42</v>
      </c>
      <c r="D107" s="14">
        <v>0.156</v>
      </c>
      <c r="E107" s="14">
        <v>0.315</v>
      </c>
      <c r="F107" s="13">
        <v>3</v>
      </c>
      <c r="G107" s="14">
        <v>0.13100000000000001</v>
      </c>
      <c r="H107" s="18" t="s">
        <v>3409</v>
      </c>
      <c r="I107" s="18" t="s">
        <v>1032</v>
      </c>
      <c r="J107" s="18" t="s">
        <v>105</v>
      </c>
      <c r="L107" s="9">
        <f t="shared" si="4"/>
        <v>2011</v>
      </c>
      <c r="N107" s="30" t="s">
        <v>277</v>
      </c>
      <c r="O107" s="13" t="s">
        <v>42</v>
      </c>
      <c r="P107" s="13">
        <f t="shared" si="2"/>
        <v>7</v>
      </c>
      <c r="Q107" s="15">
        <f t="shared" si="3"/>
        <v>6</v>
      </c>
      <c r="R107" s="13" t="s">
        <v>1033</v>
      </c>
      <c r="S107" s="13"/>
      <c r="T107" s="13" t="s">
        <v>285</v>
      </c>
      <c r="U107" s="13"/>
      <c r="V107" s="13" t="s">
        <v>3980</v>
      </c>
      <c r="W107" s="13"/>
      <c r="X107" s="13" t="s">
        <v>3980</v>
      </c>
      <c r="Y107" s="13" t="s">
        <v>3980</v>
      </c>
      <c r="Z107" s="13" t="s">
        <v>3980</v>
      </c>
      <c r="AC107" s="18"/>
      <c r="AD107" s="18"/>
      <c r="AE107" s="13"/>
    </row>
    <row r="108" spans="1:31" x14ac:dyDescent="0.25">
      <c r="A108" s="18" t="s">
        <v>4970</v>
      </c>
      <c r="B108" s="30">
        <v>1994</v>
      </c>
      <c r="C108" s="13">
        <v>15</v>
      </c>
      <c r="D108" s="14">
        <v>8.5999999999999993E-2</v>
      </c>
      <c r="E108" s="14">
        <v>0.08</v>
      </c>
      <c r="F108" s="13">
        <v>2</v>
      </c>
      <c r="G108" s="14">
        <v>7.0999999999999994E-2</v>
      </c>
      <c r="I108" s="18" t="s">
        <v>1032</v>
      </c>
      <c r="J108" s="18" t="s">
        <v>54</v>
      </c>
      <c r="L108" s="9">
        <f t="shared" si="4"/>
        <v>1994</v>
      </c>
      <c r="M108" s="11" t="s">
        <v>3132</v>
      </c>
      <c r="N108" s="30" t="s">
        <v>220</v>
      </c>
      <c r="O108" s="13" t="s">
        <v>28</v>
      </c>
      <c r="P108" s="13">
        <f t="shared" si="2"/>
        <v>24</v>
      </c>
      <c r="Q108" s="15">
        <f t="shared" si="3"/>
        <v>0.625</v>
      </c>
      <c r="R108" s="13" t="s">
        <v>808</v>
      </c>
      <c r="S108" s="13"/>
      <c r="T108" s="13" t="s">
        <v>2209</v>
      </c>
      <c r="U108" s="13"/>
      <c r="V108" s="13" t="s">
        <v>3980</v>
      </c>
      <c r="W108" s="13"/>
      <c r="X108" s="13" t="s">
        <v>3980</v>
      </c>
      <c r="Y108" s="13" t="s">
        <v>3980</v>
      </c>
      <c r="Z108" s="13" t="s">
        <v>3980</v>
      </c>
      <c r="AC108" s="18"/>
      <c r="AD108" s="18"/>
      <c r="AE108" s="16"/>
    </row>
    <row r="109" spans="1:31" x14ac:dyDescent="0.25">
      <c r="A109" s="18" t="s">
        <v>547</v>
      </c>
      <c r="B109" s="30">
        <v>2008</v>
      </c>
      <c r="C109" s="13">
        <v>384</v>
      </c>
      <c r="D109" s="14">
        <v>0.495</v>
      </c>
      <c r="E109" s="14">
        <v>0.53200000000000003</v>
      </c>
      <c r="F109" s="13">
        <v>5</v>
      </c>
      <c r="G109" s="14">
        <v>0.27400000000000002</v>
      </c>
      <c r="H109" s="18" t="s">
        <v>3276</v>
      </c>
      <c r="I109" s="26" t="s">
        <v>201</v>
      </c>
      <c r="J109" s="18" t="s">
        <v>54</v>
      </c>
      <c r="K109" s="4"/>
      <c r="L109" s="9">
        <v>2008</v>
      </c>
      <c r="N109" s="30" t="s">
        <v>98</v>
      </c>
      <c r="O109" s="13" t="s">
        <v>42</v>
      </c>
      <c r="P109" s="13">
        <f t="shared" si="2"/>
        <v>10</v>
      </c>
      <c r="Q109" s="15">
        <f t="shared" si="3"/>
        <v>38.4</v>
      </c>
      <c r="R109" s="13" t="s">
        <v>548</v>
      </c>
      <c r="S109" s="13"/>
      <c r="T109" s="13" t="s">
        <v>549</v>
      </c>
      <c r="U109" s="13" t="s">
        <v>550</v>
      </c>
      <c r="V109" s="13" t="s">
        <v>4014</v>
      </c>
      <c r="W109" s="13"/>
      <c r="X109" s="13" t="s">
        <v>4349</v>
      </c>
      <c r="Y109" s="13" t="s">
        <v>3980</v>
      </c>
      <c r="Z109" s="13" t="s">
        <v>3980</v>
      </c>
      <c r="AC109" s="18"/>
      <c r="AD109" s="18"/>
      <c r="AE109" s="1"/>
    </row>
    <row r="110" spans="1:31" x14ac:dyDescent="0.25">
      <c r="A110" t="s">
        <v>4857</v>
      </c>
      <c r="B110" s="30">
        <v>1980</v>
      </c>
      <c r="C110" s="13">
        <v>2204</v>
      </c>
      <c r="D110" s="14">
        <v>0.85199999999999998</v>
      </c>
      <c r="E110" s="14">
        <v>0.67800000000000005</v>
      </c>
      <c r="F110" s="13">
        <v>20</v>
      </c>
      <c r="G110" s="14">
        <v>0.82599999999999996</v>
      </c>
      <c r="H110" s="18" t="s">
        <v>3642</v>
      </c>
      <c r="I110" s="26" t="s">
        <v>201</v>
      </c>
      <c r="J110" s="4" t="s">
        <v>26</v>
      </c>
      <c r="K110" s="4"/>
      <c r="L110" s="9">
        <f>B110</f>
        <v>1980</v>
      </c>
      <c r="N110" s="30" t="s">
        <v>3117</v>
      </c>
      <c r="O110" s="13" t="s">
        <v>28</v>
      </c>
      <c r="P110" s="13">
        <f t="shared" si="2"/>
        <v>38</v>
      </c>
      <c r="Q110" s="15">
        <f t="shared" si="3"/>
        <v>58</v>
      </c>
      <c r="R110" s="13" t="s">
        <v>1666</v>
      </c>
      <c r="S110" s="13" t="s">
        <v>859</v>
      </c>
      <c r="T110" s="13" t="s">
        <v>1667</v>
      </c>
      <c r="U110" s="13"/>
      <c r="V110" s="13" t="s">
        <v>3980</v>
      </c>
      <c r="W110" s="13"/>
      <c r="X110" s="13" t="s">
        <v>3980</v>
      </c>
      <c r="Y110" s="13" t="s">
        <v>3980</v>
      </c>
      <c r="Z110" s="13" t="s">
        <v>3980</v>
      </c>
      <c r="AC110" s="18"/>
      <c r="AD110" s="18"/>
      <c r="AE110" s="16"/>
    </row>
    <row r="111" spans="1:31" x14ac:dyDescent="0.25">
      <c r="A111" t="s">
        <v>200</v>
      </c>
      <c r="B111" s="30">
        <v>2008</v>
      </c>
      <c r="C111" s="13">
        <v>102</v>
      </c>
      <c r="D111" s="14">
        <v>0.26600000000000001</v>
      </c>
      <c r="E111" s="14">
        <v>0.23200000000000001</v>
      </c>
      <c r="F111" s="13">
        <v>6</v>
      </c>
      <c r="G111" s="14">
        <v>0.32200000000000001</v>
      </c>
      <c r="H111" s="18" t="s">
        <v>3193</v>
      </c>
      <c r="I111" s="26" t="s">
        <v>201</v>
      </c>
      <c r="J111" s="18" t="s">
        <v>54</v>
      </c>
      <c r="L111" s="9">
        <v>2008</v>
      </c>
      <c r="N111" s="30" t="s">
        <v>41</v>
      </c>
      <c r="O111" s="13" t="s">
        <v>42</v>
      </c>
      <c r="P111" s="13">
        <f t="shared" si="2"/>
        <v>10</v>
      </c>
      <c r="Q111" s="15">
        <f t="shared" si="3"/>
        <v>10.199999999999999</v>
      </c>
      <c r="R111" s="13" t="s">
        <v>202</v>
      </c>
      <c r="S111" s="13"/>
      <c r="T111" s="13" t="s">
        <v>203</v>
      </c>
      <c r="U111" s="13" t="s">
        <v>204</v>
      </c>
      <c r="V111" s="13" t="s">
        <v>4015</v>
      </c>
      <c r="W111" s="13"/>
      <c r="X111" s="13" t="s">
        <v>4350</v>
      </c>
      <c r="Y111" s="13" t="s">
        <v>3980</v>
      </c>
      <c r="Z111" s="13" t="s">
        <v>3980</v>
      </c>
      <c r="AC111" s="18"/>
      <c r="AD111" s="18"/>
      <c r="AE111" s="13"/>
    </row>
    <row r="112" spans="1:31" x14ac:dyDescent="0.25">
      <c r="A112" s="18" t="s">
        <v>2263</v>
      </c>
      <c r="B112" s="30">
        <v>1999</v>
      </c>
      <c r="C112" s="13">
        <v>150</v>
      </c>
      <c r="D112" s="14">
        <v>0.33700000000000002</v>
      </c>
      <c r="E112" s="14">
        <v>0.32900000000000001</v>
      </c>
      <c r="F112" s="13">
        <v>6</v>
      </c>
      <c r="G112" s="14">
        <v>0.32200000000000001</v>
      </c>
      <c r="I112" s="26" t="s">
        <v>201</v>
      </c>
      <c r="J112" s="18" t="s">
        <v>54</v>
      </c>
      <c r="L112" s="9">
        <f>B112</f>
        <v>1999</v>
      </c>
      <c r="N112" s="30" t="s">
        <v>2593</v>
      </c>
      <c r="O112" s="13" t="s">
        <v>42</v>
      </c>
      <c r="P112" s="13">
        <f t="shared" si="2"/>
        <v>19</v>
      </c>
      <c r="Q112" s="15">
        <f t="shared" si="3"/>
        <v>7.8947368421052628</v>
      </c>
      <c r="R112" s="13" t="s">
        <v>582</v>
      </c>
      <c r="S112" s="13"/>
      <c r="T112" s="13" t="s">
        <v>2264</v>
      </c>
      <c r="U112" s="13"/>
      <c r="V112" s="13" t="s">
        <v>3980</v>
      </c>
      <c r="W112" s="13"/>
      <c r="X112" s="13" t="s">
        <v>3980</v>
      </c>
      <c r="Y112" s="13" t="s">
        <v>3980</v>
      </c>
      <c r="Z112" s="13" t="s">
        <v>3980</v>
      </c>
      <c r="AC112" s="18"/>
      <c r="AD112" s="18"/>
      <c r="AE112" s="13"/>
    </row>
    <row r="113" spans="1:31" x14ac:dyDescent="0.25">
      <c r="A113" s="18" t="s">
        <v>5093</v>
      </c>
      <c r="B113" s="30">
        <v>2016</v>
      </c>
      <c r="C113" s="13">
        <v>2</v>
      </c>
      <c r="D113" s="14">
        <v>2.3E-2</v>
      </c>
      <c r="E113" s="14">
        <v>4.9000000000000002E-2</v>
      </c>
      <c r="F113" s="13">
        <v>1</v>
      </c>
      <c r="G113" s="14">
        <v>0</v>
      </c>
      <c r="I113" s="26" t="s">
        <v>201</v>
      </c>
      <c r="J113" s="18" t="s">
        <v>105</v>
      </c>
      <c r="K113" s="4"/>
      <c r="L113" s="9">
        <f>B113</f>
        <v>2016</v>
      </c>
      <c r="N113" s="30" t="s">
        <v>219</v>
      </c>
      <c r="O113" s="13" t="s">
        <v>28</v>
      </c>
      <c r="P113" s="13">
        <f t="shared" si="2"/>
        <v>2</v>
      </c>
      <c r="Q113" s="15">
        <f t="shared" si="3"/>
        <v>1</v>
      </c>
      <c r="R113" s="13" t="s">
        <v>2833</v>
      </c>
      <c r="S113" s="13" t="s">
        <v>2834</v>
      </c>
      <c r="T113" s="13" t="s">
        <v>2835</v>
      </c>
      <c r="U113" s="13"/>
      <c r="V113" s="13" t="s">
        <v>3980</v>
      </c>
      <c r="W113" s="13"/>
      <c r="X113" s="13" t="s">
        <v>3980</v>
      </c>
      <c r="Y113" s="13" t="s">
        <v>3980</v>
      </c>
      <c r="Z113" s="13" t="s">
        <v>3980</v>
      </c>
      <c r="AC113" s="18"/>
      <c r="AD113" s="18"/>
      <c r="AE113" s="1"/>
    </row>
    <row r="114" spans="1:31" x14ac:dyDescent="0.25">
      <c r="A114" t="s">
        <v>2581</v>
      </c>
      <c r="B114" s="30">
        <v>1976</v>
      </c>
      <c r="C114" s="13">
        <v>193</v>
      </c>
      <c r="D114" s="14">
        <v>0.374</v>
      </c>
      <c r="E114" s="14">
        <v>0.17899999999999999</v>
      </c>
      <c r="F114" s="13">
        <v>7</v>
      </c>
      <c r="G114" s="14">
        <v>0.39300000000000002</v>
      </c>
      <c r="I114" s="26" t="s">
        <v>201</v>
      </c>
      <c r="J114" s="18" t="s">
        <v>26</v>
      </c>
      <c r="L114" s="9">
        <v>1976</v>
      </c>
      <c r="M114" s="11"/>
      <c r="N114" s="30" t="s">
        <v>83</v>
      </c>
      <c r="O114" s="13" t="s">
        <v>28</v>
      </c>
      <c r="P114" s="13">
        <f t="shared" si="2"/>
        <v>42</v>
      </c>
      <c r="Q114" s="15">
        <f t="shared" si="3"/>
        <v>4.5952380952380949</v>
      </c>
      <c r="R114" s="13" t="s">
        <v>2582</v>
      </c>
      <c r="S114" s="13"/>
      <c r="T114" s="13" t="s">
        <v>2583</v>
      </c>
      <c r="U114" s="13" t="s">
        <v>2584</v>
      </c>
      <c r="V114" s="13" t="s">
        <v>4016</v>
      </c>
      <c r="W114" s="13"/>
      <c r="X114" s="13" t="s">
        <v>3980</v>
      </c>
      <c r="Y114" s="13" t="s">
        <v>3980</v>
      </c>
      <c r="Z114" s="13" t="s">
        <v>3980</v>
      </c>
      <c r="AC114" s="18"/>
      <c r="AD114" s="18"/>
      <c r="AE114" s="13"/>
    </row>
    <row r="115" spans="1:31" x14ac:dyDescent="0.25">
      <c r="A115" t="s">
        <v>5072</v>
      </c>
      <c r="B115" s="30">
        <v>1999</v>
      </c>
      <c r="C115" s="13">
        <v>45</v>
      </c>
      <c r="D115" s="14">
        <v>0.16400000000000001</v>
      </c>
      <c r="E115" s="14">
        <v>8.7999999999999995E-2</v>
      </c>
      <c r="F115" s="13">
        <v>2</v>
      </c>
      <c r="G115" s="14">
        <v>7.0999999999999994E-2</v>
      </c>
      <c r="I115" s="26" t="s">
        <v>2015</v>
      </c>
      <c r="J115" s="18" t="s">
        <v>26</v>
      </c>
      <c r="L115" s="9">
        <v>1999</v>
      </c>
      <c r="N115" s="30" t="s">
        <v>337</v>
      </c>
      <c r="O115" s="13" t="s">
        <v>28</v>
      </c>
      <c r="P115" s="13">
        <f t="shared" si="2"/>
        <v>19</v>
      </c>
      <c r="Q115" s="15">
        <f t="shared" si="3"/>
        <v>2.3684210526315788</v>
      </c>
      <c r="R115" s="13" t="s">
        <v>177</v>
      </c>
      <c r="S115" s="13" t="s">
        <v>206</v>
      </c>
      <c r="T115" s="13" t="s">
        <v>2765</v>
      </c>
      <c r="U115" s="13" t="s">
        <v>2766</v>
      </c>
      <c r="V115" s="13" t="s">
        <v>3980</v>
      </c>
      <c r="W115" s="13"/>
      <c r="X115" s="13" t="s">
        <v>4351</v>
      </c>
      <c r="Y115" s="13" t="s">
        <v>3980</v>
      </c>
      <c r="Z115" s="13" t="s">
        <v>3980</v>
      </c>
      <c r="AC115" s="18"/>
      <c r="AD115" s="18"/>
      <c r="AE115" s="13"/>
    </row>
    <row r="116" spans="1:31" x14ac:dyDescent="0.25">
      <c r="A116" t="s">
        <v>4927</v>
      </c>
      <c r="B116" s="30">
        <v>2008</v>
      </c>
      <c r="C116" s="13">
        <v>30</v>
      </c>
      <c r="D116" s="14">
        <v>0.127</v>
      </c>
      <c r="E116" s="14">
        <v>9.7000000000000003E-2</v>
      </c>
      <c r="F116" s="13">
        <v>1</v>
      </c>
      <c r="G116" s="14">
        <v>0</v>
      </c>
      <c r="I116" s="26" t="s">
        <v>2015</v>
      </c>
      <c r="J116" s="18" t="s">
        <v>54</v>
      </c>
      <c r="K116" s="4"/>
      <c r="L116" s="9">
        <v>2008</v>
      </c>
      <c r="N116" s="30" t="s">
        <v>83</v>
      </c>
      <c r="O116" s="13" t="s">
        <v>42</v>
      </c>
      <c r="P116" s="13">
        <f t="shared" si="2"/>
        <v>10</v>
      </c>
      <c r="Q116" s="15">
        <f t="shared" si="3"/>
        <v>3</v>
      </c>
      <c r="R116" s="13" t="s">
        <v>2016</v>
      </c>
      <c r="S116" s="13" t="s">
        <v>669</v>
      </c>
      <c r="T116" s="13" t="s">
        <v>2017</v>
      </c>
      <c r="U116" s="13" t="s">
        <v>2018</v>
      </c>
      <c r="V116" s="13" t="s">
        <v>3980</v>
      </c>
      <c r="W116" s="13"/>
      <c r="X116" s="13" t="s">
        <v>4352</v>
      </c>
      <c r="Y116" s="13" t="s">
        <v>3980</v>
      </c>
      <c r="Z116" s="13" t="s">
        <v>3980</v>
      </c>
      <c r="AC116" s="18"/>
      <c r="AD116" s="18"/>
      <c r="AE116" s="1"/>
    </row>
    <row r="117" spans="1:31" x14ac:dyDescent="0.25">
      <c r="A117" s="18" t="s">
        <v>2300</v>
      </c>
      <c r="B117" s="30">
        <v>1991</v>
      </c>
      <c r="C117" s="13">
        <v>204</v>
      </c>
      <c r="D117" s="14">
        <v>0.38500000000000001</v>
      </c>
      <c r="E117" s="14">
        <v>0.189</v>
      </c>
      <c r="F117" s="13">
        <v>7</v>
      </c>
      <c r="G117" s="14">
        <v>0.39300000000000002</v>
      </c>
      <c r="I117" s="26" t="s">
        <v>353</v>
      </c>
      <c r="J117" s="4" t="s">
        <v>26</v>
      </c>
      <c r="K117" s="4"/>
      <c r="L117" s="9">
        <v>1991</v>
      </c>
      <c r="N117" s="30" t="s">
        <v>168</v>
      </c>
      <c r="O117" s="13" t="s">
        <v>28</v>
      </c>
      <c r="P117" s="13">
        <f t="shared" si="2"/>
        <v>27</v>
      </c>
      <c r="Q117" s="15">
        <f t="shared" si="3"/>
        <v>7.5555555555555554</v>
      </c>
      <c r="R117" s="13" t="s">
        <v>2301</v>
      </c>
      <c r="S117" s="13"/>
      <c r="T117" s="13" t="s">
        <v>2302</v>
      </c>
      <c r="U117" s="13" t="s">
        <v>2303</v>
      </c>
      <c r="V117" s="13" t="s">
        <v>4017</v>
      </c>
      <c r="W117" s="13"/>
      <c r="X117" s="13" t="s">
        <v>4353</v>
      </c>
      <c r="Y117" s="13" t="s">
        <v>3980</v>
      </c>
      <c r="Z117" s="13" t="s">
        <v>3980</v>
      </c>
      <c r="AC117" s="18"/>
      <c r="AD117" s="18"/>
      <c r="AE117" s="13"/>
    </row>
    <row r="118" spans="1:31" x14ac:dyDescent="0.25">
      <c r="A118" t="s">
        <v>2457</v>
      </c>
      <c r="B118" s="30">
        <v>1998</v>
      </c>
      <c r="C118" s="13">
        <v>1</v>
      </c>
      <c r="D118" s="14">
        <v>0</v>
      </c>
      <c r="E118" s="14">
        <v>0</v>
      </c>
      <c r="F118" s="13">
        <v>1</v>
      </c>
      <c r="G118" s="14">
        <v>0</v>
      </c>
      <c r="I118" s="26" t="s">
        <v>353</v>
      </c>
      <c r="J118" s="18" t="s">
        <v>105</v>
      </c>
      <c r="L118" s="9">
        <v>1998</v>
      </c>
      <c r="N118" s="30" t="s">
        <v>2458</v>
      </c>
      <c r="O118" s="13" t="s">
        <v>42</v>
      </c>
      <c r="P118" s="13">
        <f t="shared" si="2"/>
        <v>20</v>
      </c>
      <c r="Q118" s="15">
        <f t="shared" si="3"/>
        <v>0.05</v>
      </c>
      <c r="R118" s="13" t="s">
        <v>2459</v>
      </c>
      <c r="S118" s="13"/>
      <c r="T118" s="13" t="s">
        <v>862</v>
      </c>
      <c r="U118" s="13" t="s">
        <v>2460</v>
      </c>
      <c r="V118" s="13" t="s">
        <v>3980</v>
      </c>
      <c r="W118" s="13"/>
      <c r="X118" s="13" t="s">
        <v>4354</v>
      </c>
      <c r="Y118" s="13" t="s">
        <v>3980</v>
      </c>
      <c r="Z118" s="13" t="s">
        <v>3980</v>
      </c>
      <c r="AC118" s="18"/>
      <c r="AD118" s="18"/>
      <c r="AE118" s="1"/>
    </row>
    <row r="119" spans="1:31" x14ac:dyDescent="0.25">
      <c r="A119" t="s">
        <v>5106</v>
      </c>
      <c r="B119" s="30">
        <v>1988</v>
      </c>
      <c r="C119" s="13">
        <v>4442</v>
      </c>
      <c r="D119" s="14">
        <v>0.93600000000000005</v>
      </c>
      <c r="E119" s="14">
        <v>0.85399999999999998</v>
      </c>
      <c r="F119" s="13">
        <v>34</v>
      </c>
      <c r="G119" s="14">
        <v>0.95499999999999996</v>
      </c>
      <c r="I119" s="26" t="s">
        <v>145</v>
      </c>
      <c r="J119" s="18" t="s">
        <v>26</v>
      </c>
      <c r="L119" s="9">
        <v>1988</v>
      </c>
      <c r="M119" s="11"/>
      <c r="N119" s="30" t="s">
        <v>220</v>
      </c>
      <c r="O119" s="13" t="s">
        <v>28</v>
      </c>
      <c r="P119" s="13">
        <f t="shared" si="2"/>
        <v>30</v>
      </c>
      <c r="Q119" s="15">
        <f t="shared" si="3"/>
        <v>148.06666666666666</v>
      </c>
      <c r="R119" s="13" t="s">
        <v>1048</v>
      </c>
      <c r="S119" s="13" t="s">
        <v>1024</v>
      </c>
      <c r="T119" s="13" t="s">
        <v>2912</v>
      </c>
      <c r="U119" s="13"/>
      <c r="V119" s="13" t="s">
        <v>3980</v>
      </c>
      <c r="W119" s="13"/>
      <c r="X119" s="13" t="s">
        <v>3980</v>
      </c>
      <c r="Y119" s="13" t="s">
        <v>3980</v>
      </c>
      <c r="Z119" s="13" t="s">
        <v>3980</v>
      </c>
      <c r="AC119" s="18"/>
      <c r="AD119" s="18"/>
      <c r="AE119" s="1"/>
    </row>
    <row r="120" spans="1:31" x14ac:dyDescent="0.25">
      <c r="A120" s="18" t="s">
        <v>452</v>
      </c>
      <c r="B120" s="30">
        <v>2005</v>
      </c>
      <c r="C120" s="13">
        <v>1066</v>
      </c>
      <c r="D120" s="14">
        <v>0.71099999999999997</v>
      </c>
      <c r="E120" s="14">
        <v>0.81</v>
      </c>
      <c r="F120" s="13">
        <v>13</v>
      </c>
      <c r="G120" s="14">
        <v>0.64500000000000002</v>
      </c>
      <c r="H120" s="18" t="s">
        <v>3252</v>
      </c>
      <c r="I120" s="26" t="s">
        <v>145</v>
      </c>
      <c r="J120" s="18" t="s">
        <v>54</v>
      </c>
      <c r="K120" s="4"/>
      <c r="L120" s="9">
        <v>2005</v>
      </c>
      <c r="N120" s="30" t="s">
        <v>219</v>
      </c>
      <c r="O120" s="13" t="s">
        <v>28</v>
      </c>
      <c r="P120" s="13">
        <f t="shared" si="2"/>
        <v>13</v>
      </c>
      <c r="Q120" s="15">
        <f t="shared" si="3"/>
        <v>82</v>
      </c>
      <c r="R120" s="13" t="s">
        <v>305</v>
      </c>
      <c r="S120" s="13"/>
      <c r="T120" s="13" t="s">
        <v>453</v>
      </c>
      <c r="U120" s="13" t="s">
        <v>454</v>
      </c>
      <c r="V120" s="13" t="s">
        <v>4018</v>
      </c>
      <c r="W120" s="13"/>
      <c r="X120" s="13" t="s">
        <v>4355</v>
      </c>
      <c r="Y120" s="13" t="s">
        <v>3980</v>
      </c>
      <c r="Z120" s="13" t="s">
        <v>3980</v>
      </c>
      <c r="AC120" s="18"/>
      <c r="AD120" s="18"/>
      <c r="AE120" s="13"/>
    </row>
    <row r="121" spans="1:31" x14ac:dyDescent="0.25">
      <c r="A121" s="18" t="s">
        <v>3026</v>
      </c>
      <c r="B121" s="30">
        <v>2006</v>
      </c>
      <c r="C121" s="13">
        <v>145</v>
      </c>
      <c r="D121" s="14">
        <v>0.33300000000000002</v>
      </c>
      <c r="E121" s="14">
        <v>0.32</v>
      </c>
      <c r="F121" s="13">
        <v>4</v>
      </c>
      <c r="G121" s="14">
        <v>0.19600000000000001</v>
      </c>
      <c r="I121" s="26" t="s">
        <v>145</v>
      </c>
      <c r="J121" s="18" t="s">
        <v>54</v>
      </c>
      <c r="L121" s="9">
        <v>2006</v>
      </c>
      <c r="N121" s="30" t="s">
        <v>98</v>
      </c>
      <c r="O121" s="13" t="s">
        <v>28</v>
      </c>
      <c r="P121" s="13">
        <f t="shared" si="2"/>
        <v>12</v>
      </c>
      <c r="Q121" s="15">
        <f t="shared" si="3"/>
        <v>12.083333333333334</v>
      </c>
      <c r="R121" s="13" t="s">
        <v>3027</v>
      </c>
      <c r="S121" s="13"/>
      <c r="T121" s="13" t="s">
        <v>628</v>
      </c>
      <c r="U121" s="13" t="s">
        <v>3028</v>
      </c>
      <c r="V121" s="13" t="s">
        <v>4019</v>
      </c>
      <c r="W121" s="13"/>
      <c r="X121" s="13" t="s">
        <v>4356</v>
      </c>
      <c r="Y121" s="13" t="s">
        <v>3980</v>
      </c>
      <c r="Z121" s="13" t="s">
        <v>3980</v>
      </c>
      <c r="AC121" s="18"/>
      <c r="AD121" s="18"/>
      <c r="AE121" s="13"/>
    </row>
    <row r="122" spans="1:31" x14ac:dyDescent="0.25">
      <c r="A122" s="18" t="s">
        <v>1258</v>
      </c>
      <c r="B122" s="30">
        <v>2014</v>
      </c>
      <c r="C122" s="13">
        <v>114</v>
      </c>
      <c r="D122" s="14">
        <v>0.28399999999999997</v>
      </c>
      <c r="E122" s="14">
        <v>0.54300000000000004</v>
      </c>
      <c r="F122" s="13">
        <v>4</v>
      </c>
      <c r="G122" s="14">
        <v>0.19600000000000001</v>
      </c>
      <c r="H122" s="18" t="s">
        <v>3473</v>
      </c>
      <c r="I122" s="26" t="s">
        <v>145</v>
      </c>
      <c r="J122" t="s">
        <v>105</v>
      </c>
      <c r="K122" s="4"/>
      <c r="L122" s="9">
        <f>B122</f>
        <v>2014</v>
      </c>
      <c r="N122" s="30" t="s">
        <v>268</v>
      </c>
      <c r="O122" s="13" t="s">
        <v>28</v>
      </c>
      <c r="P122" s="13">
        <f t="shared" si="2"/>
        <v>4</v>
      </c>
      <c r="Q122" s="15">
        <f t="shared" si="3"/>
        <v>28.5</v>
      </c>
      <c r="R122" s="13" t="s">
        <v>1259</v>
      </c>
      <c r="S122" s="13"/>
      <c r="T122" s="13" t="s">
        <v>1260</v>
      </c>
      <c r="U122" s="13"/>
      <c r="V122" s="13" t="s">
        <v>3980</v>
      </c>
      <c r="W122" s="13"/>
      <c r="X122" s="13" t="s">
        <v>3980</v>
      </c>
      <c r="Y122" s="13" t="s">
        <v>3980</v>
      </c>
      <c r="Z122" s="13" t="s">
        <v>3980</v>
      </c>
      <c r="AC122" s="18"/>
      <c r="AD122" s="18"/>
      <c r="AE122" s="16"/>
    </row>
    <row r="123" spans="1:31" x14ac:dyDescent="0.25">
      <c r="A123" t="s">
        <v>1859</v>
      </c>
      <c r="B123" s="30">
        <v>2008</v>
      </c>
      <c r="C123" s="13">
        <v>355</v>
      </c>
      <c r="D123" s="14">
        <v>0.47699999999999998</v>
      </c>
      <c r="E123" s="14">
        <v>0.495</v>
      </c>
      <c r="F123" s="13">
        <v>8</v>
      </c>
      <c r="G123" s="14">
        <v>0.434</v>
      </c>
      <c r="I123" s="26" t="s">
        <v>145</v>
      </c>
      <c r="J123" s="18" t="s">
        <v>54</v>
      </c>
      <c r="L123" s="9">
        <v>2008</v>
      </c>
      <c r="N123" s="30" t="s">
        <v>186</v>
      </c>
      <c r="O123" s="13" t="s">
        <v>42</v>
      </c>
      <c r="P123" s="13">
        <f t="shared" si="2"/>
        <v>10</v>
      </c>
      <c r="Q123" s="15">
        <f t="shared" si="3"/>
        <v>35.5</v>
      </c>
      <c r="R123" s="13" t="s">
        <v>1860</v>
      </c>
      <c r="S123" s="13"/>
      <c r="T123" s="13" t="s">
        <v>1861</v>
      </c>
      <c r="U123" s="13" t="s">
        <v>1862</v>
      </c>
      <c r="V123" s="13" t="s">
        <v>4020</v>
      </c>
      <c r="W123" s="13"/>
      <c r="X123" s="13" t="s">
        <v>4357</v>
      </c>
      <c r="Y123" s="13" t="s">
        <v>3980</v>
      </c>
      <c r="Z123" s="13" t="s">
        <v>3980</v>
      </c>
      <c r="AC123" s="18"/>
      <c r="AD123" s="18"/>
      <c r="AE123" s="1"/>
    </row>
    <row r="124" spans="1:31" x14ac:dyDescent="0.25">
      <c r="A124" t="s">
        <v>4969</v>
      </c>
      <c r="B124" s="30">
        <v>2005</v>
      </c>
      <c r="C124" s="13">
        <v>1934</v>
      </c>
      <c r="D124" s="14">
        <v>0.82399999999999995</v>
      </c>
      <c r="E124" s="14">
        <v>0.93400000000000005</v>
      </c>
      <c r="F124" s="13">
        <v>21</v>
      </c>
      <c r="G124" s="14">
        <v>0.84199999999999997</v>
      </c>
      <c r="H124" s="18" t="s">
        <v>3694</v>
      </c>
      <c r="I124" s="26" t="s">
        <v>145</v>
      </c>
      <c r="J124" s="18" t="s">
        <v>54</v>
      </c>
      <c r="L124" s="9">
        <v>2005</v>
      </c>
      <c r="N124" s="30" t="s">
        <v>151</v>
      </c>
      <c r="O124" s="13" t="s">
        <v>28</v>
      </c>
      <c r="P124" s="13">
        <f t="shared" si="2"/>
        <v>13</v>
      </c>
      <c r="Q124" s="15">
        <f t="shared" si="3"/>
        <v>148.76923076923077</v>
      </c>
      <c r="R124" s="13" t="s">
        <v>808</v>
      </c>
      <c r="S124" s="13" t="s">
        <v>669</v>
      </c>
      <c r="T124" s="13" t="s">
        <v>2186</v>
      </c>
      <c r="U124" s="13" t="s">
        <v>2187</v>
      </c>
      <c r="V124" s="13" t="s">
        <v>3980</v>
      </c>
      <c r="W124" s="13"/>
      <c r="X124" s="13" t="s">
        <v>4358</v>
      </c>
      <c r="Y124" s="13" t="s">
        <v>3980</v>
      </c>
      <c r="Z124" s="13" t="s">
        <v>3980</v>
      </c>
      <c r="AC124" s="18"/>
      <c r="AD124" s="18"/>
      <c r="AE124" s="13"/>
    </row>
    <row r="125" spans="1:31" x14ac:dyDescent="0.25">
      <c r="A125" t="s">
        <v>144</v>
      </c>
      <c r="B125" s="30">
        <v>2006</v>
      </c>
      <c r="C125" s="13">
        <v>186</v>
      </c>
      <c r="D125" s="14">
        <v>0.36899999999999999</v>
      </c>
      <c r="E125" s="14">
        <v>0.36099999999999999</v>
      </c>
      <c r="F125" s="13">
        <v>6</v>
      </c>
      <c r="G125" s="14">
        <v>0.32200000000000001</v>
      </c>
      <c r="H125" s="18" t="s">
        <v>3182</v>
      </c>
      <c r="I125" s="26" t="s">
        <v>145</v>
      </c>
      <c r="J125" s="4" t="s">
        <v>54</v>
      </c>
      <c r="L125" s="9">
        <v>2006</v>
      </c>
      <c r="N125" s="30" t="s">
        <v>146</v>
      </c>
      <c r="O125" s="13" t="s">
        <v>28</v>
      </c>
      <c r="P125" s="13">
        <f t="shared" si="2"/>
        <v>12</v>
      </c>
      <c r="Q125" s="15">
        <f t="shared" si="3"/>
        <v>15.5</v>
      </c>
      <c r="R125" s="13" t="s">
        <v>147</v>
      </c>
      <c r="S125" s="13"/>
      <c r="T125" s="13" t="s">
        <v>148</v>
      </c>
      <c r="U125" s="13" t="s">
        <v>149</v>
      </c>
      <c r="V125" s="13" t="s">
        <v>4021</v>
      </c>
      <c r="W125" s="13"/>
      <c r="X125" s="13" t="s">
        <v>4359</v>
      </c>
      <c r="Y125" s="13" t="s">
        <v>3980</v>
      </c>
      <c r="Z125" s="13" t="s">
        <v>3980</v>
      </c>
      <c r="AC125" s="18"/>
      <c r="AD125" s="18"/>
      <c r="AE125" s="1"/>
    </row>
    <row r="126" spans="1:31" x14ac:dyDescent="0.25">
      <c r="A126" t="s">
        <v>2114</v>
      </c>
      <c r="B126" s="30">
        <v>2003</v>
      </c>
      <c r="C126" s="8">
        <v>885</v>
      </c>
      <c r="D126" s="14">
        <v>0.68200000000000005</v>
      </c>
      <c r="E126" s="14">
        <v>0.42499999999999999</v>
      </c>
      <c r="F126" s="8">
        <v>16</v>
      </c>
      <c r="G126" s="14">
        <v>0.74099999999999999</v>
      </c>
      <c r="H126" s="18" t="s">
        <v>3645</v>
      </c>
      <c r="I126" s="26" t="s">
        <v>83</v>
      </c>
      <c r="J126" s="18" t="s">
        <v>26</v>
      </c>
      <c r="L126" s="9">
        <f>B126</f>
        <v>2003</v>
      </c>
      <c r="N126" s="28" t="s">
        <v>88</v>
      </c>
      <c r="O126" s="13" t="s">
        <v>28</v>
      </c>
      <c r="P126" s="13">
        <f t="shared" si="2"/>
        <v>15</v>
      </c>
      <c r="Q126" s="15">
        <f t="shared" si="3"/>
        <v>59</v>
      </c>
      <c r="R126" s="18" t="s">
        <v>1125</v>
      </c>
      <c r="T126" s="18" t="s">
        <v>1823</v>
      </c>
      <c r="V126" s="18" t="s">
        <v>3980</v>
      </c>
      <c r="X126" s="18" t="s">
        <v>3980</v>
      </c>
      <c r="Y126" s="18" t="s">
        <v>3980</v>
      </c>
      <c r="Z126" s="18" t="s">
        <v>3980</v>
      </c>
      <c r="AC126" s="18"/>
      <c r="AD126" s="18"/>
      <c r="AE126" s="18"/>
    </row>
    <row r="127" spans="1:31" x14ac:dyDescent="0.25">
      <c r="A127" t="s">
        <v>5131</v>
      </c>
      <c r="B127" s="30">
        <v>2009</v>
      </c>
      <c r="C127" s="13">
        <v>409</v>
      </c>
      <c r="D127" s="14">
        <v>0.50700000000000001</v>
      </c>
      <c r="E127" s="14">
        <v>0.55000000000000004</v>
      </c>
      <c r="F127" s="13">
        <v>11</v>
      </c>
      <c r="G127" s="14">
        <v>0.56000000000000005</v>
      </c>
      <c r="H127" s="18" t="s">
        <v>3705</v>
      </c>
      <c r="I127" s="26" t="s">
        <v>83</v>
      </c>
      <c r="J127" s="18" t="s">
        <v>54</v>
      </c>
      <c r="L127" s="9">
        <v>2009</v>
      </c>
      <c r="N127" s="30" t="s">
        <v>106</v>
      </c>
      <c r="O127" s="13" t="s">
        <v>28</v>
      </c>
      <c r="P127" s="13">
        <f t="shared" si="2"/>
        <v>9</v>
      </c>
      <c r="Q127" s="15">
        <f t="shared" si="3"/>
        <v>45.444444444444443</v>
      </c>
      <c r="R127" s="13" t="s">
        <v>1432</v>
      </c>
      <c r="S127" s="13" t="s">
        <v>1002</v>
      </c>
      <c r="T127" s="13" t="s">
        <v>3006</v>
      </c>
      <c r="U127" s="13"/>
      <c r="V127" s="13" t="s">
        <v>4022</v>
      </c>
      <c r="W127" s="13"/>
      <c r="X127" s="13" t="s">
        <v>3980</v>
      </c>
      <c r="Y127" s="13" t="s">
        <v>3980</v>
      </c>
      <c r="Z127" s="13" t="s">
        <v>3980</v>
      </c>
      <c r="AC127" s="18"/>
      <c r="AD127" s="18"/>
      <c r="AE127" s="18"/>
    </row>
    <row r="128" spans="1:31" x14ac:dyDescent="0.25">
      <c r="A128" t="s">
        <v>5121</v>
      </c>
      <c r="B128" s="30">
        <v>1999</v>
      </c>
      <c r="C128" s="13">
        <v>690</v>
      </c>
      <c r="D128" s="14">
        <v>0.629</v>
      </c>
      <c r="E128" s="14">
        <v>0.35899999999999999</v>
      </c>
      <c r="F128" s="13">
        <v>13</v>
      </c>
      <c r="G128" s="14">
        <v>0.64500000000000002</v>
      </c>
      <c r="H128" s="18" t="s">
        <v>3676</v>
      </c>
      <c r="I128" s="26" t="s">
        <v>83</v>
      </c>
      <c r="J128" s="18" t="s">
        <v>26</v>
      </c>
      <c r="L128" s="9">
        <v>1999</v>
      </c>
      <c r="N128" s="30" t="s">
        <v>168</v>
      </c>
      <c r="O128" s="13" t="s">
        <v>28</v>
      </c>
      <c r="P128" s="13">
        <f t="shared" si="2"/>
        <v>19</v>
      </c>
      <c r="Q128" s="15">
        <f t="shared" si="3"/>
        <v>36.315789473684212</v>
      </c>
      <c r="R128" s="13" t="s">
        <v>417</v>
      </c>
      <c r="S128" s="13" t="s">
        <v>30</v>
      </c>
      <c r="T128" s="13" t="s">
        <v>2967</v>
      </c>
      <c r="U128" s="13"/>
      <c r="V128" s="13" t="s">
        <v>4023</v>
      </c>
      <c r="W128" s="13"/>
      <c r="X128" s="13" t="s">
        <v>4360</v>
      </c>
      <c r="Y128" s="13" t="s">
        <v>3980</v>
      </c>
      <c r="Z128" s="13" t="s">
        <v>3980</v>
      </c>
      <c r="AC128" s="18"/>
      <c r="AD128" s="18"/>
      <c r="AE128" s="18"/>
    </row>
    <row r="129" spans="1:31" x14ac:dyDescent="0.25">
      <c r="A129" t="s">
        <v>428</v>
      </c>
      <c r="B129" s="30">
        <v>2006</v>
      </c>
      <c r="C129" s="13">
        <v>438</v>
      </c>
      <c r="D129" s="14">
        <v>0.52900000000000003</v>
      </c>
      <c r="E129" s="14">
        <v>0.57499999999999996</v>
      </c>
      <c r="F129" s="13">
        <v>12</v>
      </c>
      <c r="G129" s="14">
        <v>0.60899999999999999</v>
      </c>
      <c r="H129" s="18" t="s">
        <v>3246</v>
      </c>
      <c r="I129" s="26" t="s">
        <v>83</v>
      </c>
      <c r="J129" s="18" t="s">
        <v>54</v>
      </c>
      <c r="L129" s="9">
        <v>2006</v>
      </c>
      <c r="N129" s="30" t="s">
        <v>77</v>
      </c>
      <c r="O129" s="13" t="s">
        <v>28</v>
      </c>
      <c r="P129" s="13">
        <f t="shared" si="2"/>
        <v>12</v>
      </c>
      <c r="Q129" s="15">
        <f t="shared" si="3"/>
        <v>36.5</v>
      </c>
      <c r="R129" s="13" t="s">
        <v>429</v>
      </c>
      <c r="S129" s="13"/>
      <c r="T129" s="13" t="s">
        <v>430</v>
      </c>
      <c r="U129" s="13" t="s">
        <v>431</v>
      </c>
      <c r="V129" s="13" t="s">
        <v>3980</v>
      </c>
      <c r="W129" s="13"/>
      <c r="X129" s="13" t="s">
        <v>3980</v>
      </c>
      <c r="Y129" s="13" t="s">
        <v>3980</v>
      </c>
      <c r="Z129" s="13" t="s">
        <v>3980</v>
      </c>
      <c r="AC129" s="18"/>
      <c r="AD129" s="18"/>
      <c r="AE129" s="18"/>
    </row>
    <row r="130" spans="1:31" x14ac:dyDescent="0.25">
      <c r="A130" s="18" t="s">
        <v>354</v>
      </c>
      <c r="B130" s="30">
        <v>1988</v>
      </c>
      <c r="C130" s="13">
        <v>779</v>
      </c>
      <c r="D130" s="14">
        <v>0.65</v>
      </c>
      <c r="E130" s="14">
        <v>0.38700000000000001</v>
      </c>
      <c r="F130" s="13">
        <v>12</v>
      </c>
      <c r="G130" s="14">
        <v>0.60899999999999999</v>
      </c>
      <c r="H130" s="18" t="s">
        <v>3229</v>
      </c>
      <c r="I130" s="26" t="s">
        <v>83</v>
      </c>
      <c r="J130" s="18" t="s">
        <v>26</v>
      </c>
      <c r="K130" s="4"/>
      <c r="L130" s="9">
        <v>1988</v>
      </c>
      <c r="N130" s="30" t="s">
        <v>152</v>
      </c>
      <c r="O130" s="13" t="s">
        <v>42</v>
      </c>
      <c r="P130" s="13">
        <f t="shared" ref="P130:P193" si="5">2018-L130</f>
        <v>30</v>
      </c>
      <c r="Q130" s="15">
        <f t="shared" ref="Q130:Q193" si="6">C130/P130</f>
        <v>25.966666666666665</v>
      </c>
      <c r="R130" s="13" t="s">
        <v>355</v>
      </c>
      <c r="S130" s="13"/>
      <c r="T130" s="13" t="s">
        <v>356</v>
      </c>
      <c r="U130" s="13" t="s">
        <v>357</v>
      </c>
      <c r="V130" s="13" t="s">
        <v>4024</v>
      </c>
      <c r="W130" s="13"/>
      <c r="X130" s="13" t="s">
        <v>4361</v>
      </c>
      <c r="Y130" s="13" t="s">
        <v>3980</v>
      </c>
      <c r="Z130" s="13" t="s">
        <v>3980</v>
      </c>
      <c r="AC130" s="18"/>
      <c r="AD130" s="18"/>
      <c r="AE130" s="18"/>
    </row>
    <row r="131" spans="1:31" x14ac:dyDescent="0.25">
      <c r="A131" t="s">
        <v>2527</v>
      </c>
      <c r="B131" s="30">
        <v>2007</v>
      </c>
      <c r="C131" s="13">
        <v>2361</v>
      </c>
      <c r="D131" s="14">
        <v>0.86499999999999999</v>
      </c>
      <c r="E131" s="14">
        <v>0.96199999999999997</v>
      </c>
      <c r="F131" s="13">
        <v>18</v>
      </c>
      <c r="G131" s="14">
        <v>0.78700000000000003</v>
      </c>
      <c r="H131" s="18" t="s">
        <v>3560</v>
      </c>
      <c r="I131" s="26" t="s">
        <v>83</v>
      </c>
      <c r="J131" s="4" t="s">
        <v>54</v>
      </c>
      <c r="L131" s="9">
        <v>2007</v>
      </c>
      <c r="N131" s="30" t="s">
        <v>41</v>
      </c>
      <c r="O131" s="13" t="s">
        <v>28</v>
      </c>
      <c r="P131" s="13">
        <f t="shared" si="5"/>
        <v>11</v>
      </c>
      <c r="Q131" s="15">
        <f t="shared" si="6"/>
        <v>214.63636363636363</v>
      </c>
      <c r="R131" s="13" t="s">
        <v>84</v>
      </c>
      <c r="S131" s="13"/>
      <c r="T131" s="13" t="s">
        <v>2528</v>
      </c>
      <c r="U131" s="13" t="s">
        <v>2529</v>
      </c>
      <c r="V131" s="13" t="s">
        <v>4025</v>
      </c>
      <c r="W131" s="13"/>
      <c r="X131" s="13" t="s">
        <v>3980</v>
      </c>
      <c r="Y131" s="13" t="s">
        <v>3980</v>
      </c>
      <c r="Z131" s="13" t="s">
        <v>3980</v>
      </c>
      <c r="AC131" s="18"/>
      <c r="AD131" s="18"/>
      <c r="AE131" s="18"/>
    </row>
    <row r="132" spans="1:31" x14ac:dyDescent="0.25">
      <c r="A132" s="18" t="s">
        <v>2171</v>
      </c>
      <c r="B132" s="30">
        <v>2001</v>
      </c>
      <c r="C132" s="13">
        <v>204</v>
      </c>
      <c r="D132" s="14">
        <v>0.38500000000000001</v>
      </c>
      <c r="E132" s="14">
        <v>0.69399999999999995</v>
      </c>
      <c r="F132" s="13">
        <v>6</v>
      </c>
      <c r="G132" s="14">
        <v>0.32200000000000001</v>
      </c>
      <c r="H132" s="18" t="s">
        <v>3540</v>
      </c>
      <c r="I132" s="26" t="s">
        <v>83</v>
      </c>
      <c r="J132" s="4" t="s">
        <v>105</v>
      </c>
      <c r="K132" s="4"/>
      <c r="L132" s="9">
        <f>B132</f>
        <v>2001</v>
      </c>
      <c r="N132" s="30" t="s">
        <v>34</v>
      </c>
      <c r="O132" s="13" t="s">
        <v>28</v>
      </c>
      <c r="P132" s="13">
        <f t="shared" si="5"/>
        <v>17</v>
      </c>
      <c r="Q132" s="15">
        <f t="shared" si="6"/>
        <v>12</v>
      </c>
      <c r="R132" s="13" t="s">
        <v>808</v>
      </c>
      <c r="S132" s="13"/>
      <c r="T132" s="13" t="s">
        <v>2172</v>
      </c>
      <c r="U132" s="13"/>
      <c r="V132" s="13" t="s">
        <v>3980</v>
      </c>
      <c r="W132" s="13"/>
      <c r="X132" s="13" t="s">
        <v>3980</v>
      </c>
      <c r="Y132" s="13" t="s">
        <v>3980</v>
      </c>
      <c r="Z132" s="13" t="s">
        <v>3980</v>
      </c>
      <c r="AC132" s="18"/>
      <c r="AD132" s="18"/>
      <c r="AE132" s="18"/>
    </row>
    <row r="133" spans="1:31" x14ac:dyDescent="0.25">
      <c r="A133" s="18" t="s">
        <v>2968</v>
      </c>
      <c r="B133" s="30">
        <v>2015</v>
      </c>
      <c r="C133" s="13">
        <v>202</v>
      </c>
      <c r="D133" s="14">
        <v>0.38200000000000001</v>
      </c>
      <c r="E133" s="14">
        <v>0.68700000000000006</v>
      </c>
      <c r="F133" s="13">
        <v>2</v>
      </c>
      <c r="G133" s="14">
        <v>7.0999999999999994E-2</v>
      </c>
      <c r="I133" s="26" t="s">
        <v>83</v>
      </c>
      <c r="J133" s="4" t="s">
        <v>105</v>
      </c>
      <c r="L133" s="9">
        <f>B133</f>
        <v>2015</v>
      </c>
      <c r="N133" s="30" t="s">
        <v>88</v>
      </c>
      <c r="O133" s="13" t="s">
        <v>42</v>
      </c>
      <c r="P133" s="13">
        <f t="shared" si="5"/>
        <v>3</v>
      </c>
      <c r="Q133" s="15">
        <f t="shared" si="6"/>
        <v>67.333333333333329</v>
      </c>
      <c r="R133" s="13" t="s">
        <v>2969</v>
      </c>
      <c r="S133" s="13"/>
      <c r="T133" s="13" t="s">
        <v>2970</v>
      </c>
      <c r="U133" s="13"/>
      <c r="V133" s="13" t="s">
        <v>3980</v>
      </c>
      <c r="W133" s="13"/>
      <c r="X133" s="13" t="s">
        <v>3980</v>
      </c>
      <c r="Y133" s="13" t="s">
        <v>3980</v>
      </c>
      <c r="Z133" s="13" t="s">
        <v>3980</v>
      </c>
      <c r="AC133" s="18"/>
      <c r="AD133" s="18"/>
      <c r="AE133" s="18"/>
    </row>
    <row r="134" spans="1:31" x14ac:dyDescent="0.25">
      <c r="A134" s="18" t="s">
        <v>1557</v>
      </c>
      <c r="B134" s="30">
        <v>2015</v>
      </c>
      <c r="C134" s="13">
        <v>28</v>
      </c>
      <c r="D134" s="14">
        <v>0.121</v>
      </c>
      <c r="E134" s="14">
        <v>0.23799999999999999</v>
      </c>
      <c r="F134" s="13">
        <v>3</v>
      </c>
      <c r="G134" s="14">
        <v>0.13100000000000001</v>
      </c>
      <c r="I134" s="26" t="s">
        <v>83</v>
      </c>
      <c r="J134" s="4" t="s">
        <v>105</v>
      </c>
      <c r="L134" s="9">
        <f>B134</f>
        <v>2015</v>
      </c>
      <c r="M134" s="11"/>
      <c r="N134" s="30" t="s">
        <v>3102</v>
      </c>
      <c r="O134" s="13" t="s">
        <v>42</v>
      </c>
      <c r="P134" s="13">
        <f t="shared" si="5"/>
        <v>3</v>
      </c>
      <c r="Q134" s="15">
        <f t="shared" si="6"/>
        <v>9.3333333333333339</v>
      </c>
      <c r="R134" s="13" t="s">
        <v>1558</v>
      </c>
      <c r="S134" s="13"/>
      <c r="T134" s="13" t="s">
        <v>1559</v>
      </c>
      <c r="U134" s="13"/>
      <c r="V134" s="13" t="s">
        <v>3980</v>
      </c>
      <c r="W134" s="13"/>
      <c r="X134" s="13" t="s">
        <v>3980</v>
      </c>
      <c r="Y134" s="13" t="s">
        <v>3980</v>
      </c>
      <c r="Z134" s="13" t="s">
        <v>3980</v>
      </c>
      <c r="AC134" s="18"/>
      <c r="AD134" s="18"/>
      <c r="AE134" s="18"/>
    </row>
    <row r="135" spans="1:31" x14ac:dyDescent="0.25">
      <c r="A135" t="s">
        <v>2726</v>
      </c>
      <c r="B135" s="30">
        <v>1988</v>
      </c>
      <c r="C135" s="13">
        <v>2125</v>
      </c>
      <c r="D135" s="14">
        <v>0.84599999999999997</v>
      </c>
      <c r="E135" s="14">
        <v>0.66700000000000004</v>
      </c>
      <c r="F135" s="13">
        <v>20</v>
      </c>
      <c r="G135" s="14">
        <v>0.82599999999999996</v>
      </c>
      <c r="I135" s="26" t="s">
        <v>83</v>
      </c>
      <c r="J135" s="4" t="s">
        <v>26</v>
      </c>
      <c r="L135" s="9">
        <v>1988</v>
      </c>
      <c r="N135" s="30" t="s">
        <v>152</v>
      </c>
      <c r="O135" s="13" t="s">
        <v>42</v>
      </c>
      <c r="P135" s="13">
        <f t="shared" si="5"/>
        <v>30</v>
      </c>
      <c r="Q135" s="15">
        <f t="shared" si="6"/>
        <v>70.833333333333329</v>
      </c>
      <c r="R135" s="13" t="s">
        <v>511</v>
      </c>
      <c r="S135" s="13"/>
      <c r="T135" s="13" t="s">
        <v>2727</v>
      </c>
      <c r="U135" s="13" t="s">
        <v>2728</v>
      </c>
      <c r="V135" s="13" t="s">
        <v>4026</v>
      </c>
      <c r="W135" s="13"/>
      <c r="X135" s="13" t="s">
        <v>4362</v>
      </c>
      <c r="Y135" s="13" t="s">
        <v>3980</v>
      </c>
      <c r="Z135" s="13" t="s">
        <v>3980</v>
      </c>
      <c r="AC135" s="18"/>
      <c r="AD135" s="18"/>
      <c r="AE135" s="18"/>
    </row>
    <row r="136" spans="1:31" x14ac:dyDescent="0.25">
      <c r="A136" t="s">
        <v>218</v>
      </c>
      <c r="B136" s="30">
        <v>2003</v>
      </c>
      <c r="C136" s="13">
        <v>376</v>
      </c>
      <c r="D136" s="14">
        <v>0.49099999999999999</v>
      </c>
      <c r="E136" s="14">
        <v>0.52400000000000002</v>
      </c>
      <c r="F136" s="13">
        <v>9</v>
      </c>
      <c r="G136" s="14">
        <v>0.48799999999999999</v>
      </c>
      <c r="H136" s="18" t="s">
        <v>3197</v>
      </c>
      <c r="I136" s="26" t="s">
        <v>219</v>
      </c>
      <c r="J136" s="18" t="s">
        <v>54</v>
      </c>
      <c r="K136" s="4"/>
      <c r="L136" s="9">
        <v>2003</v>
      </c>
      <c r="N136" s="30" t="s">
        <v>220</v>
      </c>
      <c r="O136" s="13" t="s">
        <v>42</v>
      </c>
      <c r="P136" s="13">
        <f t="shared" si="5"/>
        <v>15</v>
      </c>
      <c r="Q136" s="15">
        <f t="shared" si="6"/>
        <v>25.066666666666666</v>
      </c>
      <c r="R136" s="13" t="s">
        <v>221</v>
      </c>
      <c r="S136" s="13"/>
      <c r="T136" s="13" t="s">
        <v>222</v>
      </c>
      <c r="U136" s="13" t="s">
        <v>223</v>
      </c>
      <c r="V136" s="13" t="s">
        <v>3980</v>
      </c>
      <c r="W136" s="13"/>
      <c r="X136" s="13" t="s">
        <v>4363</v>
      </c>
      <c r="Y136" s="13" t="s">
        <v>3980</v>
      </c>
      <c r="Z136" s="13" t="s">
        <v>3980</v>
      </c>
      <c r="AC136" s="18"/>
      <c r="AD136" s="18"/>
      <c r="AE136" s="18"/>
    </row>
    <row r="137" spans="1:31" x14ac:dyDescent="0.25">
      <c r="A137" t="s">
        <v>895</v>
      </c>
      <c r="B137" s="30">
        <v>2004</v>
      </c>
      <c r="C137" s="13">
        <v>1588</v>
      </c>
      <c r="D137" s="14">
        <v>0.79800000000000004</v>
      </c>
      <c r="E137" s="14">
        <v>0.90500000000000003</v>
      </c>
      <c r="F137" s="13">
        <v>13</v>
      </c>
      <c r="G137" s="14">
        <v>0.64500000000000002</v>
      </c>
      <c r="H137" s="18" t="s">
        <v>3368</v>
      </c>
      <c r="I137" s="26" t="s">
        <v>219</v>
      </c>
      <c r="J137" s="4" t="s">
        <v>54</v>
      </c>
      <c r="K137" s="4"/>
      <c r="L137" s="9">
        <f>B137</f>
        <v>2004</v>
      </c>
      <c r="N137" s="30" t="s">
        <v>152</v>
      </c>
      <c r="O137" s="13" t="s">
        <v>42</v>
      </c>
      <c r="P137" s="13">
        <f t="shared" si="5"/>
        <v>14</v>
      </c>
      <c r="Q137" s="15">
        <f t="shared" si="6"/>
        <v>113.42857142857143</v>
      </c>
      <c r="R137" s="13" t="s">
        <v>338</v>
      </c>
      <c r="S137" s="13"/>
      <c r="T137" s="13" t="s">
        <v>896</v>
      </c>
      <c r="U137" s="13"/>
      <c r="V137" s="13" t="s">
        <v>3980</v>
      </c>
      <c r="W137" s="13"/>
      <c r="X137" s="13" t="s">
        <v>3980</v>
      </c>
      <c r="Y137" s="13" t="s">
        <v>3980</v>
      </c>
      <c r="Z137" s="13" t="s">
        <v>3980</v>
      </c>
      <c r="AC137" s="18"/>
      <c r="AD137" s="18"/>
      <c r="AE137" s="18"/>
    </row>
    <row r="138" spans="1:31" x14ac:dyDescent="0.25">
      <c r="A138" t="s">
        <v>5133</v>
      </c>
      <c r="B138" s="30">
        <v>1989</v>
      </c>
      <c r="C138" s="13">
        <v>375</v>
      </c>
      <c r="D138" s="14">
        <v>0.48799999999999999</v>
      </c>
      <c r="E138" s="14">
        <v>0.51500000000000001</v>
      </c>
      <c r="F138" s="13">
        <v>6</v>
      </c>
      <c r="G138" s="14">
        <v>0.32200000000000001</v>
      </c>
      <c r="I138" s="26" t="s">
        <v>219</v>
      </c>
      <c r="J138" s="4" t="s">
        <v>54</v>
      </c>
      <c r="L138" s="9">
        <v>1989</v>
      </c>
      <c r="N138" s="30" t="s">
        <v>94</v>
      </c>
      <c r="O138" s="13" t="s">
        <v>28</v>
      </c>
      <c r="P138" s="13">
        <f t="shared" si="5"/>
        <v>29</v>
      </c>
      <c r="Q138" s="15">
        <f t="shared" si="6"/>
        <v>12.931034482758621</v>
      </c>
      <c r="R138" s="13" t="s">
        <v>1432</v>
      </c>
      <c r="S138" s="13" t="s">
        <v>62</v>
      </c>
      <c r="T138" s="13" t="s">
        <v>3008</v>
      </c>
      <c r="U138" s="13" t="s">
        <v>3009</v>
      </c>
      <c r="V138" s="13" t="s">
        <v>4027</v>
      </c>
      <c r="W138" s="13"/>
      <c r="X138" s="13" t="s">
        <v>4364</v>
      </c>
      <c r="Y138" s="13" t="s">
        <v>3980</v>
      </c>
      <c r="Z138" s="13" t="s">
        <v>3980</v>
      </c>
      <c r="AC138" s="18"/>
      <c r="AD138" s="18"/>
      <c r="AE138" s="18"/>
    </row>
    <row r="139" spans="1:31" x14ac:dyDescent="0.25">
      <c r="A139" t="s">
        <v>1483</v>
      </c>
      <c r="B139" s="30">
        <v>2014</v>
      </c>
      <c r="C139" s="8">
        <v>28</v>
      </c>
      <c r="D139" s="14">
        <v>0.121</v>
      </c>
      <c r="E139" s="14">
        <v>0.23799999999999999</v>
      </c>
      <c r="F139" s="8">
        <v>4</v>
      </c>
      <c r="G139" s="14">
        <v>0.19600000000000001</v>
      </c>
      <c r="H139" s="18" t="s">
        <v>3562</v>
      </c>
      <c r="I139" s="26" t="s">
        <v>219</v>
      </c>
      <c r="J139" s="4" t="s">
        <v>105</v>
      </c>
      <c r="L139" s="9">
        <f>B139</f>
        <v>2014</v>
      </c>
      <c r="N139" s="28" t="s">
        <v>3107</v>
      </c>
      <c r="O139" s="13" t="s">
        <v>28</v>
      </c>
      <c r="P139" s="13">
        <f t="shared" si="5"/>
        <v>4</v>
      </c>
      <c r="Q139" s="15">
        <f t="shared" si="6"/>
        <v>7</v>
      </c>
      <c r="R139" s="18" t="s">
        <v>3722</v>
      </c>
      <c r="T139" s="18" t="s">
        <v>3723</v>
      </c>
      <c r="V139" s="18" t="s">
        <v>3980</v>
      </c>
      <c r="X139" s="18" t="s">
        <v>3980</v>
      </c>
      <c r="Y139" s="18" t="s">
        <v>3980</v>
      </c>
      <c r="Z139" s="18" t="s">
        <v>3980</v>
      </c>
      <c r="AC139" s="18"/>
      <c r="AD139" s="18"/>
      <c r="AE139" s="18"/>
    </row>
    <row r="140" spans="1:31" x14ac:dyDescent="0.25">
      <c r="A140" s="18" t="s">
        <v>5056</v>
      </c>
      <c r="B140" s="30">
        <v>1993</v>
      </c>
      <c r="C140" s="13">
        <v>3875</v>
      </c>
      <c r="D140" s="14">
        <v>0.92600000000000005</v>
      </c>
      <c r="E140" s="14">
        <v>0.82899999999999996</v>
      </c>
      <c r="F140" s="13">
        <v>30</v>
      </c>
      <c r="G140" s="14">
        <v>0.93200000000000005</v>
      </c>
      <c r="H140" s="18" t="s">
        <v>3417</v>
      </c>
      <c r="I140" s="26" t="s">
        <v>219</v>
      </c>
      <c r="J140" s="4" t="s">
        <v>26</v>
      </c>
      <c r="K140" s="4"/>
      <c r="L140" s="9">
        <f>B140</f>
        <v>1993</v>
      </c>
      <c r="N140" s="30" t="s">
        <v>3091</v>
      </c>
      <c r="O140" s="13" t="s">
        <v>28</v>
      </c>
      <c r="P140" s="13">
        <f t="shared" si="5"/>
        <v>25</v>
      </c>
      <c r="Q140" s="15">
        <f t="shared" si="6"/>
        <v>155</v>
      </c>
      <c r="R140" s="13" t="s">
        <v>124</v>
      </c>
      <c r="S140" s="13" t="s">
        <v>669</v>
      </c>
      <c r="T140" s="13" t="s">
        <v>1065</v>
      </c>
      <c r="U140" s="13"/>
      <c r="V140" s="13" t="s">
        <v>3980</v>
      </c>
      <c r="W140" s="13"/>
      <c r="X140" s="13" t="s">
        <v>3980</v>
      </c>
      <c r="Y140" s="13" t="s">
        <v>3980</v>
      </c>
      <c r="Z140" s="13" t="s">
        <v>3980</v>
      </c>
      <c r="AC140" s="18"/>
      <c r="AD140" s="18"/>
      <c r="AE140" s="18"/>
    </row>
    <row r="141" spans="1:31" x14ac:dyDescent="0.25">
      <c r="A141" s="18" t="s">
        <v>543</v>
      </c>
      <c r="B141" s="30">
        <v>1991</v>
      </c>
      <c r="C141" s="13">
        <v>3838</v>
      </c>
      <c r="D141" s="14">
        <v>0.92400000000000004</v>
      </c>
      <c r="E141" s="14">
        <v>0.82399999999999995</v>
      </c>
      <c r="F141" s="13">
        <v>21</v>
      </c>
      <c r="G141" s="14">
        <v>0.84199999999999997</v>
      </c>
      <c r="H141" s="18" t="s">
        <v>3275</v>
      </c>
      <c r="I141" s="26" t="s">
        <v>219</v>
      </c>
      <c r="J141" s="4" t="s">
        <v>26</v>
      </c>
      <c r="K141" s="4"/>
      <c r="L141" s="9">
        <v>1991</v>
      </c>
      <c r="N141" s="30" t="s">
        <v>41</v>
      </c>
      <c r="O141" s="13" t="s">
        <v>28</v>
      </c>
      <c r="P141" s="13">
        <f t="shared" si="5"/>
        <v>27</v>
      </c>
      <c r="Q141" s="15">
        <f t="shared" si="6"/>
        <v>142.14814814814815</v>
      </c>
      <c r="R141" s="13" t="s">
        <v>544</v>
      </c>
      <c r="S141" s="13"/>
      <c r="T141" s="13" t="s">
        <v>545</v>
      </c>
      <c r="U141" s="13" t="s">
        <v>546</v>
      </c>
      <c r="V141" s="13" t="s">
        <v>3980</v>
      </c>
      <c r="W141" s="13"/>
      <c r="X141" s="13" t="s">
        <v>3980</v>
      </c>
      <c r="Y141" s="13" t="s">
        <v>3980</v>
      </c>
      <c r="Z141" s="13" t="s">
        <v>3980</v>
      </c>
      <c r="AC141" s="18"/>
      <c r="AD141" s="18"/>
      <c r="AE141" s="18"/>
    </row>
    <row r="142" spans="1:31" x14ac:dyDescent="0.25">
      <c r="A142" s="18" t="s">
        <v>1536</v>
      </c>
      <c r="B142" s="30">
        <v>2011</v>
      </c>
      <c r="C142" s="13">
        <v>65</v>
      </c>
      <c r="D142" s="14">
        <v>0.20399999999999999</v>
      </c>
      <c r="E142" s="14">
        <v>0.38900000000000001</v>
      </c>
      <c r="F142" s="13">
        <v>1</v>
      </c>
      <c r="G142" s="14">
        <v>0</v>
      </c>
      <c r="H142" s="18" t="s">
        <v>3582</v>
      </c>
      <c r="I142" s="26" t="s">
        <v>219</v>
      </c>
      <c r="J142" s="4" t="s">
        <v>105</v>
      </c>
      <c r="L142" s="9">
        <v>2011</v>
      </c>
      <c r="N142" s="30" t="s">
        <v>88</v>
      </c>
      <c r="O142" s="13" t="s">
        <v>28</v>
      </c>
      <c r="P142" s="13">
        <f t="shared" si="5"/>
        <v>7</v>
      </c>
      <c r="Q142" s="15">
        <f t="shared" si="6"/>
        <v>9.2857142857142865</v>
      </c>
      <c r="R142" s="13" t="s">
        <v>1537</v>
      </c>
      <c r="S142" s="13" t="s">
        <v>1538</v>
      </c>
      <c r="T142" s="13" t="s">
        <v>320</v>
      </c>
      <c r="U142" s="13" t="s">
        <v>1539</v>
      </c>
      <c r="V142" s="13" t="s">
        <v>3980</v>
      </c>
      <c r="W142" s="13"/>
      <c r="X142" s="13" t="s">
        <v>3980</v>
      </c>
      <c r="Y142" s="13" t="s">
        <v>3980</v>
      </c>
      <c r="Z142" s="13" t="s">
        <v>3980</v>
      </c>
      <c r="AC142" s="18"/>
      <c r="AD142" s="18"/>
      <c r="AE142" s="18"/>
    </row>
    <row r="143" spans="1:31" x14ac:dyDescent="0.25">
      <c r="A143" s="28" t="s">
        <v>5030</v>
      </c>
      <c r="B143" s="30">
        <v>1984</v>
      </c>
      <c r="C143" s="13">
        <v>730</v>
      </c>
      <c r="D143" s="14">
        <v>0.63600000000000001</v>
      </c>
      <c r="E143" s="14">
        <v>0.73</v>
      </c>
      <c r="F143" s="13">
        <v>9</v>
      </c>
      <c r="G143" s="14">
        <v>0.48799999999999999</v>
      </c>
      <c r="I143" s="26" t="s">
        <v>219</v>
      </c>
      <c r="J143" s="4" t="s">
        <v>54</v>
      </c>
      <c r="K143" s="4"/>
      <c r="L143" s="9">
        <v>1984</v>
      </c>
      <c r="N143" s="30" t="s">
        <v>123</v>
      </c>
      <c r="O143" s="13" t="s">
        <v>28</v>
      </c>
      <c r="P143" s="13">
        <f t="shared" si="5"/>
        <v>34</v>
      </c>
      <c r="Q143" s="15">
        <f t="shared" si="6"/>
        <v>21.470588235294116</v>
      </c>
      <c r="R143" s="13" t="s">
        <v>84</v>
      </c>
      <c r="S143" s="13" t="s">
        <v>669</v>
      </c>
      <c r="T143" s="13" t="s">
        <v>2536</v>
      </c>
      <c r="U143" s="13" t="s">
        <v>2537</v>
      </c>
      <c r="V143" s="13" t="s">
        <v>3980</v>
      </c>
      <c r="W143" s="13"/>
      <c r="X143" s="13" t="s">
        <v>3980</v>
      </c>
      <c r="Y143" s="13" t="s">
        <v>3980</v>
      </c>
      <c r="Z143" s="13" t="s">
        <v>3980</v>
      </c>
      <c r="AC143" s="18"/>
      <c r="AD143" s="18"/>
      <c r="AE143" s="18"/>
    </row>
    <row r="144" spans="1:31" x14ac:dyDescent="0.25">
      <c r="A144" s="18" t="s">
        <v>4865</v>
      </c>
      <c r="B144" s="30">
        <v>1979</v>
      </c>
      <c r="C144" s="13">
        <v>1370</v>
      </c>
      <c r="D144" s="14">
        <v>0.76300000000000001</v>
      </c>
      <c r="E144" s="14">
        <v>0.52800000000000002</v>
      </c>
      <c r="F144" s="13">
        <v>19</v>
      </c>
      <c r="G144" s="14">
        <v>0.81299999999999994</v>
      </c>
      <c r="H144" s="18" t="s">
        <v>3664</v>
      </c>
      <c r="I144" s="26" t="s">
        <v>219</v>
      </c>
      <c r="J144" s="4" t="s">
        <v>26</v>
      </c>
      <c r="K144" s="4"/>
      <c r="L144" s="9">
        <v>1979</v>
      </c>
      <c r="N144" s="30" t="s">
        <v>152</v>
      </c>
      <c r="O144" s="13" t="s">
        <v>42</v>
      </c>
      <c r="P144" s="13">
        <f t="shared" si="5"/>
        <v>39</v>
      </c>
      <c r="Q144" s="15">
        <f t="shared" si="6"/>
        <v>35.128205128205131</v>
      </c>
      <c r="R144" s="13" t="s">
        <v>1700</v>
      </c>
      <c r="S144" s="13" t="s">
        <v>669</v>
      </c>
      <c r="T144" s="13" t="s">
        <v>1701</v>
      </c>
      <c r="U144" s="13" t="s">
        <v>1702</v>
      </c>
      <c r="V144" s="13" t="s">
        <v>3980</v>
      </c>
      <c r="W144" s="13"/>
      <c r="X144" s="13" t="s">
        <v>4365</v>
      </c>
      <c r="Y144" s="13" t="s">
        <v>3980</v>
      </c>
      <c r="Z144" s="13" t="s">
        <v>3980</v>
      </c>
      <c r="AC144" s="18"/>
      <c r="AD144" s="18"/>
      <c r="AE144" s="18"/>
    </row>
    <row r="145" spans="1:31" x14ac:dyDescent="0.25">
      <c r="A145" s="18" t="s">
        <v>656</v>
      </c>
      <c r="B145" s="30">
        <v>1986</v>
      </c>
      <c r="C145" s="13">
        <v>2621</v>
      </c>
      <c r="D145" s="14">
        <v>0.876</v>
      </c>
      <c r="E145" s="14">
        <v>0.72599999999999998</v>
      </c>
      <c r="F145" s="13">
        <v>15</v>
      </c>
      <c r="G145" s="14">
        <v>0.71</v>
      </c>
      <c r="H145" s="18" t="s">
        <v>3305</v>
      </c>
      <c r="I145" s="26" t="s">
        <v>219</v>
      </c>
      <c r="J145" s="4" t="s">
        <v>26</v>
      </c>
      <c r="K145" s="4"/>
      <c r="L145" s="9">
        <v>1986</v>
      </c>
      <c r="N145" s="30" t="s">
        <v>94</v>
      </c>
      <c r="O145" s="13" t="s">
        <v>28</v>
      </c>
      <c r="P145" s="13">
        <f t="shared" si="5"/>
        <v>32</v>
      </c>
      <c r="Q145" s="15">
        <f t="shared" si="6"/>
        <v>81.90625</v>
      </c>
      <c r="R145" s="13" t="s">
        <v>657</v>
      </c>
      <c r="S145" s="13"/>
      <c r="T145" s="13" t="s">
        <v>658</v>
      </c>
      <c r="U145" s="13" t="s">
        <v>659</v>
      </c>
      <c r="V145" s="13" t="s">
        <v>4028</v>
      </c>
      <c r="W145" s="13"/>
      <c r="X145" s="13" t="s">
        <v>4366</v>
      </c>
      <c r="Y145" s="13" t="s">
        <v>3980</v>
      </c>
      <c r="Z145" s="13" t="s">
        <v>3980</v>
      </c>
      <c r="AC145" s="18"/>
      <c r="AD145" s="18"/>
      <c r="AE145" s="18"/>
    </row>
    <row r="146" spans="1:31" x14ac:dyDescent="0.25">
      <c r="A146" t="s">
        <v>1658</v>
      </c>
      <c r="B146" s="30">
        <v>2001</v>
      </c>
      <c r="C146" s="13">
        <v>2768</v>
      </c>
      <c r="D146" s="14">
        <v>0.88300000000000001</v>
      </c>
      <c r="E146" s="14">
        <v>0.74</v>
      </c>
      <c r="F146" s="13">
        <v>24</v>
      </c>
      <c r="G146" s="14">
        <v>0.88300000000000001</v>
      </c>
      <c r="I146" s="26" t="s">
        <v>219</v>
      </c>
      <c r="J146" s="4" t="s">
        <v>26</v>
      </c>
      <c r="L146" s="9">
        <v>2001</v>
      </c>
      <c r="M146" s="11"/>
      <c r="N146" s="30" t="s">
        <v>219</v>
      </c>
      <c r="O146" s="13" t="s">
        <v>28</v>
      </c>
      <c r="P146" s="13">
        <f t="shared" si="5"/>
        <v>17</v>
      </c>
      <c r="Q146" s="15">
        <f t="shared" si="6"/>
        <v>162.8235294117647</v>
      </c>
      <c r="R146" s="13" t="s">
        <v>575</v>
      </c>
      <c r="S146" s="13"/>
      <c r="T146" s="13" t="s">
        <v>1659</v>
      </c>
      <c r="U146" s="13" t="s">
        <v>1660</v>
      </c>
      <c r="V146" s="13" t="s">
        <v>3980</v>
      </c>
      <c r="W146" s="13"/>
      <c r="X146" s="13" t="s">
        <v>4367</v>
      </c>
      <c r="Y146" s="13" t="s">
        <v>3980</v>
      </c>
      <c r="Z146" s="13" t="s">
        <v>3980</v>
      </c>
      <c r="AC146" s="18"/>
      <c r="AD146" s="18"/>
      <c r="AE146" s="18"/>
    </row>
    <row r="147" spans="1:31" x14ac:dyDescent="0.25">
      <c r="A147" s="18" t="s">
        <v>5122</v>
      </c>
      <c r="B147" s="30">
        <v>2013</v>
      </c>
      <c r="C147" s="13">
        <v>313</v>
      </c>
      <c r="D147" s="14">
        <v>0.45300000000000001</v>
      </c>
      <c r="E147" s="14">
        <v>0.76800000000000002</v>
      </c>
      <c r="F147" s="13">
        <v>8</v>
      </c>
      <c r="G147" s="14">
        <v>0.434</v>
      </c>
      <c r="H147" s="18" t="s">
        <v>3243</v>
      </c>
      <c r="I147" s="26" t="s">
        <v>219</v>
      </c>
      <c r="J147" s="4" t="s">
        <v>105</v>
      </c>
      <c r="L147" s="9">
        <v>2013</v>
      </c>
      <c r="N147" s="30" t="s">
        <v>59</v>
      </c>
      <c r="O147" s="13" t="s">
        <v>28</v>
      </c>
      <c r="P147" s="13">
        <f t="shared" si="5"/>
        <v>5</v>
      </c>
      <c r="Q147" s="15">
        <f t="shared" si="6"/>
        <v>62.6</v>
      </c>
      <c r="R147" s="13" t="s">
        <v>417</v>
      </c>
      <c r="S147" s="13" t="s">
        <v>418</v>
      </c>
      <c r="T147" s="13" t="s">
        <v>419</v>
      </c>
      <c r="U147" s="13"/>
      <c r="V147" s="13" t="s">
        <v>3980</v>
      </c>
      <c r="W147" s="13"/>
      <c r="X147" s="13" t="s">
        <v>4368</v>
      </c>
      <c r="Y147" s="13" t="s">
        <v>3980</v>
      </c>
      <c r="Z147" s="13" t="s">
        <v>3980</v>
      </c>
      <c r="AC147" s="18"/>
      <c r="AD147" s="18"/>
      <c r="AE147" s="18"/>
    </row>
    <row r="148" spans="1:31" x14ac:dyDescent="0.25">
      <c r="A148" s="18" t="s">
        <v>2661</v>
      </c>
      <c r="B148" s="30">
        <v>2001</v>
      </c>
      <c r="C148" s="8">
        <v>409</v>
      </c>
      <c r="D148" s="14">
        <v>0.50700000000000001</v>
      </c>
      <c r="E148" s="14">
        <v>0.55000000000000004</v>
      </c>
      <c r="F148" s="8">
        <v>10</v>
      </c>
      <c r="G148" s="14">
        <v>0.52200000000000002</v>
      </c>
      <c r="H148" s="18" t="s">
        <v>3604</v>
      </c>
      <c r="I148" s="26" t="s">
        <v>219</v>
      </c>
      <c r="J148" s="18" t="s">
        <v>54</v>
      </c>
      <c r="L148" s="9">
        <f>B148</f>
        <v>2001</v>
      </c>
      <c r="N148" s="28" t="s">
        <v>3148</v>
      </c>
      <c r="O148" s="13" t="s">
        <v>28</v>
      </c>
      <c r="P148" s="13">
        <f t="shared" si="5"/>
        <v>17</v>
      </c>
      <c r="Q148" s="15">
        <f t="shared" si="6"/>
        <v>24.058823529411764</v>
      </c>
      <c r="R148" s="18" t="s">
        <v>1819</v>
      </c>
      <c r="T148" s="18" t="s">
        <v>2385</v>
      </c>
      <c r="V148" s="18" t="s">
        <v>3980</v>
      </c>
      <c r="X148" s="18" t="s">
        <v>3980</v>
      </c>
      <c r="Y148" s="18" t="s">
        <v>3980</v>
      </c>
      <c r="Z148" s="18" t="s">
        <v>3980</v>
      </c>
      <c r="AC148" s="18"/>
      <c r="AD148" s="18"/>
      <c r="AE148" s="18"/>
    </row>
    <row r="149" spans="1:31" x14ac:dyDescent="0.25">
      <c r="A149" t="s">
        <v>2825</v>
      </c>
      <c r="B149" s="30">
        <v>2014</v>
      </c>
      <c r="C149" s="13">
        <v>29</v>
      </c>
      <c r="D149" s="14">
        <v>0.124</v>
      </c>
      <c r="E149" s="14">
        <v>0.249</v>
      </c>
      <c r="F149" s="13">
        <v>2</v>
      </c>
      <c r="G149" s="14">
        <v>7.0999999999999994E-2</v>
      </c>
      <c r="I149" s="26" t="s">
        <v>34</v>
      </c>
      <c r="J149" s="18" t="s">
        <v>105</v>
      </c>
      <c r="L149" s="9">
        <v>2014</v>
      </c>
      <c r="N149" s="30" t="s">
        <v>34</v>
      </c>
      <c r="O149" s="13" t="s">
        <v>42</v>
      </c>
      <c r="P149" s="13">
        <f t="shared" si="5"/>
        <v>4</v>
      </c>
      <c r="Q149" s="15">
        <f t="shared" si="6"/>
        <v>7.25</v>
      </c>
      <c r="R149" s="13" t="s">
        <v>2826</v>
      </c>
      <c r="S149" s="13"/>
      <c r="T149" s="13" t="s">
        <v>1592</v>
      </c>
      <c r="U149" s="13"/>
      <c r="V149" s="13" t="s">
        <v>3980</v>
      </c>
      <c r="W149" s="13"/>
      <c r="X149" s="13" t="s">
        <v>3980</v>
      </c>
      <c r="Y149" s="13" t="s">
        <v>3980</v>
      </c>
      <c r="Z149" s="13" t="s">
        <v>3980</v>
      </c>
      <c r="AC149" s="18"/>
      <c r="AD149" s="18"/>
      <c r="AE149" s="18"/>
    </row>
    <row r="150" spans="1:31" x14ac:dyDescent="0.25">
      <c r="A150" t="s">
        <v>33</v>
      </c>
      <c r="B150" s="30">
        <v>1999</v>
      </c>
      <c r="C150" s="13">
        <v>27675</v>
      </c>
      <c r="D150" s="14">
        <v>0.999</v>
      </c>
      <c r="E150" s="14">
        <v>0.997</v>
      </c>
      <c r="F150" s="13">
        <v>51</v>
      </c>
      <c r="G150" s="14">
        <v>0.99199999999999999</v>
      </c>
      <c r="H150" s="18" t="s">
        <v>3163</v>
      </c>
      <c r="I150" s="26" t="s">
        <v>34</v>
      </c>
      <c r="J150" s="18" t="s">
        <v>26</v>
      </c>
      <c r="K150" s="4"/>
      <c r="L150" s="9">
        <v>1999</v>
      </c>
      <c r="N150" s="30" t="s">
        <v>35</v>
      </c>
      <c r="O150" s="13" t="s">
        <v>28</v>
      </c>
      <c r="P150" s="13">
        <f t="shared" si="5"/>
        <v>19</v>
      </c>
      <c r="Q150" s="15">
        <f t="shared" si="6"/>
        <v>1456.578947368421</v>
      </c>
      <c r="R150" s="13" t="s">
        <v>36</v>
      </c>
      <c r="S150" s="13"/>
      <c r="T150" s="13" t="s">
        <v>37</v>
      </c>
      <c r="U150" s="13" t="s">
        <v>38</v>
      </c>
      <c r="V150" s="13" t="s">
        <v>3980</v>
      </c>
      <c r="W150" s="13"/>
      <c r="X150" s="13" t="s">
        <v>3980</v>
      </c>
      <c r="Y150" s="13" t="s">
        <v>3980</v>
      </c>
      <c r="Z150" s="13" t="s">
        <v>3980</v>
      </c>
      <c r="AC150" s="18"/>
      <c r="AD150" s="18"/>
      <c r="AE150" s="18"/>
    </row>
    <row r="151" spans="1:31" x14ac:dyDescent="0.25">
      <c r="A151" s="18" t="s">
        <v>2151</v>
      </c>
      <c r="B151" s="30">
        <v>1975</v>
      </c>
      <c r="C151" s="8">
        <v>1501</v>
      </c>
      <c r="D151" s="14">
        <v>0.78600000000000003</v>
      </c>
      <c r="E151" s="14">
        <v>0.57399999999999995</v>
      </c>
      <c r="F151" s="8">
        <v>17</v>
      </c>
      <c r="G151" s="14">
        <v>0.76400000000000001</v>
      </c>
      <c r="I151" s="26" t="s">
        <v>34</v>
      </c>
      <c r="J151" s="18" t="s">
        <v>26</v>
      </c>
      <c r="L151" s="9">
        <f>B151</f>
        <v>1975</v>
      </c>
      <c r="N151" s="28" t="s">
        <v>3127</v>
      </c>
      <c r="O151" s="13" t="s">
        <v>42</v>
      </c>
      <c r="P151" s="13">
        <f t="shared" si="5"/>
        <v>43</v>
      </c>
      <c r="Q151" s="15">
        <f t="shared" si="6"/>
        <v>34.906976744186046</v>
      </c>
      <c r="R151" s="18" t="s">
        <v>2152</v>
      </c>
      <c r="T151" s="18" t="s">
        <v>3849</v>
      </c>
      <c r="V151" s="18" t="s">
        <v>3980</v>
      </c>
      <c r="X151" s="18" t="s">
        <v>3980</v>
      </c>
      <c r="Y151" s="18" t="s">
        <v>3980</v>
      </c>
      <c r="Z151" s="18" t="s">
        <v>3980</v>
      </c>
      <c r="AC151" s="18"/>
      <c r="AD151" s="18"/>
      <c r="AE151" s="18"/>
    </row>
    <row r="152" spans="1:31" x14ac:dyDescent="0.25">
      <c r="A152" s="18" t="s">
        <v>1941</v>
      </c>
      <c r="B152" s="30">
        <v>2003</v>
      </c>
      <c r="C152" s="8">
        <v>45</v>
      </c>
      <c r="D152" s="14">
        <v>0.16400000000000001</v>
      </c>
      <c r="E152" s="14">
        <v>0.128</v>
      </c>
      <c r="F152" s="8">
        <v>2</v>
      </c>
      <c r="G152" s="14">
        <v>7.0999999999999994E-2</v>
      </c>
      <c r="I152" s="26" t="s">
        <v>34</v>
      </c>
      <c r="J152" s="18" t="s">
        <v>54</v>
      </c>
      <c r="L152" s="9">
        <f>B152</f>
        <v>2003</v>
      </c>
      <c r="M152" s="20" t="s">
        <v>3132</v>
      </c>
      <c r="N152" s="28" t="s">
        <v>34</v>
      </c>
      <c r="O152" s="13" t="s">
        <v>28</v>
      </c>
      <c r="P152" s="13">
        <f t="shared" si="5"/>
        <v>15</v>
      </c>
      <c r="Q152" s="15">
        <f t="shared" si="6"/>
        <v>3</v>
      </c>
      <c r="R152" s="18" t="s">
        <v>3795</v>
      </c>
      <c r="T152" s="18" t="s">
        <v>3796</v>
      </c>
      <c r="V152" s="18" t="s">
        <v>3980</v>
      </c>
      <c r="X152" s="18" t="s">
        <v>3980</v>
      </c>
      <c r="Y152" s="18" t="s">
        <v>3980</v>
      </c>
      <c r="Z152" s="18" t="s">
        <v>3980</v>
      </c>
      <c r="AC152" s="18"/>
      <c r="AD152" s="18"/>
      <c r="AE152" s="18"/>
    </row>
    <row r="153" spans="1:31" x14ac:dyDescent="0.25">
      <c r="A153" s="18" t="s">
        <v>4892</v>
      </c>
      <c r="B153" s="30">
        <v>1986</v>
      </c>
      <c r="C153" s="13">
        <v>2715</v>
      </c>
      <c r="D153" s="14">
        <v>0.879</v>
      </c>
      <c r="E153" s="14">
        <v>0.73099999999999998</v>
      </c>
      <c r="F153" s="13">
        <v>27</v>
      </c>
      <c r="G153" s="14">
        <v>0.90700000000000003</v>
      </c>
      <c r="H153" s="18" t="s">
        <v>3669</v>
      </c>
      <c r="I153" s="26" t="s">
        <v>34</v>
      </c>
      <c r="J153" s="18" t="s">
        <v>26</v>
      </c>
      <c r="L153" s="9">
        <v>1986</v>
      </c>
      <c r="N153" s="30" t="s">
        <v>88</v>
      </c>
      <c r="O153" s="13" t="s">
        <v>42</v>
      </c>
      <c r="P153" s="13">
        <f t="shared" si="5"/>
        <v>32</v>
      </c>
      <c r="Q153" s="15">
        <f t="shared" si="6"/>
        <v>84.84375</v>
      </c>
      <c r="R153" s="13" t="s">
        <v>1863</v>
      </c>
      <c r="S153" s="13" t="s">
        <v>859</v>
      </c>
      <c r="T153" s="13" t="s">
        <v>216</v>
      </c>
      <c r="U153" s="13" t="s">
        <v>1864</v>
      </c>
      <c r="V153" s="13" t="s">
        <v>3980</v>
      </c>
      <c r="W153" s="13"/>
      <c r="X153" s="13" t="s">
        <v>3980</v>
      </c>
      <c r="Y153" s="13" t="s">
        <v>3980</v>
      </c>
      <c r="Z153" s="13" t="s">
        <v>3980</v>
      </c>
      <c r="AC153" s="18"/>
      <c r="AD153" s="18"/>
      <c r="AE153" s="18"/>
    </row>
    <row r="154" spans="1:31" x14ac:dyDescent="0.25">
      <c r="A154" t="s">
        <v>1789</v>
      </c>
      <c r="B154" s="30">
        <v>2002</v>
      </c>
      <c r="C154" s="13">
        <v>37</v>
      </c>
      <c r="D154" s="14">
        <v>0.14599999999999999</v>
      </c>
      <c r="E154" s="14">
        <v>0.11700000000000001</v>
      </c>
      <c r="F154" s="13">
        <v>3</v>
      </c>
      <c r="G154" s="14">
        <v>0.13100000000000001</v>
      </c>
      <c r="I154" s="26" t="s">
        <v>34</v>
      </c>
      <c r="J154" s="18" t="s">
        <v>54</v>
      </c>
      <c r="K154" s="4"/>
      <c r="L154" s="9">
        <f>B154</f>
        <v>2002</v>
      </c>
      <c r="M154" s="20" t="s">
        <v>3132</v>
      </c>
      <c r="N154" s="30" t="s">
        <v>34</v>
      </c>
      <c r="O154" s="13" t="s">
        <v>28</v>
      </c>
      <c r="P154" s="13">
        <f t="shared" si="5"/>
        <v>16</v>
      </c>
      <c r="Q154" s="15">
        <f t="shared" si="6"/>
        <v>2.3125</v>
      </c>
      <c r="R154" s="13" t="s">
        <v>89</v>
      </c>
      <c r="S154" s="13"/>
      <c r="T154" s="13" t="s">
        <v>1790</v>
      </c>
      <c r="U154" s="13"/>
      <c r="V154" s="13" t="s">
        <v>3980</v>
      </c>
      <c r="W154" s="13"/>
      <c r="X154" s="13" t="s">
        <v>3980</v>
      </c>
      <c r="Y154" s="13" t="s">
        <v>3980</v>
      </c>
      <c r="Z154" s="13" t="s">
        <v>3980</v>
      </c>
      <c r="AC154" s="18"/>
      <c r="AD154" s="18"/>
      <c r="AE154" s="18"/>
    </row>
    <row r="155" spans="1:31" x14ac:dyDescent="0.25">
      <c r="A155" t="s">
        <v>614</v>
      </c>
      <c r="B155" s="30">
        <v>1993</v>
      </c>
      <c r="C155" s="13">
        <v>5940</v>
      </c>
      <c r="D155" s="14">
        <v>0.95899999999999996</v>
      </c>
      <c r="E155" s="14">
        <v>0.90600000000000003</v>
      </c>
      <c r="F155" s="13">
        <v>39</v>
      </c>
      <c r="G155" s="14">
        <v>0.97499999999999998</v>
      </c>
      <c r="H155" s="18" t="s">
        <v>3293</v>
      </c>
      <c r="I155" s="26" t="s">
        <v>34</v>
      </c>
      <c r="J155" s="18" t="s">
        <v>26</v>
      </c>
      <c r="K155" s="4"/>
      <c r="L155" s="9">
        <v>1993</v>
      </c>
      <c r="N155" s="30" t="s">
        <v>152</v>
      </c>
      <c r="O155" s="13" t="s">
        <v>42</v>
      </c>
      <c r="P155" s="13">
        <f t="shared" si="5"/>
        <v>25</v>
      </c>
      <c r="Q155" s="15">
        <f t="shared" si="6"/>
        <v>237.6</v>
      </c>
      <c r="R155" s="13" t="s">
        <v>615</v>
      </c>
      <c r="S155" s="13"/>
      <c r="T155" s="13" t="s">
        <v>616</v>
      </c>
      <c r="U155" s="13" t="s">
        <v>617</v>
      </c>
      <c r="V155" s="13" t="s">
        <v>3980</v>
      </c>
      <c r="W155" s="13"/>
      <c r="X155" s="13" t="s">
        <v>3980</v>
      </c>
      <c r="Y155" s="13" t="s">
        <v>3980</v>
      </c>
      <c r="Z155" s="13" t="s">
        <v>3980</v>
      </c>
      <c r="AC155" s="18"/>
      <c r="AD155" s="18"/>
      <c r="AE155" s="18"/>
    </row>
    <row r="156" spans="1:31" x14ac:dyDescent="0.25">
      <c r="A156" t="s">
        <v>4973</v>
      </c>
      <c r="B156" s="30">
        <v>1975</v>
      </c>
      <c r="C156" s="13">
        <v>3808</v>
      </c>
      <c r="D156" s="14">
        <v>0.92300000000000004</v>
      </c>
      <c r="E156" s="14">
        <v>0.82199999999999995</v>
      </c>
      <c r="F156" s="13">
        <v>26</v>
      </c>
      <c r="G156" s="14">
        <v>0.90200000000000002</v>
      </c>
      <c r="I156" s="26" t="s">
        <v>34</v>
      </c>
      <c r="J156" s="18" t="s">
        <v>26</v>
      </c>
      <c r="K156" s="4"/>
      <c r="L156" s="9">
        <v>1975</v>
      </c>
      <c r="N156" s="30" t="s">
        <v>34</v>
      </c>
      <c r="O156" s="13" t="s">
        <v>28</v>
      </c>
      <c r="P156" s="13">
        <f t="shared" si="5"/>
        <v>43</v>
      </c>
      <c r="Q156" s="15">
        <f t="shared" si="6"/>
        <v>88.558139534883722</v>
      </c>
      <c r="R156" s="13" t="s">
        <v>2222</v>
      </c>
      <c r="S156" s="13" t="s">
        <v>206</v>
      </c>
      <c r="T156" s="13" t="s">
        <v>2223</v>
      </c>
      <c r="U156" s="13" t="s">
        <v>2224</v>
      </c>
      <c r="V156" s="13" t="s">
        <v>3980</v>
      </c>
      <c r="W156" s="13"/>
      <c r="X156" s="13" t="s">
        <v>4369</v>
      </c>
      <c r="Y156" s="13" t="s">
        <v>3980</v>
      </c>
      <c r="Z156" s="13" t="s">
        <v>3980</v>
      </c>
      <c r="AC156" s="18"/>
      <c r="AD156" s="18"/>
      <c r="AE156" s="18"/>
    </row>
    <row r="157" spans="1:31" x14ac:dyDescent="0.25">
      <c r="A157" s="18" t="s">
        <v>2902</v>
      </c>
      <c r="B157" s="30">
        <v>2008</v>
      </c>
      <c r="C157" s="13">
        <v>10</v>
      </c>
      <c r="D157" s="14">
        <v>6.9000000000000006E-2</v>
      </c>
      <c r="E157" s="14">
        <v>0.13600000000000001</v>
      </c>
      <c r="F157" s="13">
        <v>1</v>
      </c>
      <c r="G157" s="14">
        <v>0</v>
      </c>
      <c r="I157" s="26" t="s">
        <v>34</v>
      </c>
      <c r="J157" s="18" t="s">
        <v>105</v>
      </c>
      <c r="L157" s="9">
        <f>B157</f>
        <v>2008</v>
      </c>
      <c r="M157" s="20" t="s">
        <v>3132</v>
      </c>
      <c r="N157" s="30" t="s">
        <v>34</v>
      </c>
      <c r="O157" s="13" t="s">
        <v>28</v>
      </c>
      <c r="P157" s="13">
        <f t="shared" si="5"/>
        <v>10</v>
      </c>
      <c r="Q157" s="15">
        <f t="shared" si="6"/>
        <v>1</v>
      </c>
      <c r="R157" s="13" t="s">
        <v>2903</v>
      </c>
      <c r="S157" s="13"/>
      <c r="T157" s="13" t="s">
        <v>2904</v>
      </c>
      <c r="U157" s="13"/>
      <c r="V157" s="13" t="s">
        <v>3980</v>
      </c>
      <c r="W157" s="13"/>
      <c r="X157" s="13" t="s">
        <v>3980</v>
      </c>
      <c r="Y157" s="13" t="s">
        <v>3980</v>
      </c>
      <c r="Z157" s="13" t="s">
        <v>3980</v>
      </c>
      <c r="AC157" s="18"/>
      <c r="AD157" s="18"/>
      <c r="AE157" s="18"/>
    </row>
    <row r="158" spans="1:31" x14ac:dyDescent="0.25">
      <c r="A158" s="18" t="s">
        <v>5123</v>
      </c>
      <c r="B158" s="30">
        <v>1998</v>
      </c>
      <c r="C158" s="13">
        <v>49</v>
      </c>
      <c r="D158" s="14">
        <v>0.17799999999999999</v>
      </c>
      <c r="E158" s="14">
        <v>9.2999999999999999E-2</v>
      </c>
      <c r="F158" s="13">
        <v>2</v>
      </c>
      <c r="G158" s="14">
        <v>7.0999999999999994E-2</v>
      </c>
      <c r="I158" s="26" t="s">
        <v>34</v>
      </c>
      <c r="J158" s="18" t="s">
        <v>26</v>
      </c>
      <c r="L158" s="9">
        <f>B158</f>
        <v>1998</v>
      </c>
      <c r="M158" s="20" t="s">
        <v>3132</v>
      </c>
      <c r="N158" s="30" t="s">
        <v>34</v>
      </c>
      <c r="O158" s="13" t="s">
        <v>3161</v>
      </c>
      <c r="P158" s="13">
        <f t="shared" si="5"/>
        <v>20</v>
      </c>
      <c r="Q158" s="15">
        <f t="shared" si="6"/>
        <v>2.4500000000000002</v>
      </c>
      <c r="R158" s="13" t="s">
        <v>2975</v>
      </c>
      <c r="S158" s="13" t="s">
        <v>669</v>
      </c>
      <c r="T158" s="13" t="s">
        <v>2976</v>
      </c>
      <c r="U158" s="13"/>
      <c r="V158" s="13" t="s">
        <v>3980</v>
      </c>
      <c r="W158" s="13"/>
      <c r="X158" s="13" t="s">
        <v>3980</v>
      </c>
      <c r="Y158" s="13" t="s">
        <v>3980</v>
      </c>
      <c r="Z158" s="13" t="s">
        <v>3980</v>
      </c>
      <c r="AC158" s="18"/>
      <c r="AD158" s="18"/>
      <c r="AE158" s="18"/>
    </row>
    <row r="159" spans="1:31" x14ac:dyDescent="0.25">
      <c r="A159" s="18" t="s">
        <v>2533</v>
      </c>
      <c r="B159" s="30">
        <v>2010</v>
      </c>
      <c r="C159" s="13">
        <v>80</v>
      </c>
      <c r="D159" s="14">
        <v>0.23</v>
      </c>
      <c r="E159" s="14">
        <v>0.19700000000000001</v>
      </c>
      <c r="F159" s="13">
        <v>4</v>
      </c>
      <c r="G159" s="14">
        <v>0.19600000000000001</v>
      </c>
      <c r="I159" s="26" t="s">
        <v>34</v>
      </c>
      <c r="J159" s="18" t="s">
        <v>54</v>
      </c>
      <c r="K159" s="4"/>
      <c r="L159" s="9">
        <v>2010</v>
      </c>
      <c r="N159" s="30" t="s">
        <v>135</v>
      </c>
      <c r="O159" s="13" t="s">
        <v>28</v>
      </c>
      <c r="P159" s="13">
        <f t="shared" si="5"/>
        <v>8</v>
      </c>
      <c r="Q159" s="15">
        <f t="shared" si="6"/>
        <v>10</v>
      </c>
      <c r="R159" s="13" t="s">
        <v>84</v>
      </c>
      <c r="S159" s="13"/>
      <c r="T159" s="13" t="s">
        <v>2534</v>
      </c>
      <c r="U159" s="13" t="s">
        <v>2535</v>
      </c>
      <c r="V159" s="13" t="s">
        <v>4029</v>
      </c>
      <c r="W159" s="13"/>
      <c r="X159" s="13" t="s">
        <v>4370</v>
      </c>
      <c r="Y159" s="13" t="s">
        <v>3980</v>
      </c>
      <c r="Z159" s="13" t="s">
        <v>3980</v>
      </c>
      <c r="AC159" s="18"/>
      <c r="AD159" s="18"/>
      <c r="AE159" s="18"/>
    </row>
    <row r="160" spans="1:31" x14ac:dyDescent="0.25">
      <c r="A160" t="s">
        <v>4948</v>
      </c>
      <c r="B160" s="30">
        <v>1979</v>
      </c>
      <c r="C160" s="13">
        <v>980</v>
      </c>
      <c r="D160" s="14">
        <v>0.69499999999999995</v>
      </c>
      <c r="E160" s="14">
        <v>0.441</v>
      </c>
      <c r="F160" s="13">
        <v>12</v>
      </c>
      <c r="G160" s="14">
        <v>0.60899999999999999</v>
      </c>
      <c r="I160" s="26" t="s">
        <v>34</v>
      </c>
      <c r="J160" s="18" t="s">
        <v>26</v>
      </c>
      <c r="L160" s="9">
        <v>1979</v>
      </c>
      <c r="N160" s="30" t="s">
        <v>34</v>
      </c>
      <c r="O160" s="13" t="s">
        <v>28</v>
      </c>
      <c r="P160" s="13">
        <f t="shared" si="5"/>
        <v>39</v>
      </c>
      <c r="Q160" s="15">
        <f t="shared" si="6"/>
        <v>25.128205128205128</v>
      </c>
      <c r="R160" s="13" t="s">
        <v>2134</v>
      </c>
      <c r="S160" s="13" t="s">
        <v>30</v>
      </c>
      <c r="T160" s="13" t="s">
        <v>2135</v>
      </c>
      <c r="U160" s="13" t="s">
        <v>2136</v>
      </c>
      <c r="V160" s="13" t="s">
        <v>3980</v>
      </c>
      <c r="W160" s="13"/>
      <c r="X160" s="13" t="s">
        <v>3980</v>
      </c>
      <c r="Y160" s="13" t="s">
        <v>3980</v>
      </c>
      <c r="Z160" s="13" t="s">
        <v>3980</v>
      </c>
      <c r="AC160" s="18"/>
      <c r="AD160" s="18"/>
      <c r="AE160" s="18"/>
    </row>
    <row r="161" spans="1:31" x14ac:dyDescent="0.25">
      <c r="A161" t="s">
        <v>1489</v>
      </c>
      <c r="B161" s="30">
        <v>1977</v>
      </c>
      <c r="C161" s="13">
        <v>1483</v>
      </c>
      <c r="D161" s="14">
        <v>0.78200000000000003</v>
      </c>
      <c r="E161" s="14">
        <v>0.56399999999999995</v>
      </c>
      <c r="F161" s="13">
        <v>15</v>
      </c>
      <c r="G161" s="14">
        <v>0.71</v>
      </c>
      <c r="I161" s="26" t="s">
        <v>34</v>
      </c>
      <c r="J161" s="18" t="s">
        <v>26</v>
      </c>
      <c r="L161" s="9">
        <v>1977</v>
      </c>
      <c r="N161" s="30" t="s">
        <v>34</v>
      </c>
      <c r="O161" s="13" t="s">
        <v>28</v>
      </c>
      <c r="P161" s="13">
        <f t="shared" si="5"/>
        <v>41</v>
      </c>
      <c r="Q161" s="15">
        <f t="shared" si="6"/>
        <v>36.170731707317074</v>
      </c>
      <c r="R161" s="13" t="s">
        <v>68</v>
      </c>
      <c r="S161" s="13"/>
      <c r="T161" s="13" t="s">
        <v>1003</v>
      </c>
      <c r="U161" s="13" t="s">
        <v>1490</v>
      </c>
      <c r="V161" s="13" t="s">
        <v>3980</v>
      </c>
      <c r="W161" s="13"/>
      <c r="X161" s="13" t="s">
        <v>4371</v>
      </c>
      <c r="Y161" s="13" t="s">
        <v>3980</v>
      </c>
      <c r="Z161" s="13" t="s">
        <v>3980</v>
      </c>
      <c r="AC161" s="18"/>
      <c r="AD161" s="18"/>
      <c r="AE161" s="18"/>
    </row>
    <row r="162" spans="1:31" x14ac:dyDescent="0.25">
      <c r="A162" t="s">
        <v>2699</v>
      </c>
      <c r="B162" s="30">
        <v>1987</v>
      </c>
      <c r="C162" s="13">
        <v>552</v>
      </c>
      <c r="D162" s="14">
        <v>0.58099999999999996</v>
      </c>
      <c r="E162" s="14">
        <v>0.318</v>
      </c>
      <c r="F162" s="13">
        <v>11</v>
      </c>
      <c r="G162" s="14">
        <v>0.56000000000000005</v>
      </c>
      <c r="I162" s="26" t="s">
        <v>34</v>
      </c>
      <c r="J162" s="18" t="s">
        <v>26</v>
      </c>
      <c r="K162" s="4"/>
      <c r="L162" s="9">
        <v>1987</v>
      </c>
      <c r="N162" s="30" t="s">
        <v>34</v>
      </c>
      <c r="O162" s="13" t="s">
        <v>28</v>
      </c>
      <c r="P162" s="13">
        <f t="shared" si="5"/>
        <v>31</v>
      </c>
      <c r="Q162" s="15">
        <f t="shared" si="6"/>
        <v>17.806451612903224</v>
      </c>
      <c r="R162" s="13" t="s">
        <v>2700</v>
      </c>
      <c r="S162" s="13"/>
      <c r="T162" s="13" t="s">
        <v>2701</v>
      </c>
      <c r="U162" s="13" t="s">
        <v>2702</v>
      </c>
      <c r="V162" s="13" t="s">
        <v>3980</v>
      </c>
      <c r="W162" s="13"/>
      <c r="X162" s="13" t="s">
        <v>3980</v>
      </c>
      <c r="Y162" s="13" t="s">
        <v>3980</v>
      </c>
      <c r="Z162" s="13" t="s">
        <v>3980</v>
      </c>
      <c r="AC162" s="18"/>
      <c r="AD162" s="18"/>
      <c r="AE162" s="18"/>
    </row>
    <row r="163" spans="1:31" x14ac:dyDescent="0.25">
      <c r="A163" s="18" t="s">
        <v>5066</v>
      </c>
      <c r="B163" s="30">
        <v>1980</v>
      </c>
      <c r="C163" s="13">
        <v>2223</v>
      </c>
      <c r="D163" s="14">
        <v>0.85299999999999998</v>
      </c>
      <c r="E163" s="14">
        <v>0.68100000000000005</v>
      </c>
      <c r="F163" s="13">
        <v>22</v>
      </c>
      <c r="G163" s="14">
        <v>0.85699999999999998</v>
      </c>
      <c r="I163" s="26" t="s">
        <v>34</v>
      </c>
      <c r="J163" s="18" t="s">
        <v>26</v>
      </c>
      <c r="L163" s="9">
        <v>1980</v>
      </c>
      <c r="M163" s="11"/>
      <c r="N163" s="30" t="s">
        <v>2748</v>
      </c>
      <c r="O163" s="13" t="s">
        <v>28</v>
      </c>
      <c r="P163" s="13">
        <f t="shared" si="5"/>
        <v>38</v>
      </c>
      <c r="Q163" s="15">
        <f t="shared" si="6"/>
        <v>58.5</v>
      </c>
      <c r="R163" s="13" t="s">
        <v>130</v>
      </c>
      <c r="S163" s="13" t="s">
        <v>90</v>
      </c>
      <c r="T163" s="13" t="s">
        <v>2749</v>
      </c>
      <c r="U163" s="13" t="s">
        <v>2750</v>
      </c>
      <c r="V163" s="13" t="s">
        <v>4030</v>
      </c>
      <c r="W163" s="13"/>
      <c r="X163" s="13" t="s">
        <v>4372</v>
      </c>
      <c r="Y163" s="13" t="s">
        <v>3980</v>
      </c>
      <c r="Z163" s="13" t="s">
        <v>3980</v>
      </c>
      <c r="AC163" s="18"/>
      <c r="AD163" s="18"/>
      <c r="AE163" s="18"/>
    </row>
    <row r="164" spans="1:31" x14ac:dyDescent="0.25">
      <c r="A164" s="18" t="s">
        <v>5048</v>
      </c>
      <c r="B164" s="30">
        <v>1986</v>
      </c>
      <c r="C164" s="13">
        <v>2890</v>
      </c>
      <c r="D164" s="14">
        <v>0.88500000000000001</v>
      </c>
      <c r="E164" s="14">
        <v>0.74399999999999999</v>
      </c>
      <c r="F164" s="13">
        <v>15</v>
      </c>
      <c r="G164" s="14">
        <v>0.71</v>
      </c>
      <c r="I164" s="26" t="s">
        <v>34</v>
      </c>
      <c r="J164" s="18" t="s">
        <v>26</v>
      </c>
      <c r="L164" s="9">
        <v>1986</v>
      </c>
      <c r="N164" s="30" t="s">
        <v>34</v>
      </c>
      <c r="O164" s="13" t="s">
        <v>28</v>
      </c>
      <c r="P164" s="13">
        <f t="shared" si="5"/>
        <v>32</v>
      </c>
      <c r="Q164" s="15">
        <f t="shared" si="6"/>
        <v>90.3125</v>
      </c>
      <c r="R164" s="13" t="s">
        <v>2662</v>
      </c>
      <c r="S164" s="13" t="s">
        <v>164</v>
      </c>
      <c r="T164" s="13" t="s">
        <v>2665</v>
      </c>
      <c r="U164" s="13" t="s">
        <v>2666</v>
      </c>
      <c r="V164" s="13" t="s">
        <v>4031</v>
      </c>
      <c r="W164" s="13"/>
      <c r="X164" s="13" t="s">
        <v>4373</v>
      </c>
      <c r="Y164" s="13" t="s">
        <v>3980</v>
      </c>
      <c r="Z164" s="13" t="s">
        <v>3980</v>
      </c>
      <c r="AC164" s="18"/>
      <c r="AD164" s="18"/>
      <c r="AE164" s="18"/>
    </row>
    <row r="165" spans="1:31" x14ac:dyDescent="0.25">
      <c r="A165" s="18" t="s">
        <v>839</v>
      </c>
      <c r="B165" s="30">
        <v>2010</v>
      </c>
      <c r="C165" s="13">
        <v>1080</v>
      </c>
      <c r="D165" s="14">
        <v>0.71599999999999997</v>
      </c>
      <c r="E165" s="14">
        <v>0.97099999999999997</v>
      </c>
      <c r="F165" s="13">
        <v>11</v>
      </c>
      <c r="G165" s="14">
        <v>0.56000000000000005</v>
      </c>
      <c r="H165" s="18" t="s">
        <v>3351</v>
      </c>
      <c r="I165" s="26" t="s">
        <v>34</v>
      </c>
      <c r="J165" s="18" t="s">
        <v>105</v>
      </c>
      <c r="L165" s="9">
        <v>2010</v>
      </c>
      <c r="N165" s="30" t="s">
        <v>123</v>
      </c>
      <c r="O165" s="13" t="s">
        <v>28</v>
      </c>
      <c r="P165" s="13">
        <f t="shared" si="5"/>
        <v>8</v>
      </c>
      <c r="Q165" s="15">
        <f t="shared" si="6"/>
        <v>135</v>
      </c>
      <c r="R165" s="13" t="s">
        <v>840</v>
      </c>
      <c r="S165" s="13"/>
      <c r="T165" s="13" t="s">
        <v>841</v>
      </c>
      <c r="U165" s="13"/>
      <c r="V165" s="13" t="s">
        <v>3980</v>
      </c>
      <c r="W165" s="13"/>
      <c r="X165" s="13" t="s">
        <v>3980</v>
      </c>
      <c r="Y165" s="13" t="s">
        <v>3980</v>
      </c>
      <c r="Z165" s="13" t="s">
        <v>3980</v>
      </c>
      <c r="AC165" s="18"/>
      <c r="AD165" s="18"/>
      <c r="AE165" s="18"/>
    </row>
    <row r="166" spans="1:31" x14ac:dyDescent="0.25">
      <c r="A166" t="s">
        <v>4958</v>
      </c>
      <c r="B166" s="30">
        <v>1995</v>
      </c>
      <c r="C166" s="13">
        <v>67</v>
      </c>
      <c r="D166" s="14">
        <v>0.20799999999999999</v>
      </c>
      <c r="E166" s="14">
        <v>0.113</v>
      </c>
      <c r="F166" s="13">
        <v>5</v>
      </c>
      <c r="G166" s="14">
        <v>0.27400000000000002</v>
      </c>
      <c r="I166" s="26" t="s">
        <v>1673</v>
      </c>
      <c r="J166" s="18" t="s">
        <v>26</v>
      </c>
      <c r="K166" s="4"/>
      <c r="L166" s="9">
        <v>1995</v>
      </c>
      <c r="N166" s="30" t="s">
        <v>27</v>
      </c>
      <c r="O166" s="13" t="s">
        <v>28</v>
      </c>
      <c r="P166" s="13">
        <f t="shared" si="5"/>
        <v>23</v>
      </c>
      <c r="Q166" s="15">
        <f t="shared" si="6"/>
        <v>2.9130434782608696</v>
      </c>
      <c r="R166" s="13" t="s">
        <v>808</v>
      </c>
      <c r="S166" s="13" t="s">
        <v>859</v>
      </c>
      <c r="T166" s="13" t="s">
        <v>2169</v>
      </c>
      <c r="U166" s="13" t="s">
        <v>2170</v>
      </c>
      <c r="V166" s="13" t="s">
        <v>3980</v>
      </c>
      <c r="W166" s="13"/>
      <c r="X166" s="13" t="s">
        <v>4374</v>
      </c>
      <c r="Y166" s="13" t="s">
        <v>3980</v>
      </c>
      <c r="Z166" s="13" t="s">
        <v>3980</v>
      </c>
      <c r="AC166" s="18"/>
      <c r="AD166" s="18"/>
      <c r="AE166" s="18"/>
    </row>
    <row r="167" spans="1:31" x14ac:dyDescent="0.25">
      <c r="A167" s="28" t="s">
        <v>5109</v>
      </c>
      <c r="B167" s="30">
        <v>2013</v>
      </c>
      <c r="C167" s="13">
        <v>757</v>
      </c>
      <c r="D167" s="14">
        <v>0.64600000000000002</v>
      </c>
      <c r="E167" s="14">
        <v>0.94</v>
      </c>
      <c r="F167" s="13">
        <v>15</v>
      </c>
      <c r="G167" s="14">
        <v>0.71</v>
      </c>
      <c r="I167" s="26" t="s">
        <v>1673</v>
      </c>
      <c r="J167" s="4" t="s">
        <v>105</v>
      </c>
      <c r="L167" s="9">
        <v>2013</v>
      </c>
      <c r="N167" s="30" t="s">
        <v>186</v>
      </c>
      <c r="O167" s="13" t="s">
        <v>42</v>
      </c>
      <c r="P167" s="13">
        <f t="shared" si="5"/>
        <v>5</v>
      </c>
      <c r="Q167" s="15">
        <f t="shared" si="6"/>
        <v>151.4</v>
      </c>
      <c r="R167" s="13" t="s">
        <v>2915</v>
      </c>
      <c r="S167" s="13"/>
      <c r="T167" s="13" t="s">
        <v>2916</v>
      </c>
      <c r="U167" s="13"/>
      <c r="V167" s="13" t="s">
        <v>4032</v>
      </c>
      <c r="W167" s="13"/>
      <c r="X167" s="13" t="s">
        <v>4375</v>
      </c>
      <c r="Y167" s="13" t="s">
        <v>3980</v>
      </c>
      <c r="Z167" s="13" t="s">
        <v>3980</v>
      </c>
      <c r="AC167" s="18"/>
      <c r="AD167" s="18"/>
      <c r="AE167" s="18"/>
    </row>
    <row r="168" spans="1:31" x14ac:dyDescent="0.25">
      <c r="A168" t="s">
        <v>5060</v>
      </c>
      <c r="B168" s="30">
        <v>2005</v>
      </c>
      <c r="C168" s="13">
        <v>4</v>
      </c>
      <c r="D168" s="14">
        <v>3.9E-2</v>
      </c>
      <c r="E168" s="14">
        <v>3.4000000000000002E-2</v>
      </c>
      <c r="F168" s="13">
        <v>1</v>
      </c>
      <c r="G168" s="14">
        <v>0</v>
      </c>
      <c r="I168" s="26" t="s">
        <v>1673</v>
      </c>
      <c r="J168" s="18" t="s">
        <v>54</v>
      </c>
      <c r="K168" s="4"/>
      <c r="L168" s="9">
        <v>2005</v>
      </c>
      <c r="N168" s="30" t="s">
        <v>226</v>
      </c>
      <c r="O168" s="13" t="s">
        <v>28</v>
      </c>
      <c r="P168" s="13">
        <f t="shared" si="5"/>
        <v>13</v>
      </c>
      <c r="Q168" s="15">
        <f t="shared" si="6"/>
        <v>0.30769230769230771</v>
      </c>
      <c r="R168" s="13" t="s">
        <v>130</v>
      </c>
      <c r="S168" s="13" t="s">
        <v>62</v>
      </c>
      <c r="T168" s="13" t="s">
        <v>2755</v>
      </c>
      <c r="U168" s="13" t="s">
        <v>2756</v>
      </c>
      <c r="V168" s="13" t="s">
        <v>3980</v>
      </c>
      <c r="W168" s="13"/>
      <c r="X168" s="13" t="s">
        <v>4376</v>
      </c>
      <c r="Y168" s="13" t="s">
        <v>3980</v>
      </c>
      <c r="Z168" s="13" t="s">
        <v>3980</v>
      </c>
      <c r="AC168" s="18"/>
      <c r="AD168" s="18"/>
      <c r="AE168" s="18"/>
    </row>
    <row r="169" spans="1:31" x14ac:dyDescent="0.25">
      <c r="A169" s="28" t="s">
        <v>4858</v>
      </c>
      <c r="B169" s="30">
        <v>1989</v>
      </c>
      <c r="C169" s="13">
        <v>61</v>
      </c>
      <c r="D169" s="14">
        <v>0.19800000000000001</v>
      </c>
      <c r="E169" s="14">
        <v>0.107</v>
      </c>
      <c r="F169" s="13">
        <v>4</v>
      </c>
      <c r="G169" s="14">
        <v>0.19600000000000001</v>
      </c>
      <c r="I169" s="26" t="s">
        <v>1673</v>
      </c>
      <c r="J169" s="18" t="s">
        <v>26</v>
      </c>
      <c r="L169" s="9">
        <v>1989</v>
      </c>
      <c r="N169" s="30" t="s">
        <v>106</v>
      </c>
      <c r="O169" s="13" t="s">
        <v>28</v>
      </c>
      <c r="P169" s="13">
        <f t="shared" si="5"/>
        <v>29</v>
      </c>
      <c r="Q169" s="15">
        <f t="shared" si="6"/>
        <v>2.103448275862069</v>
      </c>
      <c r="R169" s="13" t="s">
        <v>1674</v>
      </c>
      <c r="S169" s="13" t="s">
        <v>730</v>
      </c>
      <c r="T169" s="13" t="s">
        <v>1675</v>
      </c>
      <c r="U169" s="13" t="s">
        <v>1676</v>
      </c>
      <c r="V169" s="13" t="s">
        <v>4033</v>
      </c>
      <c r="W169" s="13"/>
      <c r="X169" s="13" t="s">
        <v>4377</v>
      </c>
      <c r="Y169" s="13" t="s">
        <v>3980</v>
      </c>
      <c r="Z169" s="13" t="s">
        <v>3980</v>
      </c>
      <c r="AC169" s="18"/>
      <c r="AD169" s="18"/>
      <c r="AE169" s="18"/>
    </row>
    <row r="170" spans="1:31" x14ac:dyDescent="0.25">
      <c r="A170" t="s">
        <v>368</v>
      </c>
      <c r="B170" s="30">
        <v>2008</v>
      </c>
      <c r="C170" s="13">
        <v>103</v>
      </c>
      <c r="D170" s="14">
        <v>0.26700000000000002</v>
      </c>
      <c r="E170" s="14">
        <v>0.23400000000000001</v>
      </c>
      <c r="F170" s="13">
        <v>6</v>
      </c>
      <c r="G170" s="14">
        <v>0.32200000000000001</v>
      </c>
      <c r="H170" s="18" t="s">
        <v>3232</v>
      </c>
      <c r="I170" s="26" t="s">
        <v>369</v>
      </c>
      <c r="J170" s="18" t="s">
        <v>54</v>
      </c>
      <c r="L170" s="9">
        <v>2008</v>
      </c>
      <c r="M170" s="11"/>
      <c r="N170" s="30" t="s">
        <v>77</v>
      </c>
      <c r="O170" s="13" t="s">
        <v>28</v>
      </c>
      <c r="P170" s="13">
        <f t="shared" si="5"/>
        <v>10</v>
      </c>
      <c r="Q170" s="15">
        <f t="shared" si="6"/>
        <v>10.3</v>
      </c>
      <c r="R170" s="13" t="s">
        <v>370</v>
      </c>
      <c r="S170" s="13"/>
      <c r="T170" s="13" t="s">
        <v>371</v>
      </c>
      <c r="U170" s="13" t="s">
        <v>372</v>
      </c>
      <c r="V170" s="13" t="s">
        <v>3980</v>
      </c>
      <c r="W170" s="13"/>
      <c r="X170" s="13" t="s">
        <v>4378</v>
      </c>
      <c r="Y170" s="13" t="s">
        <v>3980</v>
      </c>
      <c r="Z170" s="13" t="s">
        <v>3980</v>
      </c>
      <c r="AC170" s="18"/>
      <c r="AD170" s="18"/>
      <c r="AE170" s="18"/>
    </row>
    <row r="171" spans="1:31" x14ac:dyDescent="0.25">
      <c r="A171" s="18" t="s">
        <v>5120</v>
      </c>
      <c r="B171" s="30">
        <v>1992</v>
      </c>
      <c r="C171" s="13">
        <v>116</v>
      </c>
      <c r="D171" s="14">
        <v>0.28799999999999998</v>
      </c>
      <c r="E171" s="14">
        <v>0.26</v>
      </c>
      <c r="F171" s="13">
        <v>7</v>
      </c>
      <c r="G171" s="14">
        <v>0.39300000000000002</v>
      </c>
      <c r="I171" s="26" t="s">
        <v>369</v>
      </c>
      <c r="J171" s="18" t="s">
        <v>54</v>
      </c>
      <c r="L171" s="9">
        <v>1992</v>
      </c>
      <c r="N171" s="30" t="s">
        <v>369</v>
      </c>
      <c r="O171" s="13" t="s">
        <v>28</v>
      </c>
      <c r="P171" s="13">
        <f t="shared" si="5"/>
        <v>26</v>
      </c>
      <c r="Q171" s="15">
        <f t="shared" si="6"/>
        <v>4.4615384615384617</v>
      </c>
      <c r="R171" s="13" t="s">
        <v>417</v>
      </c>
      <c r="S171" s="13" t="s">
        <v>730</v>
      </c>
      <c r="T171" s="13" t="s">
        <v>2965</v>
      </c>
      <c r="U171" s="13" t="s">
        <v>2966</v>
      </c>
      <c r="V171" s="13" t="s">
        <v>3980</v>
      </c>
      <c r="W171" s="13"/>
      <c r="X171" s="13" t="s">
        <v>4379</v>
      </c>
      <c r="Y171" s="13" t="s">
        <v>3980</v>
      </c>
      <c r="Z171" s="13" t="s">
        <v>3980</v>
      </c>
      <c r="AC171" s="18"/>
      <c r="AD171" s="18"/>
      <c r="AE171" s="18"/>
    </row>
    <row r="172" spans="1:31" x14ac:dyDescent="0.25">
      <c r="A172" s="18" t="s">
        <v>5111</v>
      </c>
      <c r="B172" s="30">
        <v>1989</v>
      </c>
      <c r="C172" s="13">
        <v>283</v>
      </c>
      <c r="D172" s="14">
        <v>0.437</v>
      </c>
      <c r="E172" s="14">
        <v>0.23200000000000001</v>
      </c>
      <c r="F172" s="13">
        <v>8</v>
      </c>
      <c r="G172" s="14">
        <v>0.434</v>
      </c>
      <c r="I172" s="26" t="s">
        <v>369</v>
      </c>
      <c r="J172" s="18" t="s">
        <v>26</v>
      </c>
      <c r="L172" s="9">
        <v>1989</v>
      </c>
      <c r="N172" s="30" t="s">
        <v>830</v>
      </c>
      <c r="O172" s="13" t="s">
        <v>42</v>
      </c>
      <c r="P172" s="13">
        <f t="shared" si="5"/>
        <v>29</v>
      </c>
      <c r="Q172" s="15">
        <f t="shared" si="6"/>
        <v>9.7586206896551726</v>
      </c>
      <c r="R172" s="13" t="s">
        <v>1043</v>
      </c>
      <c r="S172" s="13" t="s">
        <v>669</v>
      </c>
      <c r="T172" s="13" t="s">
        <v>2924</v>
      </c>
      <c r="U172" s="13" t="s">
        <v>2925</v>
      </c>
      <c r="V172" s="13" t="s">
        <v>4034</v>
      </c>
      <c r="W172" s="13"/>
      <c r="X172" s="13" t="s">
        <v>4380</v>
      </c>
      <c r="Y172" s="13" t="s">
        <v>3980</v>
      </c>
      <c r="Z172" s="13" t="s">
        <v>3980</v>
      </c>
      <c r="AC172" s="18"/>
      <c r="AD172" s="18"/>
      <c r="AE172" s="18"/>
    </row>
    <row r="173" spans="1:31" x14ac:dyDescent="0.25">
      <c r="A173" s="28" t="s">
        <v>4852</v>
      </c>
      <c r="B173" s="30">
        <v>2004</v>
      </c>
      <c r="C173" s="13">
        <v>67</v>
      </c>
      <c r="D173" s="14">
        <v>0.20799999999999999</v>
      </c>
      <c r="E173" s="14">
        <v>0.39600000000000002</v>
      </c>
      <c r="F173" s="13">
        <v>4</v>
      </c>
      <c r="G173" s="14">
        <v>0.19600000000000001</v>
      </c>
      <c r="I173" s="26" t="s">
        <v>369</v>
      </c>
      <c r="J173" s="4" t="s">
        <v>105</v>
      </c>
      <c r="L173" s="9">
        <v>2004</v>
      </c>
      <c r="N173" s="30" t="s">
        <v>1634</v>
      </c>
      <c r="O173" s="13" t="s">
        <v>28</v>
      </c>
      <c r="P173" s="13">
        <f t="shared" si="5"/>
        <v>14</v>
      </c>
      <c r="Q173" s="15">
        <f t="shared" si="6"/>
        <v>4.7857142857142856</v>
      </c>
      <c r="R173" s="13" t="s">
        <v>1635</v>
      </c>
      <c r="S173" s="13" t="s">
        <v>1636</v>
      </c>
      <c r="T173" s="13" t="s">
        <v>1575</v>
      </c>
      <c r="U173" s="13" t="s">
        <v>1637</v>
      </c>
      <c r="V173" s="13" t="s">
        <v>3980</v>
      </c>
      <c r="W173" s="13"/>
      <c r="X173" s="13" t="s">
        <v>4381</v>
      </c>
      <c r="Y173" s="13" t="s">
        <v>3980</v>
      </c>
      <c r="Z173" s="13" t="s">
        <v>3980</v>
      </c>
      <c r="AC173" s="18"/>
      <c r="AD173" s="18"/>
      <c r="AE173" s="18"/>
    </row>
    <row r="174" spans="1:31" x14ac:dyDescent="0.25">
      <c r="A174" s="18" t="s">
        <v>2945</v>
      </c>
      <c r="B174" s="30">
        <v>2015</v>
      </c>
      <c r="C174" s="13">
        <v>1</v>
      </c>
      <c r="D174" s="14">
        <v>0</v>
      </c>
      <c r="E174" s="14">
        <v>0</v>
      </c>
      <c r="F174" s="13">
        <v>1</v>
      </c>
      <c r="G174" s="14">
        <v>0</v>
      </c>
      <c r="I174" s="26" t="s">
        <v>369</v>
      </c>
      <c r="J174" s="4" t="s">
        <v>105</v>
      </c>
      <c r="L174" s="9">
        <f>B174</f>
        <v>2015</v>
      </c>
      <c r="N174" s="30" t="s">
        <v>564</v>
      </c>
      <c r="O174" s="13" t="s">
        <v>28</v>
      </c>
      <c r="P174" s="13">
        <f t="shared" si="5"/>
        <v>3</v>
      </c>
      <c r="Q174" s="15">
        <f t="shared" si="6"/>
        <v>0.33333333333333331</v>
      </c>
      <c r="R174" s="13" t="s">
        <v>2946</v>
      </c>
      <c r="S174" s="13"/>
      <c r="T174" s="13" t="s">
        <v>2947</v>
      </c>
      <c r="U174" s="13"/>
      <c r="V174" s="13" t="s">
        <v>3980</v>
      </c>
      <c r="W174" s="13"/>
      <c r="X174" s="13" t="s">
        <v>3980</v>
      </c>
      <c r="Y174" s="13" t="s">
        <v>3980</v>
      </c>
      <c r="Z174" s="13" t="s">
        <v>3980</v>
      </c>
      <c r="AC174" s="18"/>
      <c r="AD174" s="18"/>
      <c r="AE174" s="18"/>
    </row>
    <row r="175" spans="1:31" x14ac:dyDescent="0.25">
      <c r="A175" s="18" t="s">
        <v>5034</v>
      </c>
      <c r="B175" s="30">
        <v>2003</v>
      </c>
      <c r="C175" s="13">
        <v>191</v>
      </c>
      <c r="D175" s="14">
        <v>0.373</v>
      </c>
      <c r="E175" s="14">
        <v>0.36599999999999999</v>
      </c>
      <c r="F175" s="13">
        <v>6</v>
      </c>
      <c r="G175" s="14">
        <v>0.32200000000000001</v>
      </c>
      <c r="H175" s="18" t="s">
        <v>3391</v>
      </c>
      <c r="I175" s="26" t="s">
        <v>369</v>
      </c>
      <c r="J175" s="18" t="s">
        <v>54</v>
      </c>
      <c r="K175" s="4"/>
      <c r="L175" s="9">
        <v>2003</v>
      </c>
      <c r="N175" s="30" t="s">
        <v>40</v>
      </c>
      <c r="O175" s="13" t="s">
        <v>42</v>
      </c>
      <c r="P175" s="13">
        <f t="shared" si="5"/>
        <v>15</v>
      </c>
      <c r="Q175" s="15">
        <f t="shared" si="6"/>
        <v>12.733333333333333</v>
      </c>
      <c r="R175" s="13" t="s">
        <v>968</v>
      </c>
      <c r="S175" s="13" t="s">
        <v>206</v>
      </c>
      <c r="T175" s="13" t="s">
        <v>969</v>
      </c>
      <c r="U175" s="13" t="s">
        <v>970</v>
      </c>
      <c r="V175" s="13" t="s">
        <v>4034</v>
      </c>
      <c r="W175" s="13"/>
      <c r="X175" s="13" t="s">
        <v>4382</v>
      </c>
      <c r="Y175" s="13" t="s">
        <v>3980</v>
      </c>
      <c r="Z175" s="13" t="s">
        <v>3980</v>
      </c>
      <c r="AC175" s="18"/>
      <c r="AD175" s="18"/>
      <c r="AE175" s="18"/>
    </row>
    <row r="176" spans="1:31" x14ac:dyDescent="0.25">
      <c r="A176" s="18" t="s">
        <v>2844</v>
      </c>
      <c r="B176" s="30">
        <v>2015</v>
      </c>
      <c r="C176" s="13">
        <v>3</v>
      </c>
      <c r="D176" s="14">
        <v>3.2000000000000001E-2</v>
      </c>
      <c r="E176" s="14">
        <v>6.6000000000000003E-2</v>
      </c>
      <c r="F176" s="13">
        <v>1</v>
      </c>
      <c r="G176" s="14">
        <v>0</v>
      </c>
      <c r="H176" s="18" t="s">
        <v>3657</v>
      </c>
      <c r="I176" s="26" t="s">
        <v>369</v>
      </c>
      <c r="J176" s="18" t="s">
        <v>105</v>
      </c>
      <c r="L176" s="9">
        <f>B176</f>
        <v>2015</v>
      </c>
      <c r="N176" s="30" t="s">
        <v>161</v>
      </c>
      <c r="O176" s="13" t="s">
        <v>42</v>
      </c>
      <c r="P176" s="13">
        <f t="shared" si="5"/>
        <v>3</v>
      </c>
      <c r="Q176" s="15">
        <f t="shared" si="6"/>
        <v>1</v>
      </c>
      <c r="R176" s="13" t="s">
        <v>2845</v>
      </c>
      <c r="S176" s="13"/>
      <c r="T176" s="13" t="s">
        <v>2846</v>
      </c>
      <c r="U176" s="13"/>
      <c r="V176" s="13" t="s">
        <v>3980</v>
      </c>
      <c r="W176" s="13"/>
      <c r="X176" s="13" t="s">
        <v>3980</v>
      </c>
      <c r="Y176" s="13" t="s">
        <v>3980</v>
      </c>
      <c r="Z176" s="13" t="s">
        <v>3980</v>
      </c>
      <c r="AC176" s="18"/>
      <c r="AD176" s="18"/>
      <c r="AE176" s="18"/>
    </row>
    <row r="177" spans="1:31" x14ac:dyDescent="0.25">
      <c r="A177" s="18" t="s">
        <v>4910</v>
      </c>
      <c r="B177" s="30">
        <v>2000</v>
      </c>
      <c r="C177" s="13">
        <v>795</v>
      </c>
      <c r="D177" s="14">
        <v>0.65500000000000003</v>
      </c>
      <c r="E177" s="14">
        <v>0.39600000000000002</v>
      </c>
      <c r="F177" s="13">
        <v>14</v>
      </c>
      <c r="G177" s="14">
        <v>0.67900000000000005</v>
      </c>
      <c r="H177" s="18" t="s">
        <v>3687</v>
      </c>
      <c r="I177" s="26" t="s">
        <v>369</v>
      </c>
      <c r="J177" s="18" t="s">
        <v>26</v>
      </c>
      <c r="L177" s="9">
        <v>2000</v>
      </c>
      <c r="M177" s="11"/>
      <c r="N177" s="30" t="s">
        <v>119</v>
      </c>
      <c r="O177" s="13" t="s">
        <v>28</v>
      </c>
      <c r="P177" s="13">
        <f t="shared" si="5"/>
        <v>18</v>
      </c>
      <c r="Q177" s="15">
        <f t="shared" si="6"/>
        <v>44.166666666666664</v>
      </c>
      <c r="R177" s="13" t="s">
        <v>1954</v>
      </c>
      <c r="S177" s="13" t="s">
        <v>215</v>
      </c>
      <c r="T177" s="13" t="s">
        <v>1955</v>
      </c>
      <c r="U177" s="13" t="s">
        <v>1956</v>
      </c>
      <c r="V177" s="13" t="s">
        <v>4035</v>
      </c>
      <c r="W177" s="13"/>
      <c r="X177" s="13" t="s">
        <v>4383</v>
      </c>
      <c r="Y177" s="13" t="s">
        <v>3980</v>
      </c>
      <c r="Z177" s="13" t="s">
        <v>3980</v>
      </c>
      <c r="AC177" s="18"/>
      <c r="AD177" s="18"/>
      <c r="AE177" s="18"/>
    </row>
    <row r="178" spans="1:31" x14ac:dyDescent="0.25">
      <c r="A178" s="18" t="s">
        <v>3109</v>
      </c>
      <c r="B178" s="30">
        <v>2002</v>
      </c>
      <c r="C178" s="13">
        <v>873</v>
      </c>
      <c r="D178" s="14">
        <v>0.67600000000000005</v>
      </c>
      <c r="E178" s="14">
        <v>0.95699999999999996</v>
      </c>
      <c r="F178" s="13">
        <v>14</v>
      </c>
      <c r="G178" s="14">
        <v>0.67900000000000005</v>
      </c>
      <c r="H178" s="18" t="s">
        <v>4815</v>
      </c>
      <c r="I178" s="26" t="s">
        <v>369</v>
      </c>
      <c r="J178" s="18" t="s">
        <v>105</v>
      </c>
      <c r="L178" s="9">
        <f>B178</f>
        <v>2002</v>
      </c>
      <c r="N178" s="30" t="s">
        <v>3108</v>
      </c>
      <c r="O178" s="13" t="s">
        <v>42</v>
      </c>
      <c r="P178" s="13">
        <f t="shared" si="5"/>
        <v>16</v>
      </c>
      <c r="Q178" s="15">
        <f t="shared" si="6"/>
        <v>54.5625</v>
      </c>
      <c r="R178" s="13" t="s">
        <v>1486</v>
      </c>
      <c r="S178" s="13"/>
      <c r="T178" s="13" t="s">
        <v>3110</v>
      </c>
      <c r="U178" s="13"/>
      <c r="V178" s="13" t="s">
        <v>3980</v>
      </c>
      <c r="W178" s="13"/>
      <c r="X178" s="13" t="s">
        <v>3980</v>
      </c>
      <c r="Y178" s="13" t="s">
        <v>3980</v>
      </c>
      <c r="Z178" s="13" t="s">
        <v>3980</v>
      </c>
      <c r="AC178" s="18"/>
      <c r="AD178" s="18"/>
      <c r="AE178" s="18"/>
    </row>
    <row r="179" spans="1:31" x14ac:dyDescent="0.25">
      <c r="A179" s="18" t="s">
        <v>2094</v>
      </c>
      <c r="B179" s="30">
        <v>2009</v>
      </c>
      <c r="C179" s="13">
        <v>186</v>
      </c>
      <c r="D179" s="14">
        <v>0.36899999999999999</v>
      </c>
      <c r="E179" s="14">
        <v>0.67300000000000004</v>
      </c>
      <c r="F179" s="13">
        <v>6</v>
      </c>
      <c r="G179" s="14">
        <v>0.32200000000000001</v>
      </c>
      <c r="H179" s="18" t="s">
        <v>3578</v>
      </c>
      <c r="I179" s="26" t="s">
        <v>369</v>
      </c>
      <c r="J179" s="18" t="s">
        <v>105</v>
      </c>
      <c r="L179" s="9">
        <v>2009</v>
      </c>
      <c r="N179" s="30" t="s">
        <v>41</v>
      </c>
      <c r="O179" s="13" t="s">
        <v>42</v>
      </c>
      <c r="P179" s="13">
        <f t="shared" si="5"/>
        <v>9</v>
      </c>
      <c r="Q179" s="15">
        <f t="shared" si="6"/>
        <v>20.666666666666668</v>
      </c>
      <c r="R179" s="13" t="s">
        <v>2091</v>
      </c>
      <c r="S179" s="13"/>
      <c r="T179" s="13" t="s">
        <v>2095</v>
      </c>
      <c r="U179" s="13" t="s">
        <v>2096</v>
      </c>
      <c r="V179" s="13" t="s">
        <v>3980</v>
      </c>
      <c r="W179" s="13"/>
      <c r="X179" s="13" t="s">
        <v>4384</v>
      </c>
      <c r="Y179" s="13" t="s">
        <v>3980</v>
      </c>
      <c r="Z179" s="13" t="s">
        <v>3980</v>
      </c>
      <c r="AC179" s="18"/>
      <c r="AD179" s="18"/>
      <c r="AE179" s="18"/>
    </row>
    <row r="180" spans="1:31" x14ac:dyDescent="0.25">
      <c r="A180" s="18" t="s">
        <v>4918</v>
      </c>
      <c r="B180" s="30">
        <v>1988</v>
      </c>
      <c r="C180" s="13">
        <v>70</v>
      </c>
      <c r="D180" s="14">
        <v>0.21299999999999999</v>
      </c>
      <c r="E180" s="14">
        <v>0.17699999999999999</v>
      </c>
      <c r="F180" s="13">
        <v>5</v>
      </c>
      <c r="G180" s="14">
        <v>0.27400000000000002</v>
      </c>
      <c r="H180" s="18" t="s">
        <v>3610</v>
      </c>
      <c r="I180" s="26" t="s">
        <v>369</v>
      </c>
      <c r="J180" s="18" t="s">
        <v>54</v>
      </c>
      <c r="K180" s="4"/>
      <c r="L180" s="9">
        <v>1988</v>
      </c>
      <c r="M180" s="11"/>
      <c r="N180" s="30" t="s">
        <v>1794</v>
      </c>
      <c r="O180" s="13" t="s">
        <v>28</v>
      </c>
      <c r="P180" s="13">
        <f t="shared" si="5"/>
        <v>30</v>
      </c>
      <c r="Q180" s="15">
        <f t="shared" si="6"/>
        <v>2.3333333333333335</v>
      </c>
      <c r="R180" s="13" t="s">
        <v>386</v>
      </c>
      <c r="S180" s="13" t="s">
        <v>680</v>
      </c>
      <c r="T180" s="13" t="s">
        <v>576</v>
      </c>
      <c r="U180" s="13" t="s">
        <v>1975</v>
      </c>
      <c r="V180" s="13" t="s">
        <v>3980</v>
      </c>
      <c r="W180" s="13"/>
      <c r="X180" s="13" t="s">
        <v>3980</v>
      </c>
      <c r="Y180" s="13" t="s">
        <v>3980</v>
      </c>
      <c r="Z180" s="13" t="s">
        <v>3980</v>
      </c>
      <c r="AC180" s="18"/>
      <c r="AD180" s="18"/>
      <c r="AE180" s="18"/>
    </row>
    <row r="181" spans="1:31" x14ac:dyDescent="0.25">
      <c r="A181" s="18" t="s">
        <v>2574</v>
      </c>
      <c r="B181" s="30">
        <v>1994</v>
      </c>
      <c r="C181" s="8">
        <v>63</v>
      </c>
      <c r="D181" s="14">
        <v>0.20300000000000001</v>
      </c>
      <c r="E181" s="14">
        <v>0.38500000000000001</v>
      </c>
      <c r="F181" s="8">
        <v>2</v>
      </c>
      <c r="G181" s="14">
        <v>7.0999999999999994E-2</v>
      </c>
      <c r="I181" s="26" t="s">
        <v>739</v>
      </c>
      <c r="J181" s="18" t="s">
        <v>105</v>
      </c>
      <c r="L181" s="9">
        <f>B181</f>
        <v>1994</v>
      </c>
      <c r="N181" s="28" t="s">
        <v>3146</v>
      </c>
      <c r="O181" s="13" t="s">
        <v>28</v>
      </c>
      <c r="P181" s="13">
        <f t="shared" si="5"/>
        <v>24</v>
      </c>
      <c r="Q181" s="15">
        <f t="shared" si="6"/>
        <v>2.625</v>
      </c>
      <c r="R181" s="18" t="s">
        <v>3764</v>
      </c>
      <c r="T181" s="18" t="s">
        <v>3765</v>
      </c>
      <c r="V181" s="18" t="s">
        <v>3980</v>
      </c>
      <c r="X181" s="18" t="s">
        <v>3980</v>
      </c>
      <c r="Y181" s="18" t="s">
        <v>3980</v>
      </c>
      <c r="Z181" s="18" t="s">
        <v>3980</v>
      </c>
      <c r="AC181" s="18"/>
      <c r="AD181" s="18"/>
      <c r="AE181" s="18"/>
    </row>
    <row r="182" spans="1:31" x14ac:dyDescent="0.25">
      <c r="A182" s="18" t="s">
        <v>738</v>
      </c>
      <c r="B182" s="30">
        <v>2004</v>
      </c>
      <c r="C182" s="13">
        <v>873</v>
      </c>
      <c r="D182" s="14">
        <v>0.67600000000000005</v>
      </c>
      <c r="E182" s="14">
        <v>0.77</v>
      </c>
      <c r="F182" s="13">
        <v>13</v>
      </c>
      <c r="G182" s="14">
        <v>0.64500000000000002</v>
      </c>
      <c r="H182" s="18" t="s">
        <v>3325</v>
      </c>
      <c r="I182" s="26" t="s">
        <v>739</v>
      </c>
      <c r="J182" s="18" t="s">
        <v>54</v>
      </c>
      <c r="K182" s="4"/>
      <c r="L182" s="9">
        <v>2004</v>
      </c>
      <c r="N182" s="30" t="s">
        <v>146</v>
      </c>
      <c r="O182" s="13" t="s">
        <v>28</v>
      </c>
      <c r="P182" s="13">
        <f t="shared" si="5"/>
        <v>14</v>
      </c>
      <c r="Q182" s="15">
        <f t="shared" si="6"/>
        <v>62.357142857142854</v>
      </c>
      <c r="R182" s="13" t="s">
        <v>740</v>
      </c>
      <c r="S182" s="13"/>
      <c r="T182" s="13" t="s">
        <v>116</v>
      </c>
      <c r="U182" s="13" t="s">
        <v>741</v>
      </c>
      <c r="V182" s="13" t="s">
        <v>3980</v>
      </c>
      <c r="W182" s="13"/>
      <c r="X182" s="13" t="s">
        <v>3980</v>
      </c>
      <c r="Y182" s="13" t="s">
        <v>3980</v>
      </c>
      <c r="Z182" s="13" t="s">
        <v>3980</v>
      </c>
      <c r="AC182" s="18"/>
      <c r="AD182" s="18"/>
      <c r="AE182" s="18"/>
    </row>
    <row r="183" spans="1:31" x14ac:dyDescent="0.25">
      <c r="A183" t="s">
        <v>1896</v>
      </c>
      <c r="B183" s="30">
        <v>2003</v>
      </c>
      <c r="C183" s="13">
        <v>273</v>
      </c>
      <c r="D183" s="14">
        <v>0.42899999999999999</v>
      </c>
      <c r="E183" s="14">
        <v>0.22500000000000001</v>
      </c>
      <c r="F183" s="13">
        <v>9</v>
      </c>
      <c r="G183" s="14">
        <v>0.48799999999999999</v>
      </c>
      <c r="I183" s="26" t="s">
        <v>739</v>
      </c>
      <c r="J183" s="18" t="s">
        <v>26</v>
      </c>
      <c r="K183" s="4"/>
      <c r="L183" s="9">
        <v>2003</v>
      </c>
      <c r="N183" s="30" t="s">
        <v>739</v>
      </c>
      <c r="O183" s="13" t="s">
        <v>28</v>
      </c>
      <c r="P183" s="13">
        <f t="shared" si="5"/>
        <v>15</v>
      </c>
      <c r="Q183" s="15">
        <f t="shared" si="6"/>
        <v>18.2</v>
      </c>
      <c r="R183" s="13" t="s">
        <v>1897</v>
      </c>
      <c r="S183" s="13"/>
      <c r="T183" s="13" t="s">
        <v>1898</v>
      </c>
      <c r="U183" s="13" t="s">
        <v>1899</v>
      </c>
      <c r="V183" s="13" t="s">
        <v>4036</v>
      </c>
      <c r="W183" s="13"/>
      <c r="X183" s="13" t="s">
        <v>4385</v>
      </c>
      <c r="Y183" s="13" t="s">
        <v>3980</v>
      </c>
      <c r="Z183" s="13" t="s">
        <v>3980</v>
      </c>
      <c r="AC183" s="18"/>
      <c r="AD183" s="18"/>
      <c r="AE183" s="18"/>
    </row>
    <row r="184" spans="1:31" x14ac:dyDescent="0.25">
      <c r="A184" t="s">
        <v>4908</v>
      </c>
      <c r="B184" s="30">
        <v>2004</v>
      </c>
      <c r="C184" s="13">
        <v>27</v>
      </c>
      <c r="D184" s="14">
        <v>0.12</v>
      </c>
      <c r="E184" s="14">
        <v>9.4E-2</v>
      </c>
      <c r="F184" s="13">
        <v>3</v>
      </c>
      <c r="G184" s="14">
        <v>0.13100000000000001</v>
      </c>
      <c r="I184" s="26" t="s">
        <v>739</v>
      </c>
      <c r="J184" s="18" t="s">
        <v>54</v>
      </c>
      <c r="K184" s="4"/>
      <c r="L184" s="9">
        <v>2004</v>
      </c>
      <c r="N184" s="30" t="s">
        <v>769</v>
      </c>
      <c r="O184" s="13" t="s">
        <v>28</v>
      </c>
      <c r="P184" s="13">
        <f t="shared" si="5"/>
        <v>14</v>
      </c>
      <c r="Q184" s="15">
        <f t="shared" si="6"/>
        <v>1.9285714285714286</v>
      </c>
      <c r="R184" s="13" t="s">
        <v>1939</v>
      </c>
      <c r="S184" s="13" t="s">
        <v>1024</v>
      </c>
      <c r="T184" s="13" t="s">
        <v>1461</v>
      </c>
      <c r="U184" s="13" t="s">
        <v>1940</v>
      </c>
      <c r="V184" s="13" t="s">
        <v>3980</v>
      </c>
      <c r="W184" s="13"/>
      <c r="X184" s="13" t="s">
        <v>4386</v>
      </c>
      <c r="Y184" s="13" t="s">
        <v>3980</v>
      </c>
      <c r="Z184" s="13" t="s">
        <v>3980</v>
      </c>
      <c r="AC184" s="18"/>
      <c r="AD184" s="18"/>
      <c r="AE184" s="18"/>
    </row>
    <row r="185" spans="1:31" x14ac:dyDescent="0.25">
      <c r="A185" s="18" t="s">
        <v>2939</v>
      </c>
      <c r="B185" s="30">
        <v>2011</v>
      </c>
      <c r="C185" s="13">
        <v>3</v>
      </c>
      <c r="D185" s="14">
        <v>3.2000000000000001E-2</v>
      </c>
      <c r="E185" s="14">
        <v>6.6000000000000003E-2</v>
      </c>
      <c r="F185" s="13">
        <v>1</v>
      </c>
      <c r="G185" s="14">
        <v>0</v>
      </c>
      <c r="I185" s="26" t="s">
        <v>739</v>
      </c>
      <c r="J185" s="18" t="s">
        <v>105</v>
      </c>
      <c r="L185" s="9">
        <v>2011</v>
      </c>
      <c r="N185" s="30" t="s">
        <v>25</v>
      </c>
      <c r="O185" s="13" t="s">
        <v>42</v>
      </c>
      <c r="P185" s="13">
        <f t="shared" si="5"/>
        <v>7</v>
      </c>
      <c r="Q185" s="15">
        <f t="shared" si="6"/>
        <v>0.42857142857142855</v>
      </c>
      <c r="R185" s="13" t="s">
        <v>2940</v>
      </c>
      <c r="S185" s="13"/>
      <c r="T185" s="13" t="s">
        <v>285</v>
      </c>
      <c r="U185" s="13"/>
      <c r="V185" s="13" t="s">
        <v>3980</v>
      </c>
      <c r="W185" s="13"/>
      <c r="X185" s="13" t="s">
        <v>3980</v>
      </c>
      <c r="Y185" s="13" t="s">
        <v>3980</v>
      </c>
      <c r="Z185" s="13" t="s">
        <v>3980</v>
      </c>
      <c r="AC185" s="18"/>
      <c r="AD185" s="18"/>
      <c r="AE185" s="18"/>
    </row>
    <row r="186" spans="1:31" x14ac:dyDescent="0.25">
      <c r="A186" t="s">
        <v>4955</v>
      </c>
      <c r="B186" s="30">
        <v>2002</v>
      </c>
      <c r="C186" s="13">
        <v>66</v>
      </c>
      <c r="D186" s="14">
        <v>0.20599999999999999</v>
      </c>
      <c r="E186" s="14">
        <v>0.16900000000000001</v>
      </c>
      <c r="F186" s="13">
        <v>4</v>
      </c>
      <c r="G186" s="14">
        <v>0.19600000000000001</v>
      </c>
      <c r="I186" s="26" t="s">
        <v>739</v>
      </c>
      <c r="J186" s="18" t="s">
        <v>54</v>
      </c>
      <c r="K186" s="4"/>
      <c r="L186" s="9">
        <v>2002</v>
      </c>
      <c r="N186" s="30" t="s">
        <v>739</v>
      </c>
      <c r="O186" s="13" t="s">
        <v>28</v>
      </c>
      <c r="P186" s="13">
        <f t="shared" si="5"/>
        <v>16</v>
      </c>
      <c r="Q186" s="15">
        <f t="shared" si="6"/>
        <v>4.125</v>
      </c>
      <c r="R186" s="13" t="s">
        <v>2152</v>
      </c>
      <c r="S186" s="13" t="s">
        <v>239</v>
      </c>
      <c r="T186" s="13" t="s">
        <v>2154</v>
      </c>
      <c r="U186" s="13" t="s">
        <v>2155</v>
      </c>
      <c r="V186" s="13" t="s">
        <v>3980</v>
      </c>
      <c r="W186" s="13"/>
      <c r="X186" s="13" t="s">
        <v>4387</v>
      </c>
      <c r="Y186" s="13" t="s">
        <v>3980</v>
      </c>
      <c r="Z186" s="13" t="s">
        <v>3980</v>
      </c>
      <c r="AC186" s="18"/>
      <c r="AD186" s="18"/>
      <c r="AE186" s="18"/>
    </row>
    <row r="187" spans="1:31" x14ac:dyDescent="0.25">
      <c r="A187" t="s">
        <v>4943</v>
      </c>
      <c r="B187" s="30">
        <v>2010</v>
      </c>
      <c r="C187" s="13">
        <v>48</v>
      </c>
      <c r="D187" s="14">
        <v>0.17599999999999999</v>
      </c>
      <c r="E187" s="14">
        <v>0.14299999999999999</v>
      </c>
      <c r="F187" s="13">
        <v>4</v>
      </c>
      <c r="G187" s="14">
        <v>0.19600000000000001</v>
      </c>
      <c r="I187" s="26" t="s">
        <v>1379</v>
      </c>
      <c r="J187" s="18" t="s">
        <v>54</v>
      </c>
      <c r="K187" s="4"/>
      <c r="L187" s="9">
        <v>2010</v>
      </c>
      <c r="N187" s="30" t="s">
        <v>40</v>
      </c>
      <c r="O187" s="13" t="s">
        <v>28</v>
      </c>
      <c r="P187" s="13">
        <f t="shared" si="5"/>
        <v>8</v>
      </c>
      <c r="Q187" s="15">
        <f t="shared" si="6"/>
        <v>6</v>
      </c>
      <c r="R187" s="13" t="s">
        <v>433</v>
      </c>
      <c r="S187" s="13" t="s">
        <v>30</v>
      </c>
      <c r="T187" s="13" t="s">
        <v>681</v>
      </c>
      <c r="U187" s="13" t="s">
        <v>2109</v>
      </c>
      <c r="V187" s="13" t="s">
        <v>3980</v>
      </c>
      <c r="W187" s="13"/>
      <c r="X187" s="13" t="s">
        <v>4388</v>
      </c>
      <c r="Y187" s="13" t="s">
        <v>3980</v>
      </c>
      <c r="Z187" s="13" t="s">
        <v>3980</v>
      </c>
      <c r="AC187" s="18"/>
      <c r="AD187" s="18"/>
      <c r="AE187" s="18"/>
    </row>
    <row r="188" spans="1:31" x14ac:dyDescent="0.25">
      <c r="A188" t="s">
        <v>2032</v>
      </c>
      <c r="B188" s="30">
        <v>2009</v>
      </c>
      <c r="C188" s="13">
        <v>30</v>
      </c>
      <c r="D188" s="14">
        <v>0.127</v>
      </c>
      <c r="E188" s="14">
        <v>9.7000000000000003E-2</v>
      </c>
      <c r="F188" s="13">
        <v>3</v>
      </c>
      <c r="G188" s="14">
        <v>0.13100000000000001</v>
      </c>
      <c r="I188" s="26" t="s">
        <v>1379</v>
      </c>
      <c r="J188" s="18" t="s">
        <v>54</v>
      </c>
      <c r="K188" s="4"/>
      <c r="L188" s="9">
        <v>2009</v>
      </c>
      <c r="M188" s="11"/>
      <c r="N188" s="30" t="s">
        <v>83</v>
      </c>
      <c r="O188" s="13" t="s">
        <v>28</v>
      </c>
      <c r="P188" s="13">
        <f t="shared" si="5"/>
        <v>9</v>
      </c>
      <c r="Q188" s="15">
        <f t="shared" si="6"/>
        <v>3.3333333333333335</v>
      </c>
      <c r="R188" s="13" t="s">
        <v>2033</v>
      </c>
      <c r="S188" s="13"/>
      <c r="T188" s="13" t="s">
        <v>777</v>
      </c>
      <c r="U188" s="13" t="s">
        <v>2034</v>
      </c>
      <c r="V188" s="13" t="s">
        <v>3980</v>
      </c>
      <c r="W188" s="13"/>
      <c r="X188" s="13" t="s">
        <v>4389</v>
      </c>
      <c r="Y188" s="13" t="s">
        <v>3980</v>
      </c>
      <c r="Z188" s="13" t="s">
        <v>3980</v>
      </c>
      <c r="AC188" s="18"/>
      <c r="AD188" s="18"/>
      <c r="AE188" s="18"/>
    </row>
    <row r="189" spans="1:31" x14ac:dyDescent="0.25">
      <c r="A189" t="s">
        <v>4966</v>
      </c>
      <c r="B189" s="30">
        <v>1973</v>
      </c>
      <c r="C189" s="13">
        <v>315</v>
      </c>
      <c r="D189" s="14">
        <v>0.45700000000000002</v>
      </c>
      <c r="E189" s="14">
        <v>0.248</v>
      </c>
      <c r="F189" s="13">
        <v>5</v>
      </c>
      <c r="G189" s="14">
        <v>0.27400000000000002</v>
      </c>
      <c r="I189" s="26" t="s">
        <v>1379</v>
      </c>
      <c r="J189" s="18" t="s">
        <v>26</v>
      </c>
      <c r="K189" s="4"/>
      <c r="L189" s="9">
        <v>1973</v>
      </c>
      <c r="N189" s="30" t="s">
        <v>67</v>
      </c>
      <c r="O189" s="13" t="s">
        <v>28</v>
      </c>
      <c r="P189" s="13">
        <f t="shared" si="5"/>
        <v>45</v>
      </c>
      <c r="Q189" s="15">
        <f t="shared" si="6"/>
        <v>7</v>
      </c>
      <c r="R189" s="13" t="s">
        <v>808</v>
      </c>
      <c r="S189" s="13" t="s">
        <v>480</v>
      </c>
      <c r="T189" s="13" t="s">
        <v>2203</v>
      </c>
      <c r="U189" s="13" t="s">
        <v>2204</v>
      </c>
      <c r="V189" s="13" t="s">
        <v>3980</v>
      </c>
      <c r="W189" s="13"/>
      <c r="X189" s="13" t="s">
        <v>4390</v>
      </c>
      <c r="Y189" s="13" t="s">
        <v>3980</v>
      </c>
      <c r="Z189" s="13" t="s">
        <v>3980</v>
      </c>
      <c r="AC189" s="18"/>
      <c r="AD189" s="18"/>
      <c r="AE189" s="18"/>
    </row>
    <row r="190" spans="1:31" x14ac:dyDescent="0.25">
      <c r="A190" s="18" t="s">
        <v>2351</v>
      </c>
      <c r="B190" s="30">
        <v>1996</v>
      </c>
      <c r="C190" s="13">
        <v>103</v>
      </c>
      <c r="D190" s="14">
        <v>0.26700000000000002</v>
      </c>
      <c r="E190" s="14">
        <v>0.23400000000000001</v>
      </c>
      <c r="F190" s="13">
        <v>6</v>
      </c>
      <c r="G190" s="14">
        <v>0.32200000000000001</v>
      </c>
      <c r="I190" s="26" t="s">
        <v>1379</v>
      </c>
      <c r="J190" s="18" t="s">
        <v>54</v>
      </c>
      <c r="K190" s="4"/>
      <c r="L190" s="9">
        <v>1996</v>
      </c>
      <c r="N190" s="30" t="s">
        <v>161</v>
      </c>
      <c r="O190" s="13" t="s">
        <v>28</v>
      </c>
      <c r="P190" s="13">
        <f t="shared" si="5"/>
        <v>22</v>
      </c>
      <c r="Q190" s="15">
        <f t="shared" si="6"/>
        <v>4.6818181818181817</v>
      </c>
      <c r="R190" s="13" t="s">
        <v>2349</v>
      </c>
      <c r="S190" s="13"/>
      <c r="T190" s="13" t="s">
        <v>2352</v>
      </c>
      <c r="U190" s="13" t="s">
        <v>2353</v>
      </c>
      <c r="V190" s="13" t="s">
        <v>3980</v>
      </c>
      <c r="W190" s="13"/>
      <c r="X190" s="13" t="s">
        <v>4391</v>
      </c>
      <c r="Y190" s="13" t="s">
        <v>3980</v>
      </c>
      <c r="Z190" s="13" t="s">
        <v>3980</v>
      </c>
      <c r="AC190" s="18"/>
      <c r="AD190" s="18"/>
      <c r="AE190" s="18"/>
    </row>
    <row r="191" spans="1:31" x14ac:dyDescent="0.25">
      <c r="A191" s="18" t="s">
        <v>2271</v>
      </c>
      <c r="B191" s="30">
        <v>2012</v>
      </c>
      <c r="C191" s="13">
        <v>75</v>
      </c>
      <c r="D191" s="14">
        <v>0.223</v>
      </c>
      <c r="E191" s="14">
        <v>0.43099999999999999</v>
      </c>
      <c r="F191" s="13">
        <v>3</v>
      </c>
      <c r="G191" s="14">
        <v>0.13100000000000001</v>
      </c>
      <c r="I191" s="26" t="s">
        <v>1379</v>
      </c>
      <c r="J191" s="18" t="s">
        <v>105</v>
      </c>
      <c r="L191" s="9">
        <v>2012</v>
      </c>
      <c r="N191" s="30" t="s">
        <v>2073</v>
      </c>
      <c r="O191" s="13" t="s">
        <v>42</v>
      </c>
      <c r="P191" s="13">
        <f t="shared" si="5"/>
        <v>6</v>
      </c>
      <c r="Q191" s="15">
        <f t="shared" si="6"/>
        <v>12.5</v>
      </c>
      <c r="R191" s="13" t="s">
        <v>2268</v>
      </c>
      <c r="S191" s="13"/>
      <c r="T191" s="13" t="s">
        <v>2272</v>
      </c>
      <c r="U191" s="13" t="s">
        <v>2273</v>
      </c>
      <c r="V191" s="13" t="s">
        <v>3980</v>
      </c>
      <c r="W191" s="13"/>
      <c r="X191" s="13" t="s">
        <v>4392</v>
      </c>
      <c r="Y191" s="13" t="s">
        <v>3980</v>
      </c>
      <c r="Z191" s="13" t="s">
        <v>3980</v>
      </c>
      <c r="AC191" s="18"/>
      <c r="AD191" s="18"/>
      <c r="AE191" s="18"/>
    </row>
    <row r="192" spans="1:31" x14ac:dyDescent="0.25">
      <c r="A192" s="18" t="s">
        <v>1378</v>
      </c>
      <c r="B192" s="30">
        <v>2011</v>
      </c>
      <c r="C192" s="13">
        <v>95</v>
      </c>
      <c r="D192" s="14">
        <v>0.25600000000000001</v>
      </c>
      <c r="E192" s="14">
        <v>0.49099999999999999</v>
      </c>
      <c r="F192" s="13">
        <v>5</v>
      </c>
      <c r="G192" s="14">
        <v>0.27400000000000002</v>
      </c>
      <c r="H192" s="18" t="s">
        <v>3509</v>
      </c>
      <c r="I192" s="26" t="s">
        <v>1379</v>
      </c>
      <c r="J192" s="18" t="s">
        <v>105</v>
      </c>
      <c r="L192" s="9">
        <f>B192</f>
        <v>2011</v>
      </c>
      <c r="N192" s="30" t="s">
        <v>765</v>
      </c>
      <c r="O192" s="13" t="s">
        <v>28</v>
      </c>
      <c r="P192" s="13">
        <f t="shared" si="5"/>
        <v>7</v>
      </c>
      <c r="Q192" s="15">
        <f t="shared" si="6"/>
        <v>13.571428571428571</v>
      </c>
      <c r="R192" s="13" t="s">
        <v>710</v>
      </c>
      <c r="S192" s="13"/>
      <c r="T192" s="13" t="s">
        <v>1380</v>
      </c>
      <c r="U192" s="13"/>
      <c r="V192" s="13" t="s">
        <v>3980</v>
      </c>
      <c r="W192" s="13"/>
      <c r="X192" s="13" t="s">
        <v>3980</v>
      </c>
      <c r="Y192" s="13" t="s">
        <v>3980</v>
      </c>
      <c r="Z192" s="13" t="s">
        <v>3980</v>
      </c>
      <c r="AC192" s="18"/>
      <c r="AD192" s="18"/>
      <c r="AE192" s="18"/>
    </row>
    <row r="193" spans="1:31" x14ac:dyDescent="0.25">
      <c r="A193" s="18" t="s">
        <v>2909</v>
      </c>
      <c r="B193" s="30">
        <v>1987</v>
      </c>
      <c r="C193" s="13">
        <v>25</v>
      </c>
      <c r="D193" s="14">
        <v>0.113</v>
      </c>
      <c r="E193" s="14">
        <v>5.8999999999999997E-2</v>
      </c>
      <c r="F193" s="13">
        <v>2</v>
      </c>
      <c r="G193" s="14">
        <v>7.0999999999999994E-2</v>
      </c>
      <c r="I193" s="26" t="s">
        <v>1379</v>
      </c>
      <c r="J193" s="18" t="s">
        <v>26</v>
      </c>
      <c r="K193" s="4"/>
      <c r="L193" s="9">
        <f>B193</f>
        <v>1987</v>
      </c>
      <c r="M193" s="20" t="s">
        <v>3132</v>
      </c>
      <c r="N193" s="30" t="s">
        <v>123</v>
      </c>
      <c r="O193" s="13" t="s">
        <v>42</v>
      </c>
      <c r="P193" s="13">
        <f t="shared" si="5"/>
        <v>31</v>
      </c>
      <c r="Q193" s="15">
        <f t="shared" si="6"/>
        <v>0.80645161290322576</v>
      </c>
      <c r="R193" s="13" t="s">
        <v>1262</v>
      </c>
      <c r="S193" s="13"/>
      <c r="T193" s="13" t="s">
        <v>2910</v>
      </c>
      <c r="U193" s="13"/>
      <c r="V193" s="13" t="s">
        <v>3980</v>
      </c>
      <c r="W193" s="13"/>
      <c r="X193" s="13" t="s">
        <v>3980</v>
      </c>
      <c r="Y193" s="13" t="s">
        <v>3980</v>
      </c>
      <c r="Z193" s="13" t="s">
        <v>3980</v>
      </c>
      <c r="AC193" s="18"/>
      <c r="AD193" s="18"/>
      <c r="AE193" s="18"/>
    </row>
    <row r="194" spans="1:31" x14ac:dyDescent="0.25">
      <c r="A194" s="18" t="s">
        <v>1976</v>
      </c>
      <c r="B194" s="30">
        <v>1973</v>
      </c>
      <c r="C194" s="8">
        <v>4</v>
      </c>
      <c r="D194" s="14">
        <v>3.9E-2</v>
      </c>
      <c r="E194" s="14">
        <v>0.08</v>
      </c>
      <c r="F194" s="8">
        <v>1</v>
      </c>
      <c r="G194" s="14">
        <v>0</v>
      </c>
      <c r="I194" s="26" t="s">
        <v>1379</v>
      </c>
      <c r="J194" s="18" t="s">
        <v>105</v>
      </c>
      <c r="L194" s="9">
        <f>B194</f>
        <v>1973</v>
      </c>
      <c r="M194" s="20" t="s">
        <v>3132</v>
      </c>
      <c r="N194" s="30" t="s">
        <v>98</v>
      </c>
      <c r="O194" s="13" t="s">
        <v>28</v>
      </c>
      <c r="P194" s="13">
        <f t="shared" ref="P194:P257" si="7">2018-L194</f>
        <v>45</v>
      </c>
      <c r="Q194" s="15">
        <f t="shared" ref="Q194:Q257" si="8">C194/P194</f>
        <v>8.8888888888888892E-2</v>
      </c>
      <c r="R194" s="18" t="s">
        <v>386</v>
      </c>
      <c r="T194" s="18" t="s">
        <v>3751</v>
      </c>
      <c r="V194" s="18" t="s">
        <v>3980</v>
      </c>
      <c r="X194" s="18" t="s">
        <v>3980</v>
      </c>
      <c r="Y194" s="18" t="s">
        <v>3980</v>
      </c>
      <c r="Z194" s="18" t="s">
        <v>3980</v>
      </c>
      <c r="AC194" s="18"/>
      <c r="AD194" s="18"/>
      <c r="AE194" s="18"/>
    </row>
    <row r="195" spans="1:31" x14ac:dyDescent="0.25">
      <c r="A195" s="28" t="s">
        <v>2340</v>
      </c>
      <c r="B195" s="30">
        <v>1977</v>
      </c>
      <c r="C195" s="13">
        <v>16</v>
      </c>
      <c r="D195" s="14">
        <v>0.09</v>
      </c>
      <c r="E195" s="14">
        <v>8.3000000000000004E-2</v>
      </c>
      <c r="F195" s="13">
        <v>2</v>
      </c>
      <c r="G195" s="14">
        <v>7.0999999999999994E-2</v>
      </c>
      <c r="I195" s="26" t="s">
        <v>1379</v>
      </c>
      <c r="J195" s="18" t="s">
        <v>54</v>
      </c>
      <c r="L195" s="9">
        <v>1977</v>
      </c>
      <c r="N195" s="30" t="s">
        <v>34</v>
      </c>
      <c r="O195" s="13" t="s">
        <v>42</v>
      </c>
      <c r="P195" s="13">
        <f t="shared" si="7"/>
        <v>41</v>
      </c>
      <c r="Q195" s="15">
        <f t="shared" si="8"/>
        <v>0.3902439024390244</v>
      </c>
      <c r="R195" s="13" t="s">
        <v>894</v>
      </c>
      <c r="S195" s="13" t="s">
        <v>1596</v>
      </c>
      <c r="T195" s="13" t="s">
        <v>2341</v>
      </c>
      <c r="U195" s="13" t="s">
        <v>2342</v>
      </c>
      <c r="V195" s="13" t="s">
        <v>4037</v>
      </c>
      <c r="W195" s="13"/>
      <c r="X195" s="13" t="s">
        <v>4393</v>
      </c>
      <c r="Y195" s="13" t="s">
        <v>3980</v>
      </c>
      <c r="Z195" s="13" t="s">
        <v>3980</v>
      </c>
      <c r="AC195" s="18"/>
      <c r="AD195" s="18"/>
      <c r="AE195" s="18"/>
    </row>
    <row r="196" spans="1:31" x14ac:dyDescent="0.25">
      <c r="A196" s="18" t="s">
        <v>705</v>
      </c>
      <c r="B196" s="30">
        <v>2001</v>
      </c>
      <c r="C196" s="13">
        <v>636</v>
      </c>
      <c r="D196" s="14">
        <v>0.61299999999999999</v>
      </c>
      <c r="E196" s="14">
        <v>0.70399999999999996</v>
      </c>
      <c r="F196" s="13">
        <v>14</v>
      </c>
      <c r="G196" s="14">
        <v>0.67900000000000005</v>
      </c>
      <c r="H196" s="18" t="s">
        <v>3318</v>
      </c>
      <c r="I196" s="26" t="s">
        <v>128</v>
      </c>
      <c r="J196" s="18" t="s">
        <v>54</v>
      </c>
      <c r="L196" s="9">
        <v>2001</v>
      </c>
      <c r="N196" s="30" t="s">
        <v>277</v>
      </c>
      <c r="O196" s="13" t="s">
        <v>28</v>
      </c>
      <c r="P196" s="13">
        <f t="shared" si="7"/>
        <v>17</v>
      </c>
      <c r="Q196" s="15">
        <f t="shared" si="8"/>
        <v>37.411764705882355</v>
      </c>
      <c r="R196" s="13" t="s">
        <v>706</v>
      </c>
      <c r="S196" s="13"/>
      <c r="T196" s="13" t="s">
        <v>707</v>
      </c>
      <c r="U196" s="13" t="s">
        <v>708</v>
      </c>
      <c r="V196" s="13" t="s">
        <v>4038</v>
      </c>
      <c r="W196" s="13"/>
      <c r="X196" s="13" t="s">
        <v>4394</v>
      </c>
      <c r="Y196" s="13" t="s">
        <v>3980</v>
      </c>
      <c r="Z196" s="13" t="s">
        <v>3980</v>
      </c>
      <c r="AC196" s="18"/>
      <c r="AD196" s="18"/>
      <c r="AE196" s="18"/>
    </row>
    <row r="197" spans="1:31" x14ac:dyDescent="0.25">
      <c r="A197" s="18" t="s">
        <v>2397</v>
      </c>
      <c r="B197" s="30">
        <v>2002</v>
      </c>
      <c r="C197" s="13">
        <v>665</v>
      </c>
      <c r="D197" s="14">
        <v>0.623</v>
      </c>
      <c r="E197" s="14">
        <v>0.72199999999999998</v>
      </c>
      <c r="F197" s="13">
        <v>11</v>
      </c>
      <c r="G197" s="14">
        <v>0.56000000000000005</v>
      </c>
      <c r="I197" s="26" t="s">
        <v>128</v>
      </c>
      <c r="J197" s="18" t="s">
        <v>54</v>
      </c>
      <c r="L197" s="9">
        <v>2002</v>
      </c>
      <c r="N197" s="30" t="s">
        <v>41</v>
      </c>
      <c r="O197" s="13" t="s">
        <v>42</v>
      </c>
      <c r="P197" s="13">
        <f t="shared" si="7"/>
        <v>16</v>
      </c>
      <c r="Q197" s="15">
        <f t="shared" si="8"/>
        <v>41.5625</v>
      </c>
      <c r="R197" s="13" t="s">
        <v>193</v>
      </c>
      <c r="S197" s="13"/>
      <c r="T197" s="13" t="s">
        <v>2398</v>
      </c>
      <c r="U197" s="13" t="s">
        <v>2399</v>
      </c>
      <c r="V197" s="13" t="s">
        <v>3980</v>
      </c>
      <c r="W197" s="13"/>
      <c r="X197" s="13" t="s">
        <v>4395</v>
      </c>
      <c r="Y197" s="13" t="s">
        <v>3980</v>
      </c>
      <c r="Z197" s="13" t="s">
        <v>3980</v>
      </c>
      <c r="AC197" s="18"/>
      <c r="AD197" s="18"/>
      <c r="AE197" s="18"/>
    </row>
    <row r="198" spans="1:31" x14ac:dyDescent="0.25">
      <c r="A198" t="s">
        <v>4877</v>
      </c>
      <c r="B198" s="30">
        <v>1977</v>
      </c>
      <c r="C198" s="13">
        <v>139</v>
      </c>
      <c r="D198" s="14">
        <v>0.32500000000000001</v>
      </c>
      <c r="E198" s="14">
        <v>0.312</v>
      </c>
      <c r="F198" s="13">
        <v>4</v>
      </c>
      <c r="G198" s="14">
        <v>0.19600000000000001</v>
      </c>
      <c r="I198" s="26" t="s">
        <v>128</v>
      </c>
      <c r="J198" s="4" t="s">
        <v>54</v>
      </c>
      <c r="K198" s="4"/>
      <c r="L198" s="9">
        <v>1977</v>
      </c>
      <c r="N198" s="30" t="s">
        <v>1822</v>
      </c>
      <c r="O198" s="13" t="s">
        <v>28</v>
      </c>
      <c r="P198" s="13">
        <f t="shared" si="7"/>
        <v>41</v>
      </c>
      <c r="Q198" s="15">
        <f t="shared" si="8"/>
        <v>3.3902439024390243</v>
      </c>
      <c r="R198" s="13" t="s">
        <v>173</v>
      </c>
      <c r="S198" s="13" t="s">
        <v>418</v>
      </c>
      <c r="T198" s="13" t="s">
        <v>1823</v>
      </c>
      <c r="U198" s="13"/>
      <c r="V198" s="13" t="s">
        <v>3980</v>
      </c>
      <c r="W198" s="13"/>
      <c r="X198" s="13" t="s">
        <v>4396</v>
      </c>
      <c r="Y198" s="13" t="s">
        <v>3980</v>
      </c>
      <c r="Z198" s="13" t="s">
        <v>3980</v>
      </c>
      <c r="AC198" s="18"/>
      <c r="AD198" s="18"/>
      <c r="AE198" s="18"/>
    </row>
    <row r="199" spans="1:31" x14ac:dyDescent="0.25">
      <c r="A199" t="s">
        <v>701</v>
      </c>
      <c r="B199" s="30">
        <v>2005</v>
      </c>
      <c r="C199" s="13">
        <v>5242</v>
      </c>
      <c r="D199" s="14">
        <v>0.94799999999999995</v>
      </c>
      <c r="E199" s="14">
        <v>0.99099999999999999</v>
      </c>
      <c r="F199" s="13">
        <v>41</v>
      </c>
      <c r="G199" s="14">
        <v>0.97799999999999998</v>
      </c>
      <c r="H199" s="18" t="s">
        <v>3317</v>
      </c>
      <c r="I199" s="26" t="s">
        <v>128</v>
      </c>
      <c r="J199" s="18" t="s">
        <v>54</v>
      </c>
      <c r="K199" s="4"/>
      <c r="L199" s="9">
        <v>2005</v>
      </c>
      <c r="N199" s="30" t="s">
        <v>337</v>
      </c>
      <c r="O199" s="13" t="s">
        <v>28</v>
      </c>
      <c r="P199" s="13">
        <f t="shared" si="7"/>
        <v>13</v>
      </c>
      <c r="Q199" s="15">
        <f t="shared" si="8"/>
        <v>403.23076923076923</v>
      </c>
      <c r="R199" s="13" t="s">
        <v>702</v>
      </c>
      <c r="S199" s="13"/>
      <c r="T199" s="13" t="s">
        <v>703</v>
      </c>
      <c r="U199" s="13" t="s">
        <v>704</v>
      </c>
      <c r="V199" s="13" t="s">
        <v>4039</v>
      </c>
      <c r="W199" s="13"/>
      <c r="X199" s="13" t="s">
        <v>4397</v>
      </c>
      <c r="Y199" s="13" t="s">
        <v>3980</v>
      </c>
      <c r="Z199" s="13" t="s">
        <v>3980</v>
      </c>
      <c r="AC199" s="18"/>
      <c r="AD199" s="18"/>
      <c r="AE199" s="18"/>
    </row>
    <row r="200" spans="1:31" x14ac:dyDescent="0.25">
      <c r="A200" t="s">
        <v>2714</v>
      </c>
      <c r="B200" s="30">
        <v>1993</v>
      </c>
      <c r="C200" s="13">
        <v>606</v>
      </c>
      <c r="D200" s="14">
        <v>0.60399999999999998</v>
      </c>
      <c r="E200" s="14">
        <v>0.69</v>
      </c>
      <c r="F200" s="13">
        <v>12</v>
      </c>
      <c r="G200" s="14">
        <v>0.60899999999999999</v>
      </c>
      <c r="I200" s="26" t="s">
        <v>128</v>
      </c>
      <c r="J200" s="18" t="s">
        <v>54</v>
      </c>
      <c r="K200" s="4"/>
      <c r="L200" s="9">
        <f>B200</f>
        <v>1993</v>
      </c>
      <c r="N200" s="30" t="s">
        <v>765</v>
      </c>
      <c r="O200" s="13" t="s">
        <v>28</v>
      </c>
      <c r="P200" s="13">
        <f t="shared" si="7"/>
        <v>25</v>
      </c>
      <c r="Q200" s="15">
        <f t="shared" si="8"/>
        <v>24.24</v>
      </c>
      <c r="R200" s="13" t="s">
        <v>2715</v>
      </c>
      <c r="S200" s="13"/>
      <c r="T200" s="13" t="s">
        <v>2716</v>
      </c>
      <c r="U200" s="13"/>
      <c r="V200" s="13" t="s">
        <v>3980</v>
      </c>
      <c r="W200" s="13"/>
      <c r="X200" s="13" t="s">
        <v>3980</v>
      </c>
      <c r="Y200" s="13" t="s">
        <v>3980</v>
      </c>
      <c r="Z200" s="13" t="s">
        <v>3980</v>
      </c>
      <c r="AC200" s="18"/>
      <c r="AD200" s="18"/>
      <c r="AE200" s="18"/>
    </row>
    <row r="201" spans="1:31" x14ac:dyDescent="0.25">
      <c r="A201" t="s">
        <v>2613</v>
      </c>
      <c r="B201" s="30">
        <v>2006</v>
      </c>
      <c r="C201" s="13">
        <v>130</v>
      </c>
      <c r="D201" s="14">
        <v>0.309</v>
      </c>
      <c r="E201" s="14">
        <v>0.29199999999999998</v>
      </c>
      <c r="F201" s="13">
        <v>8</v>
      </c>
      <c r="G201" s="14">
        <v>0.434</v>
      </c>
      <c r="I201" s="26" t="s">
        <v>128</v>
      </c>
      <c r="J201" s="18" t="s">
        <v>54</v>
      </c>
      <c r="K201" s="4"/>
      <c r="L201" s="9">
        <v>2006</v>
      </c>
      <c r="N201" s="30" t="s">
        <v>259</v>
      </c>
      <c r="O201" s="13" t="s">
        <v>28</v>
      </c>
      <c r="P201" s="13">
        <f t="shared" si="7"/>
        <v>12</v>
      </c>
      <c r="Q201" s="15">
        <f t="shared" si="8"/>
        <v>10.833333333333334</v>
      </c>
      <c r="R201" s="13" t="s">
        <v>527</v>
      </c>
      <c r="S201" s="13"/>
      <c r="T201" s="13" t="s">
        <v>2614</v>
      </c>
      <c r="U201" s="13" t="s">
        <v>2615</v>
      </c>
      <c r="V201" s="13" t="s">
        <v>3980</v>
      </c>
      <c r="W201" s="13"/>
      <c r="X201" s="13" t="s">
        <v>4398</v>
      </c>
      <c r="Y201" s="13" t="s">
        <v>3980</v>
      </c>
      <c r="Z201" s="13" t="s">
        <v>3980</v>
      </c>
      <c r="AC201" s="18"/>
      <c r="AD201" s="18"/>
      <c r="AE201" s="18"/>
    </row>
    <row r="202" spans="1:31" x14ac:dyDescent="0.25">
      <c r="A202" t="s">
        <v>127</v>
      </c>
      <c r="B202" s="30">
        <v>1999</v>
      </c>
      <c r="C202" s="13">
        <v>4990</v>
      </c>
      <c r="D202" s="14">
        <v>0.94599999999999995</v>
      </c>
      <c r="E202" s="14">
        <v>0.879</v>
      </c>
      <c r="F202" s="13">
        <v>37</v>
      </c>
      <c r="G202" s="14">
        <v>0.96899999999999997</v>
      </c>
      <c r="H202" s="18" t="s">
        <v>3179</v>
      </c>
      <c r="I202" s="26" t="s">
        <v>128</v>
      </c>
      <c r="J202" s="4" t="s">
        <v>26</v>
      </c>
      <c r="K202" s="4"/>
      <c r="L202" s="9">
        <v>1999</v>
      </c>
      <c r="N202" s="30" t="s">
        <v>129</v>
      </c>
      <c r="O202" s="13" t="s">
        <v>28</v>
      </c>
      <c r="P202" s="13">
        <f t="shared" si="7"/>
        <v>19</v>
      </c>
      <c r="Q202" s="15">
        <f t="shared" si="8"/>
        <v>262.63157894736844</v>
      </c>
      <c r="R202" s="13" t="s">
        <v>130</v>
      </c>
      <c r="S202" s="13"/>
      <c r="T202" s="13" t="s">
        <v>131</v>
      </c>
      <c r="U202" s="13" t="s">
        <v>132</v>
      </c>
      <c r="V202" s="13" t="s">
        <v>4040</v>
      </c>
      <c r="W202" s="13"/>
      <c r="X202" s="13" t="s">
        <v>3980</v>
      </c>
      <c r="Y202" s="13" t="s">
        <v>3980</v>
      </c>
      <c r="Z202" s="13" t="s">
        <v>3980</v>
      </c>
      <c r="AC202" s="18"/>
      <c r="AD202" s="18"/>
      <c r="AE202" s="18"/>
    </row>
    <row r="203" spans="1:31" x14ac:dyDescent="0.25">
      <c r="A203" t="s">
        <v>1247</v>
      </c>
      <c r="B203" s="30">
        <v>2014</v>
      </c>
      <c r="C203" s="13">
        <v>859</v>
      </c>
      <c r="D203" s="14">
        <v>0.67300000000000004</v>
      </c>
      <c r="E203" s="14">
        <v>0.95399999999999996</v>
      </c>
      <c r="F203" s="13">
        <v>11</v>
      </c>
      <c r="G203" s="14">
        <v>0.56000000000000005</v>
      </c>
      <c r="H203" s="18" t="s">
        <v>3470</v>
      </c>
      <c r="I203" s="26" t="s">
        <v>128</v>
      </c>
      <c r="J203" s="4" t="s">
        <v>105</v>
      </c>
      <c r="K203" s="4"/>
      <c r="L203" s="9">
        <f>B203</f>
        <v>2014</v>
      </c>
      <c r="N203" s="30" t="s">
        <v>1266</v>
      </c>
      <c r="O203" s="13" t="s">
        <v>28</v>
      </c>
      <c r="P203" s="13">
        <f t="shared" si="7"/>
        <v>4</v>
      </c>
      <c r="Q203" s="15">
        <f t="shared" si="8"/>
        <v>214.75</v>
      </c>
      <c r="R203" s="13" t="s">
        <v>173</v>
      </c>
      <c r="S203" s="13"/>
      <c r="T203" s="13" t="s">
        <v>1248</v>
      </c>
      <c r="U203" s="13"/>
      <c r="V203" s="13" t="s">
        <v>3980</v>
      </c>
      <c r="W203" s="13"/>
      <c r="X203" s="13" t="s">
        <v>3980</v>
      </c>
      <c r="Y203" s="13" t="s">
        <v>3980</v>
      </c>
      <c r="Z203" s="13" t="s">
        <v>3980</v>
      </c>
      <c r="AC203" s="18"/>
      <c r="AD203" s="18"/>
      <c r="AE203" s="18"/>
    </row>
    <row r="204" spans="1:31" x14ac:dyDescent="0.25">
      <c r="A204" t="s">
        <v>4837</v>
      </c>
      <c r="B204" s="30">
        <v>2009</v>
      </c>
      <c r="C204" s="13">
        <v>310</v>
      </c>
      <c r="D204" s="14">
        <v>0.45100000000000001</v>
      </c>
      <c r="E204" s="14">
        <v>0.76400000000000001</v>
      </c>
      <c r="F204" s="13">
        <v>7</v>
      </c>
      <c r="G204" s="14">
        <v>0.39300000000000002</v>
      </c>
      <c r="H204" s="18" t="s">
        <v>3196</v>
      </c>
      <c r="I204" s="26" t="s">
        <v>212</v>
      </c>
      <c r="J204" s="4" t="s">
        <v>105</v>
      </c>
      <c r="K204" s="4"/>
      <c r="L204" s="9">
        <v>2009</v>
      </c>
      <c r="N204" s="30" t="s">
        <v>213</v>
      </c>
      <c r="O204" s="13" t="s">
        <v>42</v>
      </c>
      <c r="P204" s="13">
        <f t="shared" si="7"/>
        <v>9</v>
      </c>
      <c r="Q204" s="15">
        <f t="shared" si="8"/>
        <v>34.444444444444443</v>
      </c>
      <c r="R204" s="13" t="s">
        <v>214</v>
      </c>
      <c r="S204" s="13" t="s">
        <v>215</v>
      </c>
      <c r="T204" s="13" t="s">
        <v>216</v>
      </c>
      <c r="U204" s="13" t="s">
        <v>217</v>
      </c>
      <c r="V204" s="13" t="s">
        <v>3980</v>
      </c>
      <c r="W204" s="13"/>
      <c r="X204" s="13" t="s">
        <v>4399</v>
      </c>
      <c r="Y204" s="13" t="s">
        <v>3980</v>
      </c>
      <c r="Z204" s="13" t="s">
        <v>3980</v>
      </c>
      <c r="AC204" s="18"/>
      <c r="AD204" s="18"/>
      <c r="AE204" s="18"/>
    </row>
    <row r="205" spans="1:31" x14ac:dyDescent="0.25">
      <c r="A205" t="s">
        <v>1837</v>
      </c>
      <c r="B205" s="30">
        <v>2003</v>
      </c>
      <c r="C205" s="13">
        <v>301</v>
      </c>
      <c r="D205" s="14">
        <v>0.44700000000000001</v>
      </c>
      <c r="E205" s="14">
        <v>0.45200000000000001</v>
      </c>
      <c r="F205" s="13">
        <v>8</v>
      </c>
      <c r="G205" s="14">
        <v>0.434</v>
      </c>
      <c r="I205" s="26" t="s">
        <v>212</v>
      </c>
      <c r="J205" s="18" t="s">
        <v>54</v>
      </c>
      <c r="K205" s="4"/>
      <c r="L205" s="9">
        <v>2003</v>
      </c>
      <c r="N205" s="30" t="s">
        <v>385</v>
      </c>
      <c r="O205" s="13" t="s">
        <v>28</v>
      </c>
      <c r="P205" s="13">
        <f t="shared" si="7"/>
        <v>15</v>
      </c>
      <c r="Q205" s="15">
        <f t="shared" si="8"/>
        <v>20.066666666666666</v>
      </c>
      <c r="R205" s="13" t="s">
        <v>173</v>
      </c>
      <c r="S205" s="13"/>
      <c r="T205" s="13" t="s">
        <v>1838</v>
      </c>
      <c r="U205" s="13" t="s">
        <v>1839</v>
      </c>
      <c r="V205" s="13" t="s">
        <v>4041</v>
      </c>
      <c r="W205" s="13"/>
      <c r="X205" s="13" t="s">
        <v>4400</v>
      </c>
      <c r="Y205" s="13" t="s">
        <v>3980</v>
      </c>
      <c r="Z205" s="13" t="s">
        <v>3980</v>
      </c>
      <c r="AC205" s="18"/>
      <c r="AD205" s="18"/>
      <c r="AE205" s="18"/>
    </row>
    <row r="206" spans="1:31" x14ac:dyDescent="0.25">
      <c r="A206" t="s">
        <v>2627</v>
      </c>
      <c r="B206" s="30">
        <v>2017</v>
      </c>
      <c r="C206" s="8">
        <v>94</v>
      </c>
      <c r="D206" s="14">
        <v>0.254</v>
      </c>
      <c r="E206" s="14">
        <v>0.48399999999999999</v>
      </c>
      <c r="F206" s="8">
        <v>6</v>
      </c>
      <c r="G206" s="14">
        <v>0.32200000000000001</v>
      </c>
      <c r="H206" s="18" t="s">
        <v>4827</v>
      </c>
      <c r="I206" s="26" t="s">
        <v>564</v>
      </c>
      <c r="J206" s="18" t="s">
        <v>105</v>
      </c>
      <c r="L206" s="9">
        <f>B206</f>
        <v>2017</v>
      </c>
      <c r="N206" s="28" t="s">
        <v>3089</v>
      </c>
      <c r="O206" s="13" t="s">
        <v>28</v>
      </c>
      <c r="P206" s="13">
        <f t="shared" si="7"/>
        <v>1</v>
      </c>
      <c r="Q206" s="15">
        <f t="shared" si="8"/>
        <v>94</v>
      </c>
      <c r="R206" s="18" t="s">
        <v>3766</v>
      </c>
      <c r="T206" s="18" t="s">
        <v>3767</v>
      </c>
      <c r="V206" s="18" t="s">
        <v>3980</v>
      </c>
      <c r="X206" s="18" t="s">
        <v>3980</v>
      </c>
      <c r="Y206" s="18" t="s">
        <v>3980</v>
      </c>
      <c r="Z206" s="18" t="s">
        <v>3980</v>
      </c>
      <c r="AC206" s="18"/>
      <c r="AD206" s="18"/>
      <c r="AE206" s="18"/>
    </row>
    <row r="207" spans="1:31" x14ac:dyDescent="0.25">
      <c r="A207" s="18" t="s">
        <v>578</v>
      </c>
      <c r="B207" s="30">
        <v>2003</v>
      </c>
      <c r="C207" s="13">
        <v>1082</v>
      </c>
      <c r="D207" s="14">
        <v>0.71799999999999997</v>
      </c>
      <c r="E207" s="14">
        <v>0.82799999999999996</v>
      </c>
      <c r="F207" s="13">
        <v>15</v>
      </c>
      <c r="G207" s="14">
        <v>0.71</v>
      </c>
      <c r="H207" s="18" t="s">
        <v>3284</v>
      </c>
      <c r="I207" s="26" t="s">
        <v>564</v>
      </c>
      <c r="J207" s="18" t="s">
        <v>54</v>
      </c>
      <c r="K207" s="4"/>
      <c r="L207" s="9">
        <v>2003</v>
      </c>
      <c r="M207" s="11"/>
      <c r="N207" s="30" t="s">
        <v>123</v>
      </c>
      <c r="O207" s="13" t="s">
        <v>42</v>
      </c>
      <c r="P207" s="13">
        <f t="shared" si="7"/>
        <v>15</v>
      </c>
      <c r="Q207" s="15">
        <f t="shared" si="8"/>
        <v>72.13333333333334</v>
      </c>
      <c r="R207" s="13" t="s">
        <v>579</v>
      </c>
      <c r="S207" s="13"/>
      <c r="T207" s="13" t="s">
        <v>485</v>
      </c>
      <c r="U207" s="13" t="s">
        <v>580</v>
      </c>
      <c r="V207" s="13" t="s">
        <v>3980</v>
      </c>
      <c r="W207" s="13"/>
      <c r="X207" s="13" t="s">
        <v>4401</v>
      </c>
      <c r="Y207" s="13" t="s">
        <v>3980</v>
      </c>
      <c r="Z207" s="13" t="s">
        <v>3980</v>
      </c>
      <c r="AC207" s="18"/>
      <c r="AD207" s="18"/>
      <c r="AE207" s="18"/>
    </row>
    <row r="208" spans="1:31" x14ac:dyDescent="0.25">
      <c r="A208" t="s">
        <v>601</v>
      </c>
      <c r="B208" s="30">
        <v>2009</v>
      </c>
      <c r="C208" s="13">
        <v>508</v>
      </c>
      <c r="D208" s="14">
        <v>0.55800000000000005</v>
      </c>
      <c r="E208" s="14">
        <v>0.61799999999999999</v>
      </c>
      <c r="F208" s="13">
        <v>9</v>
      </c>
      <c r="G208" s="14">
        <v>0.48799999999999999</v>
      </c>
      <c r="H208" s="18" t="s">
        <v>3290</v>
      </c>
      <c r="I208" s="26" t="s">
        <v>564</v>
      </c>
      <c r="J208" s="18" t="s">
        <v>54</v>
      </c>
      <c r="L208" s="9">
        <v>2009</v>
      </c>
      <c r="N208" s="30" t="s">
        <v>123</v>
      </c>
      <c r="O208" s="13" t="s">
        <v>42</v>
      </c>
      <c r="P208" s="13">
        <f t="shared" si="7"/>
        <v>9</v>
      </c>
      <c r="Q208" s="15">
        <f t="shared" si="8"/>
        <v>56.444444444444443</v>
      </c>
      <c r="R208" s="13" t="s">
        <v>602</v>
      </c>
      <c r="S208" s="13"/>
      <c r="T208" s="13" t="s">
        <v>603</v>
      </c>
      <c r="U208" s="13" t="s">
        <v>604</v>
      </c>
      <c r="V208" s="13" t="s">
        <v>3980</v>
      </c>
      <c r="W208" s="13"/>
      <c r="X208" s="13" t="s">
        <v>4402</v>
      </c>
      <c r="Y208" s="13" t="s">
        <v>3980</v>
      </c>
      <c r="Z208" s="13" t="s">
        <v>3980</v>
      </c>
      <c r="AC208" s="18"/>
      <c r="AD208" s="18"/>
      <c r="AE208" s="18"/>
    </row>
    <row r="209" spans="1:31" x14ac:dyDescent="0.25">
      <c r="A209" t="s">
        <v>5140</v>
      </c>
      <c r="B209" s="30">
        <v>1994</v>
      </c>
      <c r="C209" s="13">
        <v>369</v>
      </c>
      <c r="D209" s="14">
        <v>0.48299999999999998</v>
      </c>
      <c r="E209" s="14">
        <v>0.25700000000000001</v>
      </c>
      <c r="F209" s="13">
        <v>10</v>
      </c>
      <c r="G209" s="14">
        <v>0.52200000000000002</v>
      </c>
      <c r="H209" s="18" t="s">
        <v>3281</v>
      </c>
      <c r="I209" s="26" t="s">
        <v>564</v>
      </c>
      <c r="J209" s="18" t="s">
        <v>26</v>
      </c>
      <c r="L209" s="9">
        <v>1994</v>
      </c>
      <c r="N209" s="30" t="s">
        <v>565</v>
      </c>
      <c r="O209" s="13" t="s">
        <v>28</v>
      </c>
      <c r="P209" s="13">
        <f t="shared" si="7"/>
        <v>24</v>
      </c>
      <c r="Q209" s="15">
        <f t="shared" si="8"/>
        <v>15.375</v>
      </c>
      <c r="R209" s="13" t="s">
        <v>566</v>
      </c>
      <c r="S209" s="13" t="s">
        <v>567</v>
      </c>
      <c r="T209" s="13" t="s">
        <v>568</v>
      </c>
      <c r="U209" s="13" t="s">
        <v>569</v>
      </c>
      <c r="V209" s="13" t="s">
        <v>4042</v>
      </c>
      <c r="W209" s="13"/>
      <c r="X209" s="13" t="s">
        <v>3980</v>
      </c>
      <c r="Y209" s="13" t="s">
        <v>3980</v>
      </c>
      <c r="Z209" s="13" t="s">
        <v>3980</v>
      </c>
      <c r="AC209" s="18"/>
      <c r="AD209" s="18"/>
      <c r="AE209" s="18"/>
    </row>
    <row r="210" spans="1:31" x14ac:dyDescent="0.25">
      <c r="A210" s="18" t="s">
        <v>1373</v>
      </c>
      <c r="B210" s="30">
        <v>2013</v>
      </c>
      <c r="C210" s="13">
        <v>100</v>
      </c>
      <c r="D210" s="14">
        <v>0.26300000000000001</v>
      </c>
      <c r="E210" s="14">
        <v>0.505</v>
      </c>
      <c r="F210" s="13">
        <v>6</v>
      </c>
      <c r="G210" s="14">
        <v>0.32200000000000001</v>
      </c>
      <c r="H210" s="18" t="s">
        <v>3507</v>
      </c>
      <c r="I210" s="26" t="s">
        <v>564</v>
      </c>
      <c r="J210" s="4" t="s">
        <v>105</v>
      </c>
      <c r="L210" s="9">
        <v>2013</v>
      </c>
      <c r="N210" s="30" t="s">
        <v>565</v>
      </c>
      <c r="O210" s="13" t="s">
        <v>28</v>
      </c>
      <c r="P210" s="13">
        <f t="shared" si="7"/>
        <v>5</v>
      </c>
      <c r="Q210" s="15">
        <f t="shared" si="8"/>
        <v>20</v>
      </c>
      <c r="R210" s="13" t="s">
        <v>1374</v>
      </c>
      <c r="S210" s="13"/>
      <c r="T210" s="13" t="s">
        <v>1375</v>
      </c>
      <c r="U210" s="13"/>
      <c r="V210" s="13" t="s">
        <v>3980</v>
      </c>
      <c r="W210" s="13"/>
      <c r="X210" s="13" t="s">
        <v>4403</v>
      </c>
      <c r="Y210" s="13" t="s">
        <v>3980</v>
      </c>
      <c r="Z210" s="13" t="s">
        <v>3980</v>
      </c>
      <c r="AC210" s="18"/>
      <c r="AD210" s="18"/>
      <c r="AE210" s="18"/>
    </row>
    <row r="211" spans="1:31" x14ac:dyDescent="0.25">
      <c r="A211" s="18" t="s">
        <v>5042</v>
      </c>
      <c r="B211" s="30">
        <v>1998</v>
      </c>
      <c r="C211" s="13">
        <v>559</v>
      </c>
      <c r="D211" s="14">
        <v>0.58299999999999996</v>
      </c>
      <c r="E211" s="14">
        <v>0.66100000000000003</v>
      </c>
      <c r="F211" s="13">
        <v>8</v>
      </c>
      <c r="G211" s="14">
        <v>0.434</v>
      </c>
      <c r="I211" s="26" t="s">
        <v>564</v>
      </c>
      <c r="J211" s="18" t="s">
        <v>54</v>
      </c>
      <c r="K211" s="4"/>
      <c r="L211" s="9">
        <v>1998</v>
      </c>
      <c r="N211" s="30" t="s">
        <v>564</v>
      </c>
      <c r="O211" s="13" t="s">
        <v>42</v>
      </c>
      <c r="P211" s="13">
        <f t="shared" si="7"/>
        <v>20</v>
      </c>
      <c r="Q211" s="15">
        <f t="shared" si="8"/>
        <v>27.95</v>
      </c>
      <c r="R211" s="13" t="s">
        <v>1357</v>
      </c>
      <c r="S211" s="13" t="s">
        <v>669</v>
      </c>
      <c r="T211" s="13" t="s">
        <v>2647</v>
      </c>
      <c r="U211" s="13" t="s">
        <v>2648</v>
      </c>
      <c r="V211" s="13" t="s">
        <v>3980</v>
      </c>
      <c r="W211" s="13"/>
      <c r="X211" s="13" t="s">
        <v>4404</v>
      </c>
      <c r="Y211" s="13" t="s">
        <v>3980</v>
      </c>
      <c r="Z211" s="13" t="s">
        <v>3980</v>
      </c>
      <c r="AC211" s="18"/>
      <c r="AD211" s="18"/>
      <c r="AE211" s="18"/>
    </row>
    <row r="212" spans="1:31" x14ac:dyDescent="0.25">
      <c r="A212" s="18" t="s">
        <v>2357</v>
      </c>
      <c r="B212" s="30">
        <v>1985</v>
      </c>
      <c r="C212" s="8">
        <v>2152</v>
      </c>
      <c r="D212" s="14">
        <v>0.84899999999999998</v>
      </c>
      <c r="E212" s="14">
        <v>0.67100000000000004</v>
      </c>
      <c r="F212" s="8">
        <v>28</v>
      </c>
      <c r="G212" s="14">
        <v>0.91800000000000004</v>
      </c>
      <c r="H212" s="18" t="s">
        <v>3611</v>
      </c>
      <c r="I212" s="26" t="s">
        <v>564</v>
      </c>
      <c r="J212" s="18" t="s">
        <v>26</v>
      </c>
      <c r="L212" s="9">
        <f>B212</f>
        <v>1985</v>
      </c>
      <c r="N212" s="28" t="s">
        <v>1255</v>
      </c>
      <c r="O212" s="13" t="s">
        <v>42</v>
      </c>
      <c r="P212" s="13">
        <f t="shared" si="7"/>
        <v>33</v>
      </c>
      <c r="Q212" s="15">
        <f t="shared" si="8"/>
        <v>65.212121212121218</v>
      </c>
      <c r="R212" s="18" t="s">
        <v>766</v>
      </c>
      <c r="T212" s="18" t="s">
        <v>3834</v>
      </c>
      <c r="V212" s="18" t="s">
        <v>3980</v>
      </c>
      <c r="X212" s="18" t="s">
        <v>3980</v>
      </c>
      <c r="Y212" s="18" t="s">
        <v>3980</v>
      </c>
      <c r="Z212" s="18" t="s">
        <v>3980</v>
      </c>
      <c r="AC212" s="18"/>
      <c r="AD212" s="18"/>
      <c r="AE212" s="18"/>
    </row>
    <row r="213" spans="1:31" x14ac:dyDescent="0.25">
      <c r="A213" s="18" t="s">
        <v>4906</v>
      </c>
      <c r="B213" s="30">
        <v>1981</v>
      </c>
      <c r="C213" s="13">
        <v>37</v>
      </c>
      <c r="D213" s="14">
        <v>0.14599999999999999</v>
      </c>
      <c r="E213" s="14">
        <v>7.1999999999999995E-2</v>
      </c>
      <c r="F213" s="13">
        <v>3</v>
      </c>
      <c r="G213" s="14">
        <v>0.13100000000000001</v>
      </c>
      <c r="H213" s="18" t="s">
        <v>4824</v>
      </c>
      <c r="I213" s="26" t="s">
        <v>564</v>
      </c>
      <c r="J213" s="18" t="s">
        <v>26</v>
      </c>
      <c r="L213" s="9">
        <v>1981</v>
      </c>
      <c r="N213" s="30" t="s">
        <v>111</v>
      </c>
      <c r="O213" s="13" t="s">
        <v>28</v>
      </c>
      <c r="P213" s="13">
        <f t="shared" si="7"/>
        <v>37</v>
      </c>
      <c r="Q213" s="15">
        <f t="shared" si="8"/>
        <v>1</v>
      </c>
      <c r="R213" s="13" t="s">
        <v>305</v>
      </c>
      <c r="S213" s="13" t="s">
        <v>62</v>
      </c>
      <c r="T213" s="13" t="s">
        <v>1930</v>
      </c>
      <c r="U213" s="13" t="s">
        <v>1931</v>
      </c>
      <c r="V213" s="13" t="s">
        <v>3980</v>
      </c>
      <c r="W213" s="13"/>
      <c r="X213" s="13" t="s">
        <v>4405</v>
      </c>
      <c r="Y213" s="13" t="s">
        <v>3980</v>
      </c>
      <c r="Z213" s="13" t="s">
        <v>3980</v>
      </c>
      <c r="AC213" s="18"/>
      <c r="AD213" s="18"/>
      <c r="AE213" s="18"/>
    </row>
    <row r="214" spans="1:31" x14ac:dyDescent="0.25">
      <c r="A214" s="18" t="s">
        <v>5014</v>
      </c>
      <c r="B214" s="30">
        <v>1987</v>
      </c>
      <c r="C214" s="13">
        <v>465</v>
      </c>
      <c r="D214" s="14">
        <v>0.53800000000000003</v>
      </c>
      <c r="E214" s="14">
        <v>0.29299999999999998</v>
      </c>
      <c r="F214" s="13">
        <v>9</v>
      </c>
      <c r="G214" s="14">
        <v>0.48799999999999999</v>
      </c>
      <c r="I214" s="26" t="s">
        <v>564</v>
      </c>
      <c r="J214" s="18" t="s">
        <v>26</v>
      </c>
      <c r="L214" s="9">
        <v>1987</v>
      </c>
      <c r="N214" s="30" t="s">
        <v>220</v>
      </c>
      <c r="O214" s="13" t="s">
        <v>28</v>
      </c>
      <c r="P214" s="13">
        <f t="shared" si="7"/>
        <v>31</v>
      </c>
      <c r="Q214" s="15">
        <f t="shared" si="8"/>
        <v>15</v>
      </c>
      <c r="R214" s="13" t="s">
        <v>746</v>
      </c>
      <c r="S214" s="13" t="s">
        <v>2469</v>
      </c>
      <c r="T214" s="13" t="s">
        <v>407</v>
      </c>
      <c r="U214" s="13" t="s">
        <v>2470</v>
      </c>
      <c r="V214" s="13" t="s">
        <v>3980</v>
      </c>
      <c r="W214" s="13"/>
      <c r="X214" s="13" t="s">
        <v>4406</v>
      </c>
      <c r="Y214" s="13" t="s">
        <v>3980</v>
      </c>
      <c r="Z214" s="13" t="s">
        <v>3980</v>
      </c>
      <c r="AC214" s="18"/>
      <c r="AD214" s="18"/>
      <c r="AE214" s="18"/>
    </row>
    <row r="215" spans="1:31" x14ac:dyDescent="0.25">
      <c r="A215" s="18" t="s">
        <v>1408</v>
      </c>
      <c r="B215" s="30">
        <v>1999</v>
      </c>
      <c r="C215" s="13">
        <v>276</v>
      </c>
      <c r="D215" s="14">
        <v>0.434</v>
      </c>
      <c r="E215" s="14">
        <v>0.23</v>
      </c>
      <c r="F215" s="13">
        <v>8</v>
      </c>
      <c r="G215" s="14">
        <v>0.434</v>
      </c>
      <c r="H215" s="18" t="s">
        <v>3520</v>
      </c>
      <c r="I215" s="26" t="s">
        <v>1409</v>
      </c>
      <c r="J215" s="18" t="s">
        <v>26</v>
      </c>
      <c r="L215" s="9">
        <v>1999</v>
      </c>
      <c r="N215" s="30" t="s">
        <v>157</v>
      </c>
      <c r="O215" s="13" t="s">
        <v>28</v>
      </c>
      <c r="P215" s="13">
        <f t="shared" si="7"/>
        <v>19</v>
      </c>
      <c r="Q215" s="15">
        <f t="shared" si="8"/>
        <v>14.526315789473685</v>
      </c>
      <c r="R215" s="13" t="s">
        <v>1410</v>
      </c>
      <c r="S215" s="13"/>
      <c r="T215" s="13" t="s">
        <v>1411</v>
      </c>
      <c r="U215" s="13" t="s">
        <v>1412</v>
      </c>
      <c r="V215" s="13" t="s">
        <v>4043</v>
      </c>
      <c r="W215" s="13"/>
      <c r="X215" s="13" t="s">
        <v>4407</v>
      </c>
      <c r="Y215" s="13" t="s">
        <v>3980</v>
      </c>
      <c r="Z215" s="13" t="s">
        <v>3980</v>
      </c>
      <c r="AC215" s="18"/>
      <c r="AD215" s="18"/>
      <c r="AE215" s="18"/>
    </row>
    <row r="216" spans="1:31" x14ac:dyDescent="0.25">
      <c r="A216" s="18" t="s">
        <v>2100</v>
      </c>
      <c r="B216" s="30">
        <v>1997</v>
      </c>
      <c r="C216" s="13">
        <v>1</v>
      </c>
      <c r="D216" s="14">
        <v>0</v>
      </c>
      <c r="E216" s="14">
        <v>0</v>
      </c>
      <c r="F216" s="13">
        <v>1</v>
      </c>
      <c r="G216" s="14">
        <v>0</v>
      </c>
      <c r="I216" s="26" t="s">
        <v>1409</v>
      </c>
      <c r="J216" s="4" t="s">
        <v>26</v>
      </c>
      <c r="L216" s="9">
        <f>B216</f>
        <v>1997</v>
      </c>
      <c r="N216" s="30" t="s">
        <v>759</v>
      </c>
      <c r="O216" s="13" t="s">
        <v>42</v>
      </c>
      <c r="P216" s="13">
        <f t="shared" si="7"/>
        <v>21</v>
      </c>
      <c r="Q216" s="15">
        <f t="shared" si="8"/>
        <v>4.7619047619047616E-2</v>
      </c>
      <c r="R216" s="13" t="s">
        <v>2101</v>
      </c>
      <c r="S216" s="13"/>
      <c r="T216" s="13" t="s">
        <v>2102</v>
      </c>
      <c r="U216" s="13"/>
      <c r="V216" s="13" t="s">
        <v>3980</v>
      </c>
      <c r="W216" s="13"/>
      <c r="X216" s="13" t="s">
        <v>3980</v>
      </c>
      <c r="Y216" s="13" t="s">
        <v>3980</v>
      </c>
      <c r="Z216" s="13" t="s">
        <v>3980</v>
      </c>
      <c r="AC216" s="18"/>
      <c r="AD216" s="18"/>
      <c r="AE216" s="18"/>
    </row>
    <row r="217" spans="1:31" x14ac:dyDescent="0.25">
      <c r="A217" s="18" t="s">
        <v>5085</v>
      </c>
      <c r="B217" s="30">
        <v>1997</v>
      </c>
      <c r="C217" s="13">
        <v>17</v>
      </c>
      <c r="D217" s="14">
        <v>9.1999999999999998E-2</v>
      </c>
      <c r="E217" s="14">
        <v>0.182</v>
      </c>
      <c r="F217" s="13">
        <v>2</v>
      </c>
      <c r="G217" s="14">
        <v>7.0999999999999994E-2</v>
      </c>
      <c r="I217" s="26" t="s">
        <v>1409</v>
      </c>
      <c r="J217" s="18" t="s">
        <v>105</v>
      </c>
      <c r="L217" s="9">
        <v>1997</v>
      </c>
      <c r="N217" s="30" t="s">
        <v>192</v>
      </c>
      <c r="O217" s="13" t="s">
        <v>28</v>
      </c>
      <c r="P217" s="13">
        <f t="shared" si="7"/>
        <v>21</v>
      </c>
      <c r="Q217" s="15">
        <f t="shared" si="8"/>
        <v>0.80952380952380953</v>
      </c>
      <c r="R217" s="13" t="s">
        <v>2817</v>
      </c>
      <c r="S217" s="13" t="s">
        <v>62</v>
      </c>
      <c r="T217" s="13" t="s">
        <v>2818</v>
      </c>
      <c r="U217" s="13" t="s">
        <v>2819</v>
      </c>
      <c r="V217" s="13" t="s">
        <v>4044</v>
      </c>
      <c r="W217" s="13"/>
      <c r="X217" s="13" t="s">
        <v>4408</v>
      </c>
      <c r="Y217" s="13" t="s">
        <v>3980</v>
      </c>
      <c r="Z217" s="13" t="s">
        <v>3980</v>
      </c>
      <c r="AC217" s="18"/>
      <c r="AD217" s="18"/>
      <c r="AE217" s="18"/>
    </row>
    <row r="218" spans="1:31" x14ac:dyDescent="0.25">
      <c r="A218" s="28" t="s">
        <v>4849</v>
      </c>
      <c r="B218" s="30">
        <v>2006</v>
      </c>
      <c r="C218" s="13">
        <v>17</v>
      </c>
      <c r="D218" s="14">
        <v>9.1999999999999998E-2</v>
      </c>
      <c r="E218" s="14">
        <v>3.7999999999999999E-2</v>
      </c>
      <c r="F218" s="13">
        <v>2</v>
      </c>
      <c r="G218" s="14">
        <v>7.0999999999999994E-2</v>
      </c>
      <c r="I218" s="26" t="s">
        <v>1409</v>
      </c>
      <c r="J218" s="18" t="s">
        <v>26</v>
      </c>
      <c r="L218" s="9">
        <v>2006</v>
      </c>
      <c r="N218" s="30" t="s">
        <v>1618</v>
      </c>
      <c r="O218" s="13" t="s">
        <v>42</v>
      </c>
      <c r="P218" s="13">
        <f t="shared" si="7"/>
        <v>12</v>
      </c>
      <c r="Q218" s="15">
        <f t="shared" si="8"/>
        <v>1.4166666666666667</v>
      </c>
      <c r="R218" s="13" t="s">
        <v>1619</v>
      </c>
      <c r="S218" s="13" t="s">
        <v>1620</v>
      </c>
      <c r="T218" s="13" t="s">
        <v>1621</v>
      </c>
      <c r="U218" s="13" t="s">
        <v>1622</v>
      </c>
      <c r="V218" s="13" t="s">
        <v>3980</v>
      </c>
      <c r="W218" s="13"/>
      <c r="X218" s="13" t="s">
        <v>4409</v>
      </c>
      <c r="Y218" s="13" t="s">
        <v>3980</v>
      </c>
      <c r="Z218" s="13" t="s">
        <v>3980</v>
      </c>
      <c r="AC218" s="18"/>
      <c r="AD218" s="18"/>
      <c r="AE218" s="18"/>
    </row>
    <row r="219" spans="1:31" x14ac:dyDescent="0.25">
      <c r="A219" s="18" t="s">
        <v>2401</v>
      </c>
      <c r="B219" s="30">
        <v>2012</v>
      </c>
      <c r="C219" s="13">
        <v>26</v>
      </c>
      <c r="D219" s="14">
        <v>0.11899999999999999</v>
      </c>
      <c r="E219" s="14">
        <v>0.23499999999999999</v>
      </c>
      <c r="F219" s="13">
        <v>2</v>
      </c>
      <c r="G219" s="14">
        <v>7.0999999999999994E-2</v>
      </c>
      <c r="I219" s="26" t="s">
        <v>1409</v>
      </c>
      <c r="J219" s="18" t="s">
        <v>105</v>
      </c>
      <c r="K219" s="4"/>
      <c r="L219" s="9">
        <f>B219</f>
        <v>2012</v>
      </c>
      <c r="M219" s="11"/>
      <c r="N219" s="30" t="s">
        <v>2593</v>
      </c>
      <c r="O219" s="13" t="s">
        <v>42</v>
      </c>
      <c r="P219" s="13">
        <f t="shared" si="7"/>
        <v>6</v>
      </c>
      <c r="Q219" s="15">
        <f t="shared" si="8"/>
        <v>4.333333333333333</v>
      </c>
      <c r="R219" s="13" t="s">
        <v>2402</v>
      </c>
      <c r="S219" s="13"/>
      <c r="T219" s="13" t="s">
        <v>2403</v>
      </c>
      <c r="U219" s="13"/>
      <c r="V219" s="13" t="s">
        <v>3980</v>
      </c>
      <c r="W219" s="13"/>
      <c r="X219" s="13" t="s">
        <v>3980</v>
      </c>
      <c r="Y219" s="13" t="s">
        <v>3980</v>
      </c>
      <c r="Z219" s="13" t="s">
        <v>3980</v>
      </c>
      <c r="AC219" s="18"/>
      <c r="AD219" s="18"/>
      <c r="AE219" s="18"/>
    </row>
    <row r="220" spans="1:31" x14ac:dyDescent="0.25">
      <c r="A220" s="18" t="s">
        <v>2564</v>
      </c>
      <c r="B220" s="30">
        <v>2000</v>
      </c>
      <c r="C220" s="13">
        <v>24</v>
      </c>
      <c r="D220" s="14">
        <v>0.107</v>
      </c>
      <c r="E220" s="14">
        <v>5.3999999999999999E-2</v>
      </c>
      <c r="F220" s="13">
        <v>2</v>
      </c>
      <c r="G220" s="14">
        <v>7.0999999999999994E-2</v>
      </c>
      <c r="I220" s="26" t="s">
        <v>1409</v>
      </c>
      <c r="J220" s="4" t="s">
        <v>26</v>
      </c>
      <c r="L220" s="9">
        <v>2000</v>
      </c>
      <c r="N220" s="30" t="s">
        <v>1618</v>
      </c>
      <c r="O220" s="13" t="s">
        <v>42</v>
      </c>
      <c r="P220" s="13">
        <f t="shared" si="7"/>
        <v>18</v>
      </c>
      <c r="Q220" s="15">
        <f t="shared" si="8"/>
        <v>1.3333333333333333</v>
      </c>
      <c r="R220" s="13" t="s">
        <v>2565</v>
      </c>
      <c r="S220" s="13"/>
      <c r="T220" s="13" t="s">
        <v>2566</v>
      </c>
      <c r="U220" s="13" t="s">
        <v>2567</v>
      </c>
      <c r="V220" s="13" t="s">
        <v>3980</v>
      </c>
      <c r="W220" s="13"/>
      <c r="X220" s="13" t="s">
        <v>4410</v>
      </c>
      <c r="Y220" s="13" t="s">
        <v>3980</v>
      </c>
      <c r="Z220" s="13" t="s">
        <v>3980</v>
      </c>
      <c r="AC220" s="18"/>
      <c r="AD220" s="18"/>
      <c r="AE220" s="18"/>
    </row>
    <row r="221" spans="1:31" x14ac:dyDescent="0.25">
      <c r="A221" s="18" t="s">
        <v>4990</v>
      </c>
      <c r="B221" s="30">
        <v>2017</v>
      </c>
      <c r="C221" s="8">
        <v>1</v>
      </c>
      <c r="D221" s="14">
        <v>0</v>
      </c>
      <c r="E221" s="14">
        <v>0</v>
      </c>
      <c r="F221" s="8">
        <v>1</v>
      </c>
      <c r="G221" s="14">
        <v>0</v>
      </c>
      <c r="I221" s="26" t="s">
        <v>2324</v>
      </c>
      <c r="J221" s="18" t="s">
        <v>105</v>
      </c>
      <c r="L221" s="9">
        <f>B221</f>
        <v>2017</v>
      </c>
      <c r="N221" s="28" t="s">
        <v>304</v>
      </c>
      <c r="O221" s="13" t="s">
        <v>42</v>
      </c>
      <c r="P221" s="13">
        <f t="shared" si="7"/>
        <v>1</v>
      </c>
      <c r="Q221" s="15">
        <f t="shared" si="8"/>
        <v>1</v>
      </c>
      <c r="R221" s="18" t="s">
        <v>3757</v>
      </c>
      <c r="T221" s="18" t="s">
        <v>3758</v>
      </c>
      <c r="V221" s="18" t="s">
        <v>3980</v>
      </c>
      <c r="X221" s="18" t="s">
        <v>3980</v>
      </c>
      <c r="Y221" s="18" t="s">
        <v>3980</v>
      </c>
      <c r="Z221" s="18" t="s">
        <v>3980</v>
      </c>
      <c r="AC221" s="18"/>
      <c r="AD221" s="18"/>
      <c r="AE221" s="18"/>
    </row>
    <row r="222" spans="1:31" x14ac:dyDescent="0.25">
      <c r="A222" s="18" t="s">
        <v>2707</v>
      </c>
      <c r="B222" s="30">
        <v>1995</v>
      </c>
      <c r="C222" s="13">
        <v>122</v>
      </c>
      <c r="D222" s="14">
        <v>0.29799999999999999</v>
      </c>
      <c r="E222" s="14">
        <v>0.14299999999999999</v>
      </c>
      <c r="F222" s="13">
        <v>4</v>
      </c>
      <c r="G222" s="14">
        <v>0.19600000000000001</v>
      </c>
      <c r="I222" s="26" t="s">
        <v>2324</v>
      </c>
      <c r="J222" s="18" t="s">
        <v>26</v>
      </c>
      <c r="L222" s="9">
        <v>1995</v>
      </c>
      <c r="N222" s="30" t="s">
        <v>106</v>
      </c>
      <c r="O222" s="13" t="s">
        <v>28</v>
      </c>
      <c r="P222" s="13">
        <f t="shared" si="7"/>
        <v>23</v>
      </c>
      <c r="Q222" s="15">
        <f t="shared" si="8"/>
        <v>5.3043478260869561</v>
      </c>
      <c r="R222" s="13" t="s">
        <v>2708</v>
      </c>
      <c r="S222" s="13"/>
      <c r="T222" s="13" t="s">
        <v>2709</v>
      </c>
      <c r="U222" s="13" t="s">
        <v>2710</v>
      </c>
      <c r="V222" s="13" t="s">
        <v>4045</v>
      </c>
      <c r="W222" s="13"/>
      <c r="X222" s="13" t="s">
        <v>4411</v>
      </c>
      <c r="Y222" s="13" t="s">
        <v>3980</v>
      </c>
      <c r="Z222" s="13" t="s">
        <v>3980</v>
      </c>
      <c r="AC222" s="18"/>
      <c r="AD222" s="18"/>
      <c r="AE222" s="18"/>
    </row>
    <row r="223" spans="1:31" x14ac:dyDescent="0.25">
      <c r="A223" s="18" t="s">
        <v>2805</v>
      </c>
      <c r="B223" s="30">
        <v>2010</v>
      </c>
      <c r="C223" s="8">
        <v>188</v>
      </c>
      <c r="D223" s="14">
        <v>0.373</v>
      </c>
      <c r="E223" s="14">
        <v>0.68</v>
      </c>
      <c r="F223" s="8">
        <v>5</v>
      </c>
      <c r="G223" s="14">
        <v>0.27400000000000002</v>
      </c>
      <c r="H223" s="18" t="s">
        <v>3656</v>
      </c>
      <c r="I223" s="26" t="s">
        <v>2324</v>
      </c>
      <c r="J223" s="4" t="s">
        <v>105</v>
      </c>
      <c r="L223" s="9">
        <f>B223</f>
        <v>2010</v>
      </c>
      <c r="N223" s="28" t="s">
        <v>162</v>
      </c>
      <c r="O223" s="13" t="s">
        <v>28</v>
      </c>
      <c r="P223" s="13">
        <f t="shared" si="7"/>
        <v>8</v>
      </c>
      <c r="Q223" s="15">
        <f t="shared" si="8"/>
        <v>23.5</v>
      </c>
      <c r="R223" s="18" t="s">
        <v>2802</v>
      </c>
      <c r="T223" s="18" t="s">
        <v>3711</v>
      </c>
      <c r="V223" s="18" t="s">
        <v>3980</v>
      </c>
      <c r="X223" s="18" t="s">
        <v>3980</v>
      </c>
      <c r="Y223" s="18" t="s">
        <v>3980</v>
      </c>
      <c r="Z223" s="18" t="s">
        <v>3980</v>
      </c>
      <c r="AC223" s="18"/>
      <c r="AD223" s="18"/>
      <c r="AE223" s="18"/>
    </row>
    <row r="224" spans="1:31" x14ac:dyDescent="0.25">
      <c r="A224" s="18" t="s">
        <v>2651</v>
      </c>
      <c r="B224" s="30">
        <v>1988</v>
      </c>
      <c r="C224" s="13">
        <v>245</v>
      </c>
      <c r="D224" s="14">
        <v>0.41</v>
      </c>
      <c r="E224" s="14">
        <v>0.20699999999999999</v>
      </c>
      <c r="F224" s="13">
        <v>11</v>
      </c>
      <c r="G224" s="14">
        <v>0.56000000000000005</v>
      </c>
      <c r="I224" s="26" t="s">
        <v>2324</v>
      </c>
      <c r="J224" s="18" t="s">
        <v>26</v>
      </c>
      <c r="L224" s="9">
        <v>1988</v>
      </c>
      <c r="N224" s="30" t="s">
        <v>40</v>
      </c>
      <c r="O224" s="13" t="s">
        <v>28</v>
      </c>
      <c r="P224" s="13">
        <f t="shared" si="7"/>
        <v>30</v>
      </c>
      <c r="Q224" s="15">
        <f t="shared" si="8"/>
        <v>8.1666666666666661</v>
      </c>
      <c r="R224" s="13" t="s">
        <v>260</v>
      </c>
      <c r="S224" s="13"/>
      <c r="T224" s="13" t="s">
        <v>2652</v>
      </c>
      <c r="U224" s="13" t="s">
        <v>2653</v>
      </c>
      <c r="V224" s="13" t="s">
        <v>3980</v>
      </c>
      <c r="W224" s="13"/>
      <c r="X224" s="13" t="s">
        <v>4412</v>
      </c>
      <c r="Y224" s="13" t="s">
        <v>3980</v>
      </c>
      <c r="Z224" s="13" t="s">
        <v>3980</v>
      </c>
      <c r="AC224" s="18"/>
      <c r="AD224" s="18"/>
      <c r="AE224" s="18"/>
    </row>
    <row r="225" spans="1:31" x14ac:dyDescent="0.25">
      <c r="A225" s="18" t="s">
        <v>1289</v>
      </c>
      <c r="B225" s="30">
        <v>2013</v>
      </c>
      <c r="C225" s="13">
        <v>429</v>
      </c>
      <c r="D225" s="14">
        <v>0.52100000000000002</v>
      </c>
      <c r="E225" s="14">
        <v>0.83799999999999997</v>
      </c>
      <c r="F225" s="13">
        <v>11</v>
      </c>
      <c r="G225" s="14">
        <v>0.56000000000000005</v>
      </c>
      <c r="H225" s="18" t="s">
        <v>3483</v>
      </c>
      <c r="I225" s="26" t="s">
        <v>123</v>
      </c>
      <c r="J225" s="18" t="s">
        <v>105</v>
      </c>
      <c r="L225" s="9">
        <f>B225</f>
        <v>2013</v>
      </c>
      <c r="N225" s="30" t="s">
        <v>3101</v>
      </c>
      <c r="O225" s="13" t="s">
        <v>42</v>
      </c>
      <c r="P225" s="13">
        <f t="shared" si="7"/>
        <v>5</v>
      </c>
      <c r="Q225" s="15">
        <f t="shared" si="8"/>
        <v>85.8</v>
      </c>
      <c r="R225" s="13" t="s">
        <v>1290</v>
      </c>
      <c r="S225" s="13"/>
      <c r="T225" s="13" t="s">
        <v>1291</v>
      </c>
      <c r="U225" s="13"/>
      <c r="V225" s="13" t="s">
        <v>3980</v>
      </c>
      <c r="W225" s="13"/>
      <c r="X225" s="13" t="s">
        <v>3980</v>
      </c>
      <c r="Y225" s="13" t="s">
        <v>3980</v>
      </c>
      <c r="Z225" s="13" t="s">
        <v>3980</v>
      </c>
      <c r="AC225" s="18"/>
      <c r="AD225" s="18"/>
      <c r="AE225" s="18"/>
    </row>
    <row r="226" spans="1:31" x14ac:dyDescent="0.25">
      <c r="A226" s="18" t="s">
        <v>622</v>
      </c>
      <c r="B226" s="30">
        <v>1995</v>
      </c>
      <c r="C226" s="13">
        <v>4278</v>
      </c>
      <c r="D226" s="14">
        <v>0.93300000000000005</v>
      </c>
      <c r="E226" s="14">
        <v>0.84499999999999997</v>
      </c>
      <c r="F226" s="13">
        <v>20</v>
      </c>
      <c r="G226" s="14">
        <v>0.82599999999999996</v>
      </c>
      <c r="H226" s="18" t="s">
        <v>3295</v>
      </c>
      <c r="I226" s="26" t="s">
        <v>123</v>
      </c>
      <c r="J226" s="18" t="s">
        <v>26</v>
      </c>
      <c r="K226" s="4"/>
      <c r="L226" s="9">
        <v>1995</v>
      </c>
      <c r="N226" s="30" t="s">
        <v>41</v>
      </c>
      <c r="O226" s="13" t="s">
        <v>28</v>
      </c>
      <c r="P226" s="13">
        <f t="shared" si="7"/>
        <v>23</v>
      </c>
      <c r="Q226" s="15">
        <f t="shared" si="8"/>
        <v>186</v>
      </c>
      <c r="R226" s="13" t="s">
        <v>623</v>
      </c>
      <c r="S226" s="13"/>
      <c r="T226" s="13" t="s">
        <v>624</v>
      </c>
      <c r="U226" s="13" t="s">
        <v>625</v>
      </c>
      <c r="V226" s="13" t="s">
        <v>3980</v>
      </c>
      <c r="W226" s="13"/>
      <c r="X226" s="13" t="s">
        <v>3980</v>
      </c>
      <c r="Y226" s="13" t="s">
        <v>3980</v>
      </c>
      <c r="Z226" s="13" t="s">
        <v>3980</v>
      </c>
      <c r="AC226" s="18"/>
      <c r="AD226" s="18"/>
      <c r="AE226" s="18"/>
    </row>
    <row r="227" spans="1:31" x14ac:dyDescent="0.25">
      <c r="A227" s="28" t="s">
        <v>4831</v>
      </c>
      <c r="B227" s="30">
        <v>1990</v>
      </c>
      <c r="C227" s="13">
        <v>475</v>
      </c>
      <c r="D227" s="14">
        <v>0.54500000000000004</v>
      </c>
      <c r="E227" s="14">
        <v>0.29599999999999999</v>
      </c>
      <c r="F227" s="13">
        <v>6</v>
      </c>
      <c r="G227" s="14">
        <v>0.32200000000000001</v>
      </c>
      <c r="I227" s="26" t="s">
        <v>123</v>
      </c>
      <c r="J227" s="18" t="s">
        <v>26</v>
      </c>
      <c r="K227" s="4"/>
      <c r="L227" s="9">
        <v>1990</v>
      </c>
      <c r="N227" s="30" t="s">
        <v>220</v>
      </c>
      <c r="O227" s="13" t="s">
        <v>28</v>
      </c>
      <c r="P227" s="13">
        <f t="shared" si="7"/>
        <v>28</v>
      </c>
      <c r="Q227" s="15">
        <f t="shared" si="8"/>
        <v>16.964285714285715</v>
      </c>
      <c r="R227" s="13" t="s">
        <v>297</v>
      </c>
      <c r="S227" s="13" t="s">
        <v>239</v>
      </c>
      <c r="T227" s="13" t="s">
        <v>1475</v>
      </c>
      <c r="U227" s="13" t="s">
        <v>1476</v>
      </c>
      <c r="V227" s="13" t="s">
        <v>4046</v>
      </c>
      <c r="W227" s="13"/>
      <c r="X227" s="13" t="s">
        <v>4413</v>
      </c>
      <c r="Y227" s="13" t="s">
        <v>3980</v>
      </c>
      <c r="Z227" s="13" t="s">
        <v>3980</v>
      </c>
      <c r="AC227" s="18"/>
      <c r="AD227" s="18"/>
      <c r="AE227" s="18"/>
    </row>
    <row r="228" spans="1:31" x14ac:dyDescent="0.25">
      <c r="A228" s="18" t="s">
        <v>4914</v>
      </c>
      <c r="B228" s="30">
        <v>2008</v>
      </c>
      <c r="C228" s="13">
        <v>373</v>
      </c>
      <c r="D228" s="14">
        <v>0.48599999999999999</v>
      </c>
      <c r="E228" s="14">
        <v>0.80300000000000005</v>
      </c>
      <c r="F228" s="13">
        <v>5</v>
      </c>
      <c r="G228" s="14">
        <v>0.27400000000000002</v>
      </c>
      <c r="H228" s="18" t="s">
        <v>3542</v>
      </c>
      <c r="I228" s="26" t="s">
        <v>123</v>
      </c>
      <c r="J228" s="18" t="s">
        <v>105</v>
      </c>
      <c r="K228" s="4"/>
      <c r="L228" s="9">
        <v>2008</v>
      </c>
      <c r="N228" s="30" t="s">
        <v>72</v>
      </c>
      <c r="O228" s="13" t="s">
        <v>42</v>
      </c>
      <c r="P228" s="13">
        <f t="shared" si="7"/>
        <v>10</v>
      </c>
      <c r="Q228" s="15">
        <f t="shared" si="8"/>
        <v>37.299999999999997</v>
      </c>
      <c r="R228" s="13" t="s">
        <v>1969</v>
      </c>
      <c r="S228" s="13" t="s">
        <v>215</v>
      </c>
      <c r="T228" s="13" t="s">
        <v>1970</v>
      </c>
      <c r="U228" s="13" t="s">
        <v>1971</v>
      </c>
      <c r="V228" s="13" t="s">
        <v>3980</v>
      </c>
      <c r="W228" s="13"/>
      <c r="X228" s="13" t="s">
        <v>3980</v>
      </c>
      <c r="Y228" s="13" t="s">
        <v>3980</v>
      </c>
      <c r="Z228" s="13" t="s">
        <v>3980</v>
      </c>
      <c r="AC228" s="18"/>
      <c r="AD228" s="18"/>
      <c r="AE228" s="18"/>
    </row>
    <row r="229" spans="1:31" x14ac:dyDescent="0.25">
      <c r="A229" s="18" t="s">
        <v>1491</v>
      </c>
      <c r="B229" s="30">
        <v>2007</v>
      </c>
      <c r="C229" s="13">
        <v>46</v>
      </c>
      <c r="D229" s="14">
        <v>0.16900000000000001</v>
      </c>
      <c r="E229" s="14">
        <v>0.13400000000000001</v>
      </c>
      <c r="F229" s="13">
        <v>3</v>
      </c>
      <c r="G229" s="14">
        <v>0.13100000000000001</v>
      </c>
      <c r="I229" s="26" t="s">
        <v>123</v>
      </c>
      <c r="J229" t="s">
        <v>54</v>
      </c>
      <c r="K229" s="4"/>
      <c r="L229" s="9">
        <f>B229</f>
        <v>2007</v>
      </c>
      <c r="N229" s="30" t="s">
        <v>3111</v>
      </c>
      <c r="O229" s="13" t="s">
        <v>28</v>
      </c>
      <c r="P229" s="13">
        <f t="shared" si="7"/>
        <v>11</v>
      </c>
      <c r="Q229" s="15">
        <f t="shared" si="8"/>
        <v>4.1818181818181817</v>
      </c>
      <c r="R229" s="13" t="s">
        <v>1100</v>
      </c>
      <c r="S229" s="13"/>
      <c r="T229" s="13" t="s">
        <v>1492</v>
      </c>
      <c r="U229" s="13"/>
      <c r="V229" s="13" t="s">
        <v>3980</v>
      </c>
      <c r="W229" s="13"/>
      <c r="X229" s="13" t="s">
        <v>3980</v>
      </c>
      <c r="Y229" s="13" t="s">
        <v>3980</v>
      </c>
      <c r="Z229" s="13" t="s">
        <v>3980</v>
      </c>
      <c r="AC229" s="18"/>
      <c r="AD229" s="18"/>
      <c r="AE229" s="18"/>
    </row>
    <row r="230" spans="1:31" x14ac:dyDescent="0.25">
      <c r="A230" s="18" t="s">
        <v>1440</v>
      </c>
      <c r="B230" s="30">
        <v>1971</v>
      </c>
      <c r="C230" s="13">
        <v>1909</v>
      </c>
      <c r="D230" s="14">
        <v>0.82099999999999995</v>
      </c>
      <c r="E230" s="14">
        <v>0.624</v>
      </c>
      <c r="F230" s="13">
        <v>23</v>
      </c>
      <c r="G230" s="14">
        <v>0.874</v>
      </c>
      <c r="H230" s="18" t="s">
        <v>3528</v>
      </c>
      <c r="I230" s="26" t="s">
        <v>123</v>
      </c>
      <c r="J230" s="18" t="s">
        <v>26</v>
      </c>
      <c r="L230" s="9">
        <v>1971</v>
      </c>
      <c r="M230" s="11"/>
      <c r="N230" s="30" t="s">
        <v>123</v>
      </c>
      <c r="O230" s="13" t="s">
        <v>28</v>
      </c>
      <c r="P230" s="13">
        <f t="shared" si="7"/>
        <v>47</v>
      </c>
      <c r="Q230" s="15">
        <f t="shared" si="8"/>
        <v>40.617021276595743</v>
      </c>
      <c r="R230" s="13" t="s">
        <v>1441</v>
      </c>
      <c r="S230" s="13"/>
      <c r="T230" s="13" t="s">
        <v>1442</v>
      </c>
      <c r="U230" s="13" t="s">
        <v>1443</v>
      </c>
      <c r="V230" s="13" t="s">
        <v>3980</v>
      </c>
      <c r="W230" s="13"/>
      <c r="X230" s="13" t="s">
        <v>4414</v>
      </c>
      <c r="Y230" s="13" t="s">
        <v>3980</v>
      </c>
      <c r="Z230" s="13" t="s">
        <v>3980</v>
      </c>
      <c r="AC230" s="18"/>
      <c r="AD230" s="18"/>
      <c r="AE230" s="18"/>
    </row>
    <row r="231" spans="1:31" x14ac:dyDescent="0.25">
      <c r="A231" s="18" t="s">
        <v>1855</v>
      </c>
      <c r="B231" s="30">
        <v>2000</v>
      </c>
      <c r="C231" s="13">
        <v>846</v>
      </c>
      <c r="D231" s="14">
        <v>0.66800000000000004</v>
      </c>
      <c r="E231" s="14">
        <v>0.41399999999999998</v>
      </c>
      <c r="F231" s="13">
        <v>7</v>
      </c>
      <c r="G231" s="14">
        <v>0.39300000000000002</v>
      </c>
      <c r="I231" s="26" t="s">
        <v>123</v>
      </c>
      <c r="J231" s="18" t="s">
        <v>26</v>
      </c>
      <c r="K231" s="4"/>
      <c r="L231" s="9">
        <v>2000</v>
      </c>
      <c r="N231" s="30" t="s">
        <v>123</v>
      </c>
      <c r="O231" s="13" t="s">
        <v>28</v>
      </c>
      <c r="P231" s="13">
        <f t="shared" si="7"/>
        <v>18</v>
      </c>
      <c r="Q231" s="15">
        <f t="shared" si="8"/>
        <v>47</v>
      </c>
      <c r="R231" s="13" t="s">
        <v>1856</v>
      </c>
      <c r="S231" s="13"/>
      <c r="T231" s="13" t="s">
        <v>1857</v>
      </c>
      <c r="U231" s="13" t="s">
        <v>1858</v>
      </c>
      <c r="V231" s="13" t="s">
        <v>3980</v>
      </c>
      <c r="W231" s="13"/>
      <c r="X231" s="13" t="s">
        <v>4415</v>
      </c>
      <c r="Y231" s="13" t="s">
        <v>3980</v>
      </c>
      <c r="Z231" s="13" t="s">
        <v>3980</v>
      </c>
      <c r="AC231" s="18"/>
      <c r="AD231" s="18"/>
      <c r="AE231" s="18"/>
    </row>
    <row r="232" spans="1:31" x14ac:dyDescent="0.25">
      <c r="A232" s="18" t="s">
        <v>172</v>
      </c>
      <c r="B232" s="30">
        <v>1989</v>
      </c>
      <c r="C232" s="13">
        <v>5567</v>
      </c>
      <c r="D232" s="14">
        <v>0.95099999999999996</v>
      </c>
      <c r="E232" s="14">
        <v>0.88800000000000001</v>
      </c>
      <c r="F232" s="13">
        <v>36</v>
      </c>
      <c r="G232" s="14">
        <v>0.96499999999999997</v>
      </c>
      <c r="H232" s="18" t="s">
        <v>3187</v>
      </c>
      <c r="I232" s="26" t="s">
        <v>123</v>
      </c>
      <c r="J232" s="18" t="s">
        <v>26</v>
      </c>
      <c r="L232" s="9">
        <v>1989</v>
      </c>
      <c r="N232" s="30" t="s">
        <v>123</v>
      </c>
      <c r="O232" s="13" t="s">
        <v>28</v>
      </c>
      <c r="P232" s="13">
        <f t="shared" si="7"/>
        <v>29</v>
      </c>
      <c r="Q232" s="15">
        <f t="shared" si="8"/>
        <v>191.9655172413793</v>
      </c>
      <c r="R232" s="13" t="s">
        <v>173</v>
      </c>
      <c r="S232" s="13"/>
      <c r="T232" s="13" t="s">
        <v>174</v>
      </c>
      <c r="U232" s="13" t="s">
        <v>175</v>
      </c>
      <c r="V232" s="13" t="s">
        <v>4047</v>
      </c>
      <c r="W232" s="13"/>
      <c r="X232" s="13" t="s">
        <v>4416</v>
      </c>
      <c r="Y232" s="13" t="s">
        <v>3980</v>
      </c>
      <c r="Z232" s="13" t="s">
        <v>3980</v>
      </c>
      <c r="AC232" s="18"/>
      <c r="AD232" s="18"/>
      <c r="AE232" s="18"/>
    </row>
    <row r="233" spans="1:31" x14ac:dyDescent="0.25">
      <c r="A233" s="18" t="s">
        <v>4838</v>
      </c>
      <c r="B233" s="30">
        <v>1986</v>
      </c>
      <c r="C233" s="13">
        <v>12260</v>
      </c>
      <c r="D233" s="14">
        <v>0.98799999999999999</v>
      </c>
      <c r="E233" s="14">
        <v>0.97199999999999998</v>
      </c>
      <c r="F233" s="13">
        <v>51</v>
      </c>
      <c r="G233" s="14">
        <v>0.99199999999999999</v>
      </c>
      <c r="H233" s="18" t="s">
        <v>3425</v>
      </c>
      <c r="I233" s="26" t="s">
        <v>123</v>
      </c>
      <c r="J233" s="18" t="s">
        <v>26</v>
      </c>
      <c r="K233" s="4"/>
      <c r="L233" s="9">
        <v>1986</v>
      </c>
      <c r="N233" s="30" t="s">
        <v>41</v>
      </c>
      <c r="O233" s="13" t="s">
        <v>42</v>
      </c>
      <c r="P233" s="13">
        <f t="shared" si="7"/>
        <v>32</v>
      </c>
      <c r="Q233" s="15">
        <f t="shared" si="8"/>
        <v>383.125</v>
      </c>
      <c r="R233" s="13" t="s">
        <v>1091</v>
      </c>
      <c r="S233" s="13" t="s">
        <v>541</v>
      </c>
      <c r="T233" s="13" t="s">
        <v>1092</v>
      </c>
      <c r="U233" s="13" t="s">
        <v>1093</v>
      </c>
      <c r="V233" s="13" t="s">
        <v>3980</v>
      </c>
      <c r="W233" s="13"/>
      <c r="X233" s="13" t="s">
        <v>4417</v>
      </c>
      <c r="Y233" s="13" t="s">
        <v>3980</v>
      </c>
      <c r="Z233" s="13" t="s">
        <v>3980</v>
      </c>
      <c r="AC233" s="18"/>
      <c r="AD233" s="18"/>
      <c r="AE233" s="18"/>
    </row>
    <row r="234" spans="1:31" x14ac:dyDescent="0.25">
      <c r="A234" s="18" t="s">
        <v>965</v>
      </c>
      <c r="B234" s="30">
        <v>2010</v>
      </c>
      <c r="C234" s="13">
        <v>156</v>
      </c>
      <c r="D234" s="14">
        <v>0.34599999999999997</v>
      </c>
      <c r="E234" s="14">
        <v>0.63800000000000001</v>
      </c>
      <c r="F234" s="13">
        <v>6</v>
      </c>
      <c r="G234" s="14">
        <v>0.32200000000000001</v>
      </c>
      <c r="H234" s="18" t="s">
        <v>3390</v>
      </c>
      <c r="I234" s="26" t="s">
        <v>123</v>
      </c>
      <c r="J234" s="18" t="s">
        <v>105</v>
      </c>
      <c r="K234" s="4"/>
      <c r="L234" s="9">
        <v>2010</v>
      </c>
      <c r="N234" s="30" t="s">
        <v>168</v>
      </c>
      <c r="O234" s="13" t="s">
        <v>28</v>
      </c>
      <c r="P234" s="13">
        <f t="shared" si="7"/>
        <v>8</v>
      </c>
      <c r="Q234" s="15">
        <f t="shared" si="8"/>
        <v>19.5</v>
      </c>
      <c r="R234" s="13" t="s">
        <v>173</v>
      </c>
      <c r="S234" s="13"/>
      <c r="T234" s="13" t="s">
        <v>966</v>
      </c>
      <c r="U234" s="13" t="s">
        <v>967</v>
      </c>
      <c r="V234" s="13" t="s">
        <v>3980</v>
      </c>
      <c r="W234" s="13"/>
      <c r="X234" s="13" t="s">
        <v>4418</v>
      </c>
      <c r="Y234" s="13" t="s">
        <v>3980</v>
      </c>
      <c r="Z234" s="13" t="s">
        <v>3980</v>
      </c>
      <c r="AC234" s="18"/>
      <c r="AD234" s="18"/>
      <c r="AE234" s="18"/>
    </row>
    <row r="235" spans="1:31" x14ac:dyDescent="0.25">
      <c r="A235" s="18" t="s">
        <v>2108</v>
      </c>
      <c r="B235" s="30">
        <v>2013</v>
      </c>
      <c r="C235" s="8">
        <v>85</v>
      </c>
      <c r="D235" s="14">
        <v>0.23599999999999999</v>
      </c>
      <c r="E235" s="14">
        <v>0.45600000000000002</v>
      </c>
      <c r="F235" s="8">
        <v>5</v>
      </c>
      <c r="G235" s="14">
        <v>0.27400000000000002</v>
      </c>
      <c r="I235" s="26" t="s">
        <v>123</v>
      </c>
      <c r="J235" s="18" t="s">
        <v>105</v>
      </c>
      <c r="L235" s="9">
        <f>B235</f>
        <v>2013</v>
      </c>
      <c r="N235" s="28" t="s">
        <v>123</v>
      </c>
      <c r="O235" s="13" t="s">
        <v>28</v>
      </c>
      <c r="P235" s="13">
        <f t="shared" si="7"/>
        <v>5</v>
      </c>
      <c r="Q235" s="15">
        <f t="shared" si="8"/>
        <v>17</v>
      </c>
      <c r="R235" s="18" t="s">
        <v>433</v>
      </c>
      <c r="T235" s="18" t="s">
        <v>1559</v>
      </c>
      <c r="V235" s="18" t="s">
        <v>3980</v>
      </c>
      <c r="X235" s="18" t="s">
        <v>3980</v>
      </c>
      <c r="Y235" s="18" t="s">
        <v>3980</v>
      </c>
      <c r="Z235" s="18" t="s">
        <v>3980</v>
      </c>
      <c r="AC235" s="18"/>
      <c r="AD235" s="18"/>
      <c r="AE235" s="18"/>
    </row>
    <row r="236" spans="1:31" x14ac:dyDescent="0.25">
      <c r="A236" s="18" t="s">
        <v>1087</v>
      </c>
      <c r="B236" s="30">
        <v>1997</v>
      </c>
      <c r="C236" s="13">
        <v>4815</v>
      </c>
      <c r="D236" s="14">
        <v>0.94199999999999995</v>
      </c>
      <c r="E236" s="14">
        <v>0.86699999999999999</v>
      </c>
      <c r="F236" s="13">
        <v>27</v>
      </c>
      <c r="G236" s="14">
        <v>0.90700000000000003</v>
      </c>
      <c r="H236" s="18" t="s">
        <v>3424</v>
      </c>
      <c r="I236" s="26" t="s">
        <v>123</v>
      </c>
      <c r="J236" s="18" t="s">
        <v>26</v>
      </c>
      <c r="K236" s="4"/>
      <c r="L236" s="9">
        <v>1997</v>
      </c>
      <c r="N236" s="30" t="s">
        <v>1088</v>
      </c>
      <c r="O236" s="13" t="s">
        <v>28</v>
      </c>
      <c r="P236" s="13">
        <f t="shared" si="7"/>
        <v>21</v>
      </c>
      <c r="Q236" s="15">
        <f t="shared" si="8"/>
        <v>229.28571428571428</v>
      </c>
      <c r="R236" s="13" t="s">
        <v>305</v>
      </c>
      <c r="S236" s="13"/>
      <c r="T236" s="13" t="s">
        <v>1089</v>
      </c>
      <c r="U236" s="13" t="s">
        <v>1090</v>
      </c>
      <c r="V236" s="13" t="s">
        <v>3980</v>
      </c>
      <c r="W236" s="13"/>
      <c r="X236" s="13" t="s">
        <v>4419</v>
      </c>
      <c r="Y236" s="13" t="s">
        <v>3980</v>
      </c>
      <c r="Z236" s="13" t="s">
        <v>3980</v>
      </c>
      <c r="AC236" s="18"/>
      <c r="AD236" s="18"/>
      <c r="AE236" s="18"/>
    </row>
    <row r="237" spans="1:31" x14ac:dyDescent="0.25">
      <c r="A237" s="18" t="s">
        <v>2097</v>
      </c>
      <c r="B237" s="30">
        <v>2009</v>
      </c>
      <c r="C237" s="13">
        <v>662</v>
      </c>
      <c r="D237" s="14">
        <v>0.621</v>
      </c>
      <c r="E237" s="14">
        <v>0.71599999999999997</v>
      </c>
      <c r="F237" s="13">
        <v>15</v>
      </c>
      <c r="G237" s="14">
        <v>0.71</v>
      </c>
      <c r="H237" s="18" t="s">
        <v>3534</v>
      </c>
      <c r="I237" s="26" t="s">
        <v>123</v>
      </c>
      <c r="J237" s="18" t="s">
        <v>54</v>
      </c>
      <c r="K237" s="4"/>
      <c r="L237" s="9">
        <f>B237</f>
        <v>2009</v>
      </c>
      <c r="N237" s="30" t="s">
        <v>3126</v>
      </c>
      <c r="O237" s="13" t="s">
        <v>42</v>
      </c>
      <c r="P237" s="13">
        <f t="shared" si="7"/>
        <v>9</v>
      </c>
      <c r="Q237" s="15">
        <f t="shared" si="8"/>
        <v>73.555555555555557</v>
      </c>
      <c r="R237" s="13" t="s">
        <v>2098</v>
      </c>
      <c r="S237" s="13"/>
      <c r="T237" s="13" t="s">
        <v>2099</v>
      </c>
      <c r="U237" s="13"/>
      <c r="V237" s="13" t="s">
        <v>3980</v>
      </c>
      <c r="W237" s="13"/>
      <c r="X237" s="13" t="s">
        <v>3980</v>
      </c>
      <c r="Y237" s="13" t="s">
        <v>3980</v>
      </c>
      <c r="Z237" s="13" t="s">
        <v>3980</v>
      </c>
      <c r="AC237" s="18"/>
      <c r="AD237" s="18"/>
      <c r="AE237" s="18"/>
    </row>
    <row r="238" spans="1:31" x14ac:dyDescent="0.25">
      <c r="A238" s="18" t="s">
        <v>2122</v>
      </c>
      <c r="B238" s="30">
        <v>1999</v>
      </c>
      <c r="C238" s="13">
        <v>1092</v>
      </c>
      <c r="D238" s="14">
        <v>0.72</v>
      </c>
      <c r="E238" s="14">
        <v>0.47099999999999997</v>
      </c>
      <c r="F238" s="13">
        <v>12</v>
      </c>
      <c r="G238" s="14">
        <v>0.60899999999999999</v>
      </c>
      <c r="I238" s="26" t="s">
        <v>123</v>
      </c>
      <c r="J238" s="18" t="s">
        <v>26</v>
      </c>
      <c r="L238" s="9">
        <f>B238</f>
        <v>1999</v>
      </c>
      <c r="N238" s="30" t="s">
        <v>34</v>
      </c>
      <c r="O238" s="13" t="s">
        <v>42</v>
      </c>
      <c r="P238" s="13">
        <f t="shared" si="7"/>
        <v>19</v>
      </c>
      <c r="Q238" s="15">
        <f t="shared" si="8"/>
        <v>57.473684210526315</v>
      </c>
      <c r="R238" s="13" t="s">
        <v>338</v>
      </c>
      <c r="S238" s="13"/>
      <c r="T238" s="13" t="s">
        <v>2123</v>
      </c>
      <c r="U238" s="13"/>
      <c r="V238" s="13" t="s">
        <v>3980</v>
      </c>
      <c r="W238" s="13"/>
      <c r="X238" s="13" t="s">
        <v>3980</v>
      </c>
      <c r="Y238" s="13" t="s">
        <v>3980</v>
      </c>
      <c r="Z238" s="13" t="s">
        <v>3980</v>
      </c>
      <c r="AC238" s="18"/>
      <c r="AD238" s="18"/>
      <c r="AE238" s="18"/>
    </row>
    <row r="239" spans="1:31" x14ac:dyDescent="0.25">
      <c r="A239" s="18" t="s">
        <v>1591</v>
      </c>
      <c r="B239" s="30">
        <v>2000</v>
      </c>
      <c r="C239" s="13">
        <v>1950</v>
      </c>
      <c r="D239" s="14">
        <v>0.82499999999999996</v>
      </c>
      <c r="E239" s="14">
        <v>0.93600000000000005</v>
      </c>
      <c r="F239" s="13">
        <v>16</v>
      </c>
      <c r="G239" s="14">
        <v>0.74099999999999999</v>
      </c>
      <c r="I239" s="26" t="s">
        <v>123</v>
      </c>
      <c r="J239" s="18" t="s">
        <v>54</v>
      </c>
      <c r="L239" s="9">
        <v>2000</v>
      </c>
      <c r="N239" s="30" t="s">
        <v>34</v>
      </c>
      <c r="O239" s="13" t="s">
        <v>28</v>
      </c>
      <c r="P239" s="13">
        <f t="shared" si="7"/>
        <v>18</v>
      </c>
      <c r="Q239" s="15">
        <f t="shared" si="8"/>
        <v>108.33333333333333</v>
      </c>
      <c r="R239" s="13" t="s">
        <v>1592</v>
      </c>
      <c r="S239" s="13"/>
      <c r="T239" s="13" t="s">
        <v>945</v>
      </c>
      <c r="U239" s="13" t="s">
        <v>1593</v>
      </c>
      <c r="V239" s="13" t="s">
        <v>3980</v>
      </c>
      <c r="W239" s="13"/>
      <c r="X239" s="13" t="s">
        <v>4420</v>
      </c>
      <c r="Y239" s="13" t="s">
        <v>3980</v>
      </c>
      <c r="Z239" s="13" t="s">
        <v>3980</v>
      </c>
      <c r="AC239" s="18"/>
      <c r="AD239" s="18"/>
      <c r="AE239" s="18"/>
    </row>
    <row r="240" spans="1:31" x14ac:dyDescent="0.25">
      <c r="A240" s="18" t="s">
        <v>4853</v>
      </c>
      <c r="B240" s="30">
        <v>2002</v>
      </c>
      <c r="C240" s="13">
        <v>395</v>
      </c>
      <c r="D240" s="14">
        <v>0.501</v>
      </c>
      <c r="E240" s="14">
        <v>0.54100000000000004</v>
      </c>
      <c r="F240" s="13">
        <v>10</v>
      </c>
      <c r="G240" s="14">
        <v>0.52200000000000002</v>
      </c>
      <c r="H240" s="18" t="s">
        <v>3431</v>
      </c>
      <c r="I240" s="26" t="s">
        <v>123</v>
      </c>
      <c r="J240" s="18" t="s">
        <v>54</v>
      </c>
      <c r="L240" s="9">
        <v>2002</v>
      </c>
      <c r="N240" s="30" t="s">
        <v>123</v>
      </c>
      <c r="O240" s="13" t="s">
        <v>28</v>
      </c>
      <c r="P240" s="13">
        <f t="shared" si="7"/>
        <v>16</v>
      </c>
      <c r="Q240" s="15">
        <f t="shared" si="8"/>
        <v>24.6875</v>
      </c>
      <c r="R240" s="13" t="s">
        <v>1108</v>
      </c>
      <c r="S240" s="13" t="s">
        <v>680</v>
      </c>
      <c r="T240" s="13" t="s">
        <v>776</v>
      </c>
      <c r="U240" s="13" t="s">
        <v>1109</v>
      </c>
      <c r="V240" s="13" t="s">
        <v>3980</v>
      </c>
      <c r="W240" s="13"/>
      <c r="X240" s="13" t="s">
        <v>4421</v>
      </c>
      <c r="Y240" s="13" t="s">
        <v>3980</v>
      </c>
      <c r="Z240" s="13" t="s">
        <v>3980</v>
      </c>
      <c r="AC240" s="18"/>
      <c r="AD240" s="18"/>
      <c r="AE240" s="18"/>
    </row>
    <row r="241" spans="1:31" x14ac:dyDescent="0.25">
      <c r="A241" s="18" t="s">
        <v>649</v>
      </c>
      <c r="B241" s="30">
        <v>2002</v>
      </c>
      <c r="C241" s="13">
        <v>6359</v>
      </c>
      <c r="D241" s="14">
        <v>0.96399999999999997</v>
      </c>
      <c r="E241" s="14">
        <v>1</v>
      </c>
      <c r="F241" s="13">
        <v>19</v>
      </c>
      <c r="G241" s="14">
        <v>0.81299999999999994</v>
      </c>
      <c r="H241" s="18" t="s">
        <v>3303</v>
      </c>
      <c r="I241" s="26" t="s">
        <v>123</v>
      </c>
      <c r="J241" s="4" t="s">
        <v>54</v>
      </c>
      <c r="L241" s="9">
        <v>2002</v>
      </c>
      <c r="N241" s="30" t="s">
        <v>34</v>
      </c>
      <c r="O241" s="13" t="s">
        <v>28</v>
      </c>
      <c r="P241" s="13">
        <f t="shared" si="7"/>
        <v>16</v>
      </c>
      <c r="Q241" s="15">
        <f t="shared" si="8"/>
        <v>397.4375</v>
      </c>
      <c r="R241" s="13" t="s">
        <v>650</v>
      </c>
      <c r="S241" s="13"/>
      <c r="T241" s="13" t="s">
        <v>651</v>
      </c>
      <c r="U241" s="13" t="s">
        <v>652</v>
      </c>
      <c r="V241" s="13" t="s">
        <v>3980</v>
      </c>
      <c r="W241" s="13"/>
      <c r="X241" s="13" t="s">
        <v>4422</v>
      </c>
      <c r="Y241" s="13" t="s">
        <v>3980</v>
      </c>
      <c r="Z241" s="13" t="s">
        <v>3980</v>
      </c>
      <c r="AC241" s="18"/>
      <c r="AD241" s="18"/>
      <c r="AE241" s="18"/>
    </row>
    <row r="242" spans="1:31" x14ac:dyDescent="0.25">
      <c r="A242" s="28" t="s">
        <v>1630</v>
      </c>
      <c r="B242" s="30">
        <v>1984</v>
      </c>
      <c r="C242" s="13">
        <v>1534</v>
      </c>
      <c r="D242" s="14">
        <v>0.79100000000000004</v>
      </c>
      <c r="E242" s="14">
        <v>0.57999999999999996</v>
      </c>
      <c r="F242" s="13">
        <v>18</v>
      </c>
      <c r="G242" s="14">
        <v>0.78700000000000003</v>
      </c>
      <c r="I242" s="26" t="s">
        <v>123</v>
      </c>
      <c r="J242" s="18" t="s">
        <v>26</v>
      </c>
      <c r="K242" s="4"/>
      <c r="L242" s="9">
        <v>1984</v>
      </c>
      <c r="M242" s="11"/>
      <c r="N242" s="30" t="s">
        <v>88</v>
      </c>
      <c r="O242" s="13" t="s">
        <v>28</v>
      </c>
      <c r="P242" s="13">
        <f t="shared" si="7"/>
        <v>34</v>
      </c>
      <c r="Q242" s="15">
        <f t="shared" si="8"/>
        <v>45.117647058823529</v>
      </c>
      <c r="R242" s="13" t="s">
        <v>1631</v>
      </c>
      <c r="S242" s="13"/>
      <c r="T242" s="13" t="s">
        <v>1632</v>
      </c>
      <c r="U242" s="13" t="s">
        <v>1633</v>
      </c>
      <c r="V242" s="13" t="s">
        <v>3980</v>
      </c>
      <c r="W242" s="13"/>
      <c r="X242" s="13" t="s">
        <v>3980</v>
      </c>
      <c r="Y242" s="13" t="s">
        <v>3980</v>
      </c>
      <c r="Z242" s="13" t="s">
        <v>3980</v>
      </c>
      <c r="AC242" s="18"/>
      <c r="AD242" s="18"/>
      <c r="AE242" s="18"/>
    </row>
    <row r="243" spans="1:31" x14ac:dyDescent="0.25">
      <c r="A243" s="18" t="s">
        <v>496</v>
      </c>
      <c r="B243" s="30">
        <v>1974</v>
      </c>
      <c r="C243" s="13">
        <v>2690</v>
      </c>
      <c r="D243" s="14">
        <v>0.878</v>
      </c>
      <c r="E243" s="14">
        <v>0.72799999999999998</v>
      </c>
      <c r="F243" s="13">
        <v>14</v>
      </c>
      <c r="G243" s="14">
        <v>0.67900000000000005</v>
      </c>
      <c r="H243" s="18" t="s">
        <v>3263</v>
      </c>
      <c r="I243" s="26" t="s">
        <v>123</v>
      </c>
      <c r="J243" s="18" t="s">
        <v>26</v>
      </c>
      <c r="K243" s="4"/>
      <c r="L243" s="9">
        <v>1974</v>
      </c>
      <c r="M243" s="11"/>
      <c r="N243" s="30" t="s">
        <v>220</v>
      </c>
      <c r="O243" s="13" t="s">
        <v>42</v>
      </c>
      <c r="P243" s="13">
        <f t="shared" si="7"/>
        <v>44</v>
      </c>
      <c r="Q243" s="15">
        <f t="shared" si="8"/>
        <v>61.136363636363633</v>
      </c>
      <c r="R243" s="13" t="s">
        <v>497</v>
      </c>
      <c r="S243" s="13" t="s">
        <v>498</v>
      </c>
      <c r="T243" s="13" t="s">
        <v>499</v>
      </c>
      <c r="U243" s="13" t="s">
        <v>500</v>
      </c>
      <c r="V243" s="13" t="s">
        <v>3980</v>
      </c>
      <c r="W243" s="13"/>
      <c r="X243" s="13" t="s">
        <v>4423</v>
      </c>
      <c r="Y243" s="13" t="s">
        <v>3980</v>
      </c>
      <c r="Z243" s="13" t="s">
        <v>3980</v>
      </c>
      <c r="AC243" s="18"/>
      <c r="AD243" s="18"/>
      <c r="AE243" s="18"/>
    </row>
    <row r="244" spans="1:31" x14ac:dyDescent="0.25">
      <c r="A244" s="18" t="s">
        <v>785</v>
      </c>
      <c r="B244" s="30">
        <v>2015</v>
      </c>
      <c r="C244" s="13">
        <v>417</v>
      </c>
      <c r="D244" s="14">
        <v>0.51600000000000001</v>
      </c>
      <c r="E244" s="14">
        <v>0.82799999999999996</v>
      </c>
      <c r="F244" s="13">
        <v>9</v>
      </c>
      <c r="G244" s="14">
        <v>0.48799999999999999</v>
      </c>
      <c r="H244" s="18" t="s">
        <v>3336</v>
      </c>
      <c r="I244" s="26" t="s">
        <v>123</v>
      </c>
      <c r="J244" s="18" t="s">
        <v>105</v>
      </c>
      <c r="K244" s="4"/>
      <c r="L244" s="9">
        <v>2015</v>
      </c>
      <c r="N244" s="30" t="s">
        <v>72</v>
      </c>
      <c r="O244" s="13" t="s">
        <v>28</v>
      </c>
      <c r="P244" s="13">
        <f t="shared" si="7"/>
        <v>3</v>
      </c>
      <c r="Q244" s="15">
        <f t="shared" si="8"/>
        <v>139</v>
      </c>
      <c r="R244" s="13" t="s">
        <v>398</v>
      </c>
      <c r="S244" s="13"/>
      <c r="T244" s="13" t="s">
        <v>786</v>
      </c>
      <c r="U244" s="13"/>
      <c r="V244" s="13" t="s">
        <v>3980</v>
      </c>
      <c r="W244" s="13"/>
      <c r="X244" s="13" t="s">
        <v>3980</v>
      </c>
      <c r="Y244" s="13" t="s">
        <v>3980</v>
      </c>
      <c r="Z244" s="13" t="s">
        <v>3980</v>
      </c>
      <c r="AC244" s="18"/>
      <c r="AD244" s="18"/>
      <c r="AE244" s="18"/>
    </row>
    <row r="245" spans="1:31" x14ac:dyDescent="0.25">
      <c r="A245" s="18" t="s">
        <v>196</v>
      </c>
      <c r="B245" s="30">
        <v>1973</v>
      </c>
      <c r="C245" s="13">
        <v>9396</v>
      </c>
      <c r="D245" s="14">
        <v>0.98399999999999999</v>
      </c>
      <c r="E245" s="14">
        <v>0.96099999999999997</v>
      </c>
      <c r="F245" s="13">
        <v>41</v>
      </c>
      <c r="G245" s="14">
        <v>0.97799999999999998</v>
      </c>
      <c r="H245" s="18" t="s">
        <v>3192</v>
      </c>
      <c r="I245" s="26" t="s">
        <v>123</v>
      </c>
      <c r="J245" s="18" t="s">
        <v>26</v>
      </c>
      <c r="K245" s="4"/>
      <c r="L245" s="9">
        <v>1973</v>
      </c>
      <c r="N245" s="30" t="s">
        <v>123</v>
      </c>
      <c r="O245" s="13" t="s">
        <v>28</v>
      </c>
      <c r="P245" s="13">
        <f t="shared" si="7"/>
        <v>45</v>
      </c>
      <c r="Q245" s="15">
        <f t="shared" si="8"/>
        <v>208.8</v>
      </c>
      <c r="R245" s="13" t="s">
        <v>197</v>
      </c>
      <c r="S245" s="13"/>
      <c r="T245" s="13" t="s">
        <v>198</v>
      </c>
      <c r="U245" s="13" t="s">
        <v>199</v>
      </c>
      <c r="V245" s="13" t="s">
        <v>3980</v>
      </c>
      <c r="W245" s="13"/>
      <c r="X245" s="13" t="s">
        <v>4424</v>
      </c>
      <c r="Y245" s="13" t="s">
        <v>3980</v>
      </c>
      <c r="Z245" s="13" t="s">
        <v>3980</v>
      </c>
      <c r="AC245" s="18"/>
      <c r="AD245" s="18"/>
      <c r="AE245" s="18"/>
    </row>
    <row r="246" spans="1:31" x14ac:dyDescent="0.25">
      <c r="A246" s="18" t="s">
        <v>2054</v>
      </c>
      <c r="B246" s="30">
        <v>1983</v>
      </c>
      <c r="C246" s="13">
        <v>1326</v>
      </c>
      <c r="D246" s="14">
        <v>0.754</v>
      </c>
      <c r="E246" s="14">
        <v>0.871</v>
      </c>
      <c r="F246" s="13">
        <v>15</v>
      </c>
      <c r="G246" s="14">
        <v>0.71</v>
      </c>
      <c r="I246" s="26" t="s">
        <v>123</v>
      </c>
      <c r="J246" s="18" t="s">
        <v>54</v>
      </c>
      <c r="L246" s="9">
        <v>1983</v>
      </c>
      <c r="M246" s="11"/>
      <c r="N246" s="30" t="s">
        <v>231</v>
      </c>
      <c r="O246" s="13" t="s">
        <v>28</v>
      </c>
      <c r="P246" s="13">
        <f t="shared" si="7"/>
        <v>35</v>
      </c>
      <c r="Q246" s="15">
        <f t="shared" si="8"/>
        <v>37.885714285714286</v>
      </c>
      <c r="R246" s="13" t="s">
        <v>62</v>
      </c>
      <c r="S246" s="13" t="s">
        <v>2055</v>
      </c>
      <c r="T246" s="13" t="s">
        <v>2056</v>
      </c>
      <c r="U246" s="13" t="s">
        <v>2057</v>
      </c>
      <c r="V246" s="13" t="s">
        <v>3980</v>
      </c>
      <c r="W246" s="13"/>
      <c r="X246" s="13" t="s">
        <v>4425</v>
      </c>
      <c r="Y246" s="13" t="s">
        <v>3980</v>
      </c>
      <c r="Z246" s="13" t="s">
        <v>3980</v>
      </c>
      <c r="AC246" s="18"/>
      <c r="AD246" s="18"/>
      <c r="AE246" s="18"/>
    </row>
    <row r="247" spans="1:31" x14ac:dyDescent="0.25">
      <c r="A247" s="18" t="s">
        <v>5000</v>
      </c>
      <c r="B247" s="30">
        <v>1985</v>
      </c>
      <c r="C247" s="13">
        <v>3217</v>
      </c>
      <c r="D247" s="14">
        <v>0.90300000000000002</v>
      </c>
      <c r="E247" s="14">
        <v>0.78100000000000003</v>
      </c>
      <c r="F247" s="13">
        <v>22</v>
      </c>
      <c r="G247" s="14">
        <v>0.85699999999999998</v>
      </c>
      <c r="H247" s="18" t="s">
        <v>4825</v>
      </c>
      <c r="I247" s="26" t="s">
        <v>123</v>
      </c>
      <c r="J247" s="18" t="s">
        <v>26</v>
      </c>
      <c r="K247" s="4"/>
      <c r="L247" s="9">
        <v>1985</v>
      </c>
      <c r="N247" s="30" t="s">
        <v>2365</v>
      </c>
      <c r="O247" s="13" t="s">
        <v>28</v>
      </c>
      <c r="P247" s="13">
        <f t="shared" si="7"/>
        <v>33</v>
      </c>
      <c r="Q247" s="15">
        <f t="shared" si="8"/>
        <v>97.484848484848484</v>
      </c>
      <c r="R247" s="13" t="s">
        <v>197</v>
      </c>
      <c r="S247" s="13" t="s">
        <v>62</v>
      </c>
      <c r="T247" s="13" t="s">
        <v>2366</v>
      </c>
      <c r="U247" s="13" t="s">
        <v>2367</v>
      </c>
      <c r="V247" s="13" t="s">
        <v>3980</v>
      </c>
      <c r="W247" s="13"/>
      <c r="X247" s="13" t="s">
        <v>3980</v>
      </c>
      <c r="Y247" s="13" t="s">
        <v>3980</v>
      </c>
      <c r="Z247" s="13" t="s">
        <v>3980</v>
      </c>
      <c r="AC247" s="18"/>
      <c r="AD247" s="18"/>
      <c r="AE247" s="18"/>
    </row>
    <row r="248" spans="1:31" x14ac:dyDescent="0.25">
      <c r="A248" s="18" t="s">
        <v>2850</v>
      </c>
      <c r="B248" s="30">
        <v>2005</v>
      </c>
      <c r="C248" s="13">
        <v>906</v>
      </c>
      <c r="D248" s="14">
        <v>0.68400000000000005</v>
      </c>
      <c r="E248" s="14">
        <v>0.78200000000000003</v>
      </c>
      <c r="F248" s="13">
        <v>8</v>
      </c>
      <c r="G248" s="14">
        <v>0.434</v>
      </c>
      <c r="I248" s="26" t="s">
        <v>123</v>
      </c>
      <c r="J248" s="4" t="s">
        <v>54</v>
      </c>
      <c r="L248" s="9">
        <v>2005</v>
      </c>
      <c r="N248" s="30" t="s">
        <v>123</v>
      </c>
      <c r="O248" s="13" t="s">
        <v>42</v>
      </c>
      <c r="P248" s="13">
        <f t="shared" si="7"/>
        <v>13</v>
      </c>
      <c r="Q248" s="15">
        <f t="shared" si="8"/>
        <v>69.692307692307693</v>
      </c>
      <c r="R248" s="13" t="s">
        <v>1312</v>
      </c>
      <c r="S248" s="13"/>
      <c r="T248" s="13" t="s">
        <v>2851</v>
      </c>
      <c r="U248" s="13"/>
      <c r="V248" s="13" t="s">
        <v>3980</v>
      </c>
      <c r="W248" s="13"/>
      <c r="X248" s="13" t="s">
        <v>4426</v>
      </c>
      <c r="Y248" s="13" t="s">
        <v>3980</v>
      </c>
      <c r="Z248" s="13" t="s">
        <v>3980</v>
      </c>
      <c r="AC248" s="18"/>
      <c r="AD248" s="18"/>
      <c r="AE248" s="18"/>
    </row>
    <row r="249" spans="1:31" x14ac:dyDescent="0.25">
      <c r="A249" s="18" t="s">
        <v>5040</v>
      </c>
      <c r="B249" s="30">
        <v>2005</v>
      </c>
      <c r="C249" s="13">
        <v>1591</v>
      </c>
      <c r="D249" s="14">
        <v>0.79900000000000004</v>
      </c>
      <c r="E249" s="14">
        <v>0.90800000000000003</v>
      </c>
      <c r="F249" s="13">
        <v>20</v>
      </c>
      <c r="G249" s="14">
        <v>0.82599999999999996</v>
      </c>
      <c r="H249" s="18" t="s">
        <v>3696</v>
      </c>
      <c r="I249" s="26" t="s">
        <v>123</v>
      </c>
      <c r="J249" s="18" t="s">
        <v>54</v>
      </c>
      <c r="K249" s="4"/>
      <c r="L249" s="9">
        <v>2005</v>
      </c>
      <c r="N249" s="30" t="s">
        <v>123</v>
      </c>
      <c r="O249" s="13" t="s">
        <v>28</v>
      </c>
      <c r="P249" s="13">
        <f t="shared" si="7"/>
        <v>13</v>
      </c>
      <c r="Q249" s="15">
        <f t="shared" si="8"/>
        <v>122.38461538461539</v>
      </c>
      <c r="R249" s="13" t="s">
        <v>947</v>
      </c>
      <c r="S249" s="13" t="s">
        <v>429</v>
      </c>
      <c r="T249" s="13" t="s">
        <v>2642</v>
      </c>
      <c r="U249" s="13" t="s">
        <v>2643</v>
      </c>
      <c r="V249" s="13" t="s">
        <v>4048</v>
      </c>
      <c r="W249" s="13"/>
      <c r="X249" s="13" t="s">
        <v>4427</v>
      </c>
      <c r="Y249" s="13" t="s">
        <v>3980</v>
      </c>
      <c r="Z249" s="13" t="s">
        <v>3980</v>
      </c>
      <c r="AC249" s="18"/>
      <c r="AD249" s="18"/>
      <c r="AE249" s="18"/>
    </row>
    <row r="250" spans="1:31" x14ac:dyDescent="0.25">
      <c r="A250" s="18" t="s">
        <v>254</v>
      </c>
      <c r="B250" s="30">
        <v>1997</v>
      </c>
      <c r="C250" s="13">
        <v>640</v>
      </c>
      <c r="D250" s="14">
        <v>0.61399999999999999</v>
      </c>
      <c r="E250" s="14">
        <v>0.91900000000000004</v>
      </c>
      <c r="F250" s="13">
        <v>12</v>
      </c>
      <c r="G250" s="14">
        <v>0.60899999999999999</v>
      </c>
      <c r="H250" s="18" t="s">
        <v>3205</v>
      </c>
      <c r="I250" s="26" t="s">
        <v>123</v>
      </c>
      <c r="J250" s="18" t="s">
        <v>105</v>
      </c>
      <c r="K250" s="4"/>
      <c r="L250" s="9">
        <v>1997</v>
      </c>
      <c r="N250" s="30" t="s">
        <v>123</v>
      </c>
      <c r="O250" s="13" t="s">
        <v>28</v>
      </c>
      <c r="P250" s="13">
        <f t="shared" si="7"/>
        <v>21</v>
      </c>
      <c r="Q250" s="15">
        <f t="shared" si="8"/>
        <v>30.476190476190474</v>
      </c>
      <c r="R250" s="13" t="s">
        <v>255</v>
      </c>
      <c r="S250" s="13"/>
      <c r="T250" s="13" t="s">
        <v>256</v>
      </c>
      <c r="U250" s="13" t="s">
        <v>257</v>
      </c>
      <c r="V250" s="13" t="s">
        <v>3980</v>
      </c>
      <c r="W250" s="13"/>
      <c r="X250" s="13" t="s">
        <v>4428</v>
      </c>
      <c r="Y250" s="13" t="s">
        <v>3980</v>
      </c>
      <c r="Z250" s="13" t="s">
        <v>3980</v>
      </c>
      <c r="AC250" s="18"/>
      <c r="AD250" s="18"/>
      <c r="AE250" s="18"/>
    </row>
    <row r="251" spans="1:31" x14ac:dyDescent="0.25">
      <c r="A251" s="18" t="s">
        <v>5019</v>
      </c>
      <c r="B251" s="30">
        <v>1991</v>
      </c>
      <c r="C251" s="13">
        <v>22</v>
      </c>
      <c r="D251" s="14">
        <v>0.10199999999999999</v>
      </c>
      <c r="E251" s="14">
        <v>4.7E-2</v>
      </c>
      <c r="F251" s="13">
        <v>2</v>
      </c>
      <c r="G251" s="14">
        <v>7.0999999999999994E-2</v>
      </c>
      <c r="I251" s="26" t="s">
        <v>886</v>
      </c>
      <c r="J251" s="18" t="s">
        <v>26</v>
      </c>
      <c r="L251" s="9">
        <v>1991</v>
      </c>
      <c r="N251" s="30" t="s">
        <v>564</v>
      </c>
      <c r="O251" s="13" t="s">
        <v>42</v>
      </c>
      <c r="P251" s="13">
        <f t="shared" si="7"/>
        <v>27</v>
      </c>
      <c r="Q251" s="15">
        <f t="shared" si="8"/>
        <v>0.81481481481481477</v>
      </c>
      <c r="R251" s="13" t="s">
        <v>238</v>
      </c>
      <c r="S251" s="13" t="s">
        <v>497</v>
      </c>
      <c r="T251" s="13" t="s">
        <v>2491</v>
      </c>
      <c r="U251" s="13" t="s">
        <v>2492</v>
      </c>
      <c r="V251" s="13" t="s">
        <v>4049</v>
      </c>
      <c r="W251" s="13"/>
      <c r="X251" s="13" t="s">
        <v>4429</v>
      </c>
      <c r="Y251" s="13" t="s">
        <v>3980</v>
      </c>
      <c r="Z251" s="13" t="s">
        <v>3980</v>
      </c>
      <c r="AC251" s="18"/>
      <c r="AD251" s="18"/>
      <c r="AE251" s="18"/>
    </row>
    <row r="252" spans="1:31" x14ac:dyDescent="0.25">
      <c r="A252" s="18" t="s">
        <v>1438</v>
      </c>
      <c r="B252" s="30">
        <v>2004</v>
      </c>
      <c r="C252" s="13">
        <v>28</v>
      </c>
      <c r="D252" s="14">
        <v>0.121</v>
      </c>
      <c r="E252" s="14">
        <v>0.23799999999999999</v>
      </c>
      <c r="F252" s="13">
        <v>3</v>
      </c>
      <c r="G252" s="14">
        <v>0.13100000000000001</v>
      </c>
      <c r="H252" s="18" t="s">
        <v>3527</v>
      </c>
      <c r="I252" s="26" t="s">
        <v>886</v>
      </c>
      <c r="J252" s="18" t="s">
        <v>105</v>
      </c>
      <c r="L252" s="9">
        <f>B252</f>
        <v>2004</v>
      </c>
      <c r="N252" s="30" t="s">
        <v>3089</v>
      </c>
      <c r="O252" s="13" t="s">
        <v>28</v>
      </c>
      <c r="P252" s="13">
        <f t="shared" si="7"/>
        <v>14</v>
      </c>
      <c r="Q252" s="15">
        <f t="shared" si="8"/>
        <v>2</v>
      </c>
      <c r="R252" s="13" t="s">
        <v>433</v>
      </c>
      <c r="S252" s="13"/>
      <c r="T252" s="13" t="s">
        <v>1439</v>
      </c>
      <c r="U252" s="13"/>
      <c r="V252" s="13" t="s">
        <v>3980</v>
      </c>
      <c r="W252" s="13"/>
      <c r="X252" s="13" t="s">
        <v>3980</v>
      </c>
      <c r="Y252" s="13" t="s">
        <v>3980</v>
      </c>
      <c r="Z252" s="13" t="s">
        <v>3980</v>
      </c>
      <c r="AC252" s="18"/>
      <c r="AD252" s="18"/>
      <c r="AE252" s="18"/>
    </row>
    <row r="253" spans="1:31" x14ac:dyDescent="0.25">
      <c r="A253" s="18" t="s">
        <v>1336</v>
      </c>
      <c r="B253" s="30">
        <v>2009</v>
      </c>
      <c r="C253" s="13">
        <v>55</v>
      </c>
      <c r="D253" s="14">
        <v>0.186</v>
      </c>
      <c r="E253" s="14">
        <v>9.7000000000000003E-2</v>
      </c>
      <c r="F253" s="13">
        <v>5</v>
      </c>
      <c r="G253" s="14">
        <v>0.27400000000000002</v>
      </c>
      <c r="H253" s="18" t="s">
        <v>3495</v>
      </c>
      <c r="I253" s="26" t="s">
        <v>886</v>
      </c>
      <c r="J253" s="18" t="s">
        <v>26</v>
      </c>
      <c r="L253" s="9">
        <f>B253</f>
        <v>2009</v>
      </c>
      <c r="M253" s="11"/>
      <c r="N253" s="30" t="s">
        <v>3086</v>
      </c>
      <c r="O253" s="13" t="s">
        <v>28</v>
      </c>
      <c r="P253" s="13">
        <f t="shared" si="7"/>
        <v>9</v>
      </c>
      <c r="Q253" s="15">
        <f t="shared" si="8"/>
        <v>6.1111111111111107</v>
      </c>
      <c r="R253" s="13" t="s">
        <v>1337</v>
      </c>
      <c r="S253" s="13"/>
      <c r="T253" s="13" t="s">
        <v>1338</v>
      </c>
      <c r="U253" s="13"/>
      <c r="V253" s="13" t="s">
        <v>3980</v>
      </c>
      <c r="W253" s="13"/>
      <c r="X253" s="13" t="s">
        <v>3980</v>
      </c>
      <c r="Y253" s="13" t="s">
        <v>3980</v>
      </c>
      <c r="Z253" s="13" t="s">
        <v>3980</v>
      </c>
      <c r="AC253" s="18"/>
      <c r="AD253" s="18"/>
      <c r="AE253" s="18"/>
    </row>
    <row r="254" spans="1:31" x14ac:dyDescent="0.25">
      <c r="A254" s="18" t="s">
        <v>885</v>
      </c>
      <c r="B254" s="30">
        <v>2007</v>
      </c>
      <c r="C254" s="13">
        <v>51</v>
      </c>
      <c r="D254" s="14">
        <v>0.18</v>
      </c>
      <c r="E254" s="14">
        <v>0.14599999999999999</v>
      </c>
      <c r="F254" s="13">
        <v>4</v>
      </c>
      <c r="G254" s="14">
        <v>0.19600000000000001</v>
      </c>
      <c r="H254" s="18" t="s">
        <v>3365</v>
      </c>
      <c r="I254" s="26" t="s">
        <v>886</v>
      </c>
      <c r="J254" s="18" t="s">
        <v>54</v>
      </c>
      <c r="K254" s="4"/>
      <c r="L254" s="9">
        <f>B254</f>
        <v>2007</v>
      </c>
      <c r="N254" s="30" t="s">
        <v>3086</v>
      </c>
      <c r="O254" s="13" t="s">
        <v>42</v>
      </c>
      <c r="P254" s="13">
        <f t="shared" si="7"/>
        <v>11</v>
      </c>
      <c r="Q254" s="15">
        <f t="shared" si="8"/>
        <v>4.6363636363636367</v>
      </c>
      <c r="R254" s="13" t="s">
        <v>887</v>
      </c>
      <c r="S254" s="13"/>
      <c r="T254" s="13" t="s">
        <v>888</v>
      </c>
      <c r="U254" s="13"/>
      <c r="V254" s="13" t="s">
        <v>3980</v>
      </c>
      <c r="W254" s="13"/>
      <c r="X254" s="13" t="s">
        <v>3980</v>
      </c>
      <c r="Y254" s="13" t="s">
        <v>3980</v>
      </c>
      <c r="Z254" s="13" t="s">
        <v>3980</v>
      </c>
      <c r="AC254" s="18"/>
      <c r="AD254" s="18"/>
      <c r="AE254" s="18"/>
    </row>
    <row r="255" spans="1:31" x14ac:dyDescent="0.25">
      <c r="A255" s="18" t="s">
        <v>5124</v>
      </c>
      <c r="B255" s="30">
        <v>2001</v>
      </c>
      <c r="C255" s="13">
        <v>35</v>
      </c>
      <c r="D255" s="14">
        <v>0.13800000000000001</v>
      </c>
      <c r="E255" s="14">
        <v>0.28000000000000003</v>
      </c>
      <c r="F255" s="13">
        <v>3</v>
      </c>
      <c r="G255" s="14">
        <v>0.13100000000000001</v>
      </c>
      <c r="I255" s="26" t="s">
        <v>886</v>
      </c>
      <c r="J255" s="4" t="s">
        <v>105</v>
      </c>
      <c r="L255" s="9">
        <v>2001</v>
      </c>
      <c r="N255" s="30" t="s">
        <v>181</v>
      </c>
      <c r="O255" s="13" t="s">
        <v>42</v>
      </c>
      <c r="P255" s="13">
        <f t="shared" si="7"/>
        <v>17</v>
      </c>
      <c r="Q255" s="15">
        <f t="shared" si="8"/>
        <v>2.0588235294117645</v>
      </c>
      <c r="R255" s="13" t="s">
        <v>2977</v>
      </c>
      <c r="S255" s="13" t="s">
        <v>2978</v>
      </c>
      <c r="T255" s="13" t="s">
        <v>2979</v>
      </c>
      <c r="U255" s="13"/>
      <c r="V255" s="13" t="s">
        <v>4050</v>
      </c>
      <c r="W255" s="13"/>
      <c r="X255" s="13" t="s">
        <v>4430</v>
      </c>
      <c r="Y255" s="13" t="s">
        <v>3980</v>
      </c>
      <c r="Z255" s="13" t="s">
        <v>3980</v>
      </c>
      <c r="AC255" s="18"/>
      <c r="AD255" s="18"/>
      <c r="AE255" s="18"/>
    </row>
    <row r="256" spans="1:31" x14ac:dyDescent="0.25">
      <c r="A256" s="18" t="s">
        <v>2885</v>
      </c>
      <c r="B256" s="30">
        <v>2001</v>
      </c>
      <c r="C256" s="13">
        <v>315</v>
      </c>
      <c r="D256" s="14">
        <v>0.45700000000000002</v>
      </c>
      <c r="E256" s="14">
        <v>0.248</v>
      </c>
      <c r="F256" s="13">
        <v>4</v>
      </c>
      <c r="G256" s="14">
        <v>0.19600000000000001</v>
      </c>
      <c r="I256" s="26" t="s">
        <v>886</v>
      </c>
      <c r="J256" s="18" t="s">
        <v>26</v>
      </c>
      <c r="K256" s="4"/>
      <c r="L256" s="9">
        <v>2001</v>
      </c>
      <c r="N256" s="30" t="s">
        <v>40</v>
      </c>
      <c r="O256" s="13" t="s">
        <v>28</v>
      </c>
      <c r="P256" s="13">
        <f t="shared" si="7"/>
        <v>17</v>
      </c>
      <c r="Q256" s="15">
        <f t="shared" si="8"/>
        <v>18.529411764705884</v>
      </c>
      <c r="R256" s="13" t="s">
        <v>2886</v>
      </c>
      <c r="S256" s="13"/>
      <c r="T256" s="13" t="s">
        <v>2346</v>
      </c>
      <c r="U256" s="13" t="s">
        <v>2887</v>
      </c>
      <c r="V256" s="13" t="s">
        <v>4051</v>
      </c>
      <c r="W256" s="13"/>
      <c r="X256" s="13" t="s">
        <v>4431</v>
      </c>
      <c r="Y256" s="13" t="s">
        <v>3980</v>
      </c>
      <c r="Z256" s="13" t="s">
        <v>3980</v>
      </c>
      <c r="AC256" s="18"/>
      <c r="AD256" s="18"/>
      <c r="AE256" s="18"/>
    </row>
    <row r="257" spans="1:31" x14ac:dyDescent="0.25">
      <c r="A257" s="18" t="s">
        <v>1560</v>
      </c>
      <c r="B257" s="30">
        <v>2007</v>
      </c>
      <c r="C257" s="13">
        <v>82</v>
      </c>
      <c r="D257" s="14">
        <v>0.23200000000000001</v>
      </c>
      <c r="E257" s="14">
        <v>0.2</v>
      </c>
      <c r="F257" s="13">
        <v>4</v>
      </c>
      <c r="G257" s="14">
        <v>0.19600000000000001</v>
      </c>
      <c r="H257" s="18" t="s">
        <v>3567</v>
      </c>
      <c r="I257" s="26" t="s">
        <v>886</v>
      </c>
      <c r="J257" s="18" t="s">
        <v>54</v>
      </c>
      <c r="L257" s="9">
        <f>B257</f>
        <v>2007</v>
      </c>
      <c r="N257" s="30" t="s">
        <v>3114</v>
      </c>
      <c r="O257" s="13" t="s">
        <v>42</v>
      </c>
      <c r="P257" s="13">
        <f t="shared" si="7"/>
        <v>11</v>
      </c>
      <c r="Q257" s="15">
        <f t="shared" si="8"/>
        <v>7.4545454545454541</v>
      </c>
      <c r="R257" s="13" t="s">
        <v>1561</v>
      </c>
      <c r="S257" s="13"/>
      <c r="T257" s="13" t="s">
        <v>1562</v>
      </c>
      <c r="U257" s="13"/>
      <c r="V257" s="13" t="s">
        <v>3980</v>
      </c>
      <c r="W257" s="13"/>
      <c r="X257" s="13" t="s">
        <v>3980</v>
      </c>
      <c r="Y257" s="13" t="s">
        <v>3980</v>
      </c>
      <c r="Z257" s="13" t="s">
        <v>3980</v>
      </c>
      <c r="AC257" s="18"/>
      <c r="AD257" s="18"/>
      <c r="AE257" s="18"/>
    </row>
    <row r="258" spans="1:31" x14ac:dyDescent="0.25">
      <c r="A258" s="18" t="s">
        <v>1058</v>
      </c>
      <c r="B258" s="30">
        <v>2005</v>
      </c>
      <c r="C258" s="13">
        <v>170</v>
      </c>
      <c r="D258" s="14">
        <v>0.35899999999999999</v>
      </c>
      <c r="E258" s="14">
        <v>0.66300000000000003</v>
      </c>
      <c r="F258" s="13">
        <v>7</v>
      </c>
      <c r="G258" s="14">
        <v>0.39300000000000002</v>
      </c>
      <c r="H258" s="18" t="s">
        <v>3622</v>
      </c>
      <c r="I258" s="26" t="s">
        <v>886</v>
      </c>
      <c r="J258" t="s">
        <v>105</v>
      </c>
      <c r="L258" s="9">
        <v>2005</v>
      </c>
      <c r="N258" s="30" t="s">
        <v>181</v>
      </c>
      <c r="O258" s="13" t="s">
        <v>28</v>
      </c>
      <c r="P258" s="13">
        <f t="shared" ref="P258:P321" si="9">2018-L258</f>
        <v>13</v>
      </c>
      <c r="Q258" s="15">
        <f t="shared" ref="Q258:Q321" si="10">C258/P258</f>
        <v>13.076923076923077</v>
      </c>
      <c r="R258" s="13" t="s">
        <v>1059</v>
      </c>
      <c r="S258" s="13"/>
      <c r="T258" s="13" t="s">
        <v>1060</v>
      </c>
      <c r="U258" s="13" t="s">
        <v>1061</v>
      </c>
      <c r="V258" s="13" t="s">
        <v>4052</v>
      </c>
      <c r="W258" s="13"/>
      <c r="X258" s="13" t="s">
        <v>4432</v>
      </c>
      <c r="Y258" s="13" t="s">
        <v>3980</v>
      </c>
      <c r="Z258" s="13" t="s">
        <v>3980</v>
      </c>
      <c r="AC258" s="18"/>
      <c r="AD258" s="18"/>
      <c r="AE258" s="18"/>
    </row>
    <row r="259" spans="1:31" x14ac:dyDescent="0.25">
      <c r="A259" s="18" t="s">
        <v>3041</v>
      </c>
      <c r="B259" s="30">
        <v>1986</v>
      </c>
      <c r="C259" s="13">
        <v>1203</v>
      </c>
      <c r="D259" s="14">
        <v>0.73899999999999999</v>
      </c>
      <c r="E259" s="14">
        <v>0.496</v>
      </c>
      <c r="F259" s="13">
        <v>13</v>
      </c>
      <c r="G259" s="14">
        <v>0.64500000000000002</v>
      </c>
      <c r="I259" s="26" t="s">
        <v>843</v>
      </c>
      <c r="J259" s="18" t="s">
        <v>26</v>
      </c>
      <c r="L259" s="9">
        <v>1986</v>
      </c>
      <c r="N259" s="30" t="s">
        <v>41</v>
      </c>
      <c r="O259" s="13" t="s">
        <v>42</v>
      </c>
      <c r="P259" s="13">
        <f t="shared" si="9"/>
        <v>32</v>
      </c>
      <c r="Q259" s="15">
        <f t="shared" si="10"/>
        <v>37.59375</v>
      </c>
      <c r="R259" s="13" t="s">
        <v>3042</v>
      </c>
      <c r="S259" s="13"/>
      <c r="T259" s="13" t="s">
        <v>3043</v>
      </c>
      <c r="U259" s="13"/>
      <c r="V259" s="13" t="s">
        <v>3980</v>
      </c>
      <c r="W259" s="13"/>
      <c r="X259" s="13" t="s">
        <v>3980</v>
      </c>
      <c r="Y259" s="13" t="s">
        <v>3980</v>
      </c>
      <c r="Z259" s="13" t="s">
        <v>3980</v>
      </c>
      <c r="AC259" s="18"/>
      <c r="AD259" s="18"/>
      <c r="AE259" s="18"/>
    </row>
    <row r="260" spans="1:31" x14ac:dyDescent="0.25">
      <c r="A260" s="18" t="s">
        <v>1972</v>
      </c>
      <c r="B260" s="30">
        <v>1995</v>
      </c>
      <c r="C260" s="13">
        <v>103</v>
      </c>
      <c r="D260" s="14">
        <v>0.26700000000000002</v>
      </c>
      <c r="E260" s="14">
        <v>0.23400000000000001</v>
      </c>
      <c r="F260" s="13">
        <v>5</v>
      </c>
      <c r="G260" s="14">
        <v>0.27400000000000002</v>
      </c>
      <c r="I260" s="26" t="s">
        <v>843</v>
      </c>
      <c r="J260" s="18" t="s">
        <v>54</v>
      </c>
      <c r="L260" s="9">
        <f>B260</f>
        <v>1995</v>
      </c>
      <c r="N260" s="30" t="s">
        <v>2593</v>
      </c>
      <c r="O260" s="13" t="s">
        <v>42</v>
      </c>
      <c r="P260" s="13">
        <f t="shared" si="9"/>
        <v>23</v>
      </c>
      <c r="Q260" s="15">
        <f t="shared" si="10"/>
        <v>4.4782608695652177</v>
      </c>
      <c r="R260" s="13" t="s">
        <v>1973</v>
      </c>
      <c r="S260" s="13"/>
      <c r="T260" s="13" t="s">
        <v>1974</v>
      </c>
      <c r="U260" s="13"/>
      <c r="V260" s="13" t="s">
        <v>3980</v>
      </c>
      <c r="W260" s="13"/>
      <c r="X260" s="13" t="s">
        <v>3980</v>
      </c>
      <c r="Y260" s="13" t="s">
        <v>3980</v>
      </c>
      <c r="Z260" s="13" t="s">
        <v>3980</v>
      </c>
      <c r="AC260" s="18"/>
      <c r="AD260" s="18"/>
      <c r="AE260" s="18"/>
    </row>
    <row r="261" spans="1:31" x14ac:dyDescent="0.25">
      <c r="A261" s="18" t="s">
        <v>842</v>
      </c>
      <c r="B261" s="30">
        <v>2012</v>
      </c>
      <c r="C261" s="13">
        <v>98</v>
      </c>
      <c r="D261" s="14">
        <v>0.26100000000000001</v>
      </c>
      <c r="E261" s="14">
        <v>0.498</v>
      </c>
      <c r="F261" s="13">
        <v>4</v>
      </c>
      <c r="G261" s="14">
        <v>0.19600000000000001</v>
      </c>
      <c r="H261" s="18" t="s">
        <v>3352</v>
      </c>
      <c r="I261" s="26" t="s">
        <v>843</v>
      </c>
      <c r="J261" t="s">
        <v>105</v>
      </c>
      <c r="L261" s="9">
        <v>2012</v>
      </c>
      <c r="N261" s="30" t="s">
        <v>3083</v>
      </c>
      <c r="O261" s="13" t="s">
        <v>28</v>
      </c>
      <c r="P261" s="13">
        <f t="shared" si="9"/>
        <v>6</v>
      </c>
      <c r="Q261" s="15">
        <f t="shared" si="10"/>
        <v>16.333333333333332</v>
      </c>
      <c r="R261" s="13" t="s">
        <v>147</v>
      </c>
      <c r="S261" s="13"/>
      <c r="T261" s="13" t="s">
        <v>844</v>
      </c>
      <c r="U261" s="13"/>
      <c r="V261" s="13" t="s">
        <v>3980</v>
      </c>
      <c r="W261" s="13"/>
      <c r="X261" s="13" t="s">
        <v>3980</v>
      </c>
      <c r="Y261" s="13" t="s">
        <v>3980</v>
      </c>
      <c r="Z261" s="13" t="s">
        <v>3980</v>
      </c>
      <c r="AC261" s="18"/>
      <c r="AD261" s="18"/>
      <c r="AE261" s="18"/>
    </row>
    <row r="262" spans="1:31" x14ac:dyDescent="0.25">
      <c r="A262" s="18" t="s">
        <v>2944</v>
      </c>
      <c r="B262" s="30">
        <v>2010</v>
      </c>
      <c r="C262" s="8">
        <v>53</v>
      </c>
      <c r="D262" s="14">
        <v>0.184</v>
      </c>
      <c r="E262" s="14">
        <v>0.151</v>
      </c>
      <c r="F262" s="8">
        <v>4</v>
      </c>
      <c r="G262" s="14">
        <v>0.19600000000000001</v>
      </c>
      <c r="H262" s="18" t="s">
        <v>3588</v>
      </c>
      <c r="I262" s="26" t="s">
        <v>843</v>
      </c>
      <c r="J262" s="18" t="s">
        <v>54</v>
      </c>
      <c r="L262" s="9">
        <f>B262</f>
        <v>2010</v>
      </c>
      <c r="N262" s="28" t="s">
        <v>34</v>
      </c>
      <c r="O262" s="13" t="s">
        <v>28</v>
      </c>
      <c r="P262" s="13">
        <f t="shared" si="9"/>
        <v>8</v>
      </c>
      <c r="Q262" s="15">
        <f t="shared" si="10"/>
        <v>6.625</v>
      </c>
      <c r="R262" s="18" t="s">
        <v>3782</v>
      </c>
      <c r="T262" s="18" t="s">
        <v>3783</v>
      </c>
      <c r="V262" s="18" t="s">
        <v>3980</v>
      </c>
      <c r="X262" s="18" t="s">
        <v>3980</v>
      </c>
      <c r="Y262" s="18" t="s">
        <v>3980</v>
      </c>
      <c r="Z262" s="18" t="s">
        <v>3980</v>
      </c>
      <c r="AC262" s="18"/>
      <c r="AD262" s="18"/>
      <c r="AE262" s="18"/>
    </row>
    <row r="263" spans="1:31" x14ac:dyDescent="0.25">
      <c r="A263" s="18" t="s">
        <v>1809</v>
      </c>
      <c r="B263" s="30">
        <v>1988</v>
      </c>
      <c r="C263" s="13">
        <v>9</v>
      </c>
      <c r="D263" s="14">
        <v>6.3E-2</v>
      </c>
      <c r="E263" s="14">
        <v>0.06</v>
      </c>
      <c r="F263" s="13">
        <v>1</v>
      </c>
      <c r="G263" s="14">
        <v>0</v>
      </c>
      <c r="I263" s="26" t="s">
        <v>843</v>
      </c>
      <c r="J263" s="18" t="s">
        <v>54</v>
      </c>
      <c r="L263" s="9">
        <v>1988</v>
      </c>
      <c r="N263" s="30" t="s">
        <v>72</v>
      </c>
      <c r="O263" s="13" t="s">
        <v>28</v>
      </c>
      <c r="P263" s="13">
        <f t="shared" si="9"/>
        <v>30</v>
      </c>
      <c r="Q263" s="15">
        <f t="shared" si="10"/>
        <v>0.3</v>
      </c>
      <c r="R263" s="13" t="s">
        <v>1810</v>
      </c>
      <c r="S263" s="13"/>
      <c r="T263" s="13" t="s">
        <v>1811</v>
      </c>
      <c r="U263" s="13" t="s">
        <v>1812</v>
      </c>
      <c r="V263" s="13" t="s">
        <v>3980</v>
      </c>
      <c r="W263" s="13"/>
      <c r="X263" s="13" t="s">
        <v>4433</v>
      </c>
      <c r="Y263" s="13" t="s">
        <v>3980</v>
      </c>
      <c r="Z263" s="13" t="s">
        <v>3980</v>
      </c>
      <c r="AC263" s="18"/>
      <c r="AD263" s="18"/>
      <c r="AE263" s="18"/>
    </row>
    <row r="264" spans="1:31" x14ac:dyDescent="0.25">
      <c r="A264" s="18" t="s">
        <v>1982</v>
      </c>
      <c r="B264" s="30">
        <v>2002</v>
      </c>
      <c r="C264" s="13">
        <v>42</v>
      </c>
      <c r="D264" s="14">
        <v>0.156</v>
      </c>
      <c r="E264" s="14">
        <v>0.12</v>
      </c>
      <c r="F264" s="13">
        <v>3</v>
      </c>
      <c r="G264" s="14">
        <v>0.13100000000000001</v>
      </c>
      <c r="I264" s="26" t="s">
        <v>843</v>
      </c>
      <c r="J264" s="18" t="s">
        <v>54</v>
      </c>
      <c r="K264" s="4"/>
      <c r="L264" s="9">
        <v>2002</v>
      </c>
      <c r="M264" s="11"/>
      <c r="N264" s="30" t="s">
        <v>34</v>
      </c>
      <c r="O264" s="13" t="s">
        <v>42</v>
      </c>
      <c r="P264" s="13">
        <f t="shared" si="9"/>
        <v>16</v>
      </c>
      <c r="Q264" s="15">
        <f t="shared" si="10"/>
        <v>2.625</v>
      </c>
      <c r="R264" s="13" t="s">
        <v>1983</v>
      </c>
      <c r="S264" s="13"/>
      <c r="T264" s="13" t="s">
        <v>528</v>
      </c>
      <c r="U264" s="13" t="s">
        <v>1984</v>
      </c>
      <c r="V264" s="13" t="s">
        <v>3980</v>
      </c>
      <c r="W264" s="13"/>
      <c r="X264" s="13" t="s">
        <v>3980</v>
      </c>
      <c r="Y264" s="13" t="s">
        <v>3980</v>
      </c>
      <c r="Z264" s="13" t="s">
        <v>3980</v>
      </c>
      <c r="AC264" s="18"/>
      <c r="AD264" s="18"/>
      <c r="AE264" s="18"/>
    </row>
    <row r="265" spans="1:31" x14ac:dyDescent="0.25">
      <c r="A265" s="18" t="s">
        <v>1532</v>
      </c>
      <c r="B265" s="30">
        <v>1994</v>
      </c>
      <c r="C265" s="8">
        <v>46</v>
      </c>
      <c r="D265" s="14">
        <v>0.16900000000000001</v>
      </c>
      <c r="E265" s="14">
        <v>0.13400000000000001</v>
      </c>
      <c r="F265" s="8">
        <v>4</v>
      </c>
      <c r="G265" s="14">
        <v>0.19600000000000001</v>
      </c>
      <c r="H265" s="18" t="s">
        <v>3541</v>
      </c>
      <c r="I265" s="26" t="s">
        <v>843</v>
      </c>
      <c r="J265" s="18" t="s">
        <v>54</v>
      </c>
      <c r="L265" s="9">
        <f>B265</f>
        <v>1994</v>
      </c>
      <c r="M265" s="20" t="s">
        <v>3132</v>
      </c>
      <c r="N265" s="28" t="s">
        <v>123</v>
      </c>
      <c r="O265" s="13" t="s">
        <v>28</v>
      </c>
      <c r="P265" s="13">
        <f t="shared" si="9"/>
        <v>24</v>
      </c>
      <c r="Q265" s="15">
        <f t="shared" si="10"/>
        <v>1.9166666666666667</v>
      </c>
      <c r="R265" s="18" t="s">
        <v>3774</v>
      </c>
      <c r="T265" s="18" t="s">
        <v>3775</v>
      </c>
      <c r="V265" s="18" t="s">
        <v>3980</v>
      </c>
      <c r="X265" s="18" t="s">
        <v>3980</v>
      </c>
      <c r="Y265" s="18" t="s">
        <v>3980</v>
      </c>
      <c r="Z265" s="18" t="s">
        <v>3980</v>
      </c>
      <c r="AC265" s="18"/>
      <c r="AD265" s="18"/>
      <c r="AE265" s="18"/>
    </row>
    <row r="266" spans="1:31" x14ac:dyDescent="0.25">
      <c r="A266" s="18" t="s">
        <v>4931</v>
      </c>
      <c r="B266" s="30">
        <v>1996</v>
      </c>
      <c r="C266" s="13">
        <v>4927</v>
      </c>
      <c r="D266" s="14">
        <v>0.94399999999999995</v>
      </c>
      <c r="E266" s="14">
        <v>0.872</v>
      </c>
      <c r="F266" s="13">
        <v>30</v>
      </c>
      <c r="G266" s="14">
        <v>0.93200000000000005</v>
      </c>
      <c r="I266" s="26" t="s">
        <v>1266</v>
      </c>
      <c r="J266" s="4" t="s">
        <v>26</v>
      </c>
      <c r="L266" s="9">
        <v>1996</v>
      </c>
      <c r="N266" s="30" t="s">
        <v>34</v>
      </c>
      <c r="O266" s="13" t="s">
        <v>42</v>
      </c>
      <c r="P266" s="13">
        <f t="shared" si="9"/>
        <v>22</v>
      </c>
      <c r="Q266" s="15">
        <f t="shared" si="10"/>
        <v>223.95454545454547</v>
      </c>
      <c r="R266" s="13" t="s">
        <v>2040</v>
      </c>
      <c r="S266" s="13" t="s">
        <v>2041</v>
      </c>
      <c r="T266" s="13" t="s">
        <v>1911</v>
      </c>
      <c r="U266" s="13" t="s">
        <v>2042</v>
      </c>
      <c r="V266" s="13" t="s">
        <v>4053</v>
      </c>
      <c r="W266" s="13"/>
      <c r="X266" s="13" t="s">
        <v>3980</v>
      </c>
      <c r="Y266" s="13" t="s">
        <v>3980</v>
      </c>
      <c r="Z266" s="13" t="s">
        <v>3980</v>
      </c>
      <c r="AC266" s="18"/>
      <c r="AD266" s="18"/>
      <c r="AE266" s="18"/>
    </row>
    <row r="267" spans="1:31" x14ac:dyDescent="0.25">
      <c r="A267" s="18" t="s">
        <v>3048</v>
      </c>
      <c r="B267" s="30">
        <v>2008</v>
      </c>
      <c r="C267" s="13">
        <v>44</v>
      </c>
      <c r="D267" s="14">
        <v>0.16</v>
      </c>
      <c r="E267" s="14">
        <v>0.123</v>
      </c>
      <c r="F267" s="13">
        <v>1</v>
      </c>
      <c r="G267" s="14">
        <v>0</v>
      </c>
      <c r="H267" s="18" t="s">
        <v>4828</v>
      </c>
      <c r="I267" s="26" t="s">
        <v>1266</v>
      </c>
      <c r="J267" s="4" t="s">
        <v>54</v>
      </c>
      <c r="L267" s="9">
        <v>2008</v>
      </c>
      <c r="N267" s="30" t="s">
        <v>123</v>
      </c>
      <c r="O267" s="13" t="s">
        <v>28</v>
      </c>
      <c r="P267" s="13">
        <f t="shared" si="9"/>
        <v>10</v>
      </c>
      <c r="Q267" s="15">
        <f t="shared" si="10"/>
        <v>4.4000000000000004</v>
      </c>
      <c r="R267" s="13" t="s">
        <v>3049</v>
      </c>
      <c r="S267" s="13"/>
      <c r="T267" s="13" t="s">
        <v>3023</v>
      </c>
      <c r="U267" s="13"/>
      <c r="V267" s="13" t="s">
        <v>4054</v>
      </c>
      <c r="W267" s="13"/>
      <c r="X267" s="13" t="s">
        <v>4434</v>
      </c>
      <c r="Y267" s="13" t="s">
        <v>3980</v>
      </c>
      <c r="Z267" s="13" t="s">
        <v>3980</v>
      </c>
      <c r="AC267" s="18"/>
      <c r="AD267" s="18"/>
      <c r="AE267" s="18"/>
    </row>
    <row r="268" spans="1:31" x14ac:dyDescent="0.25">
      <c r="A268" s="18" t="s">
        <v>2597</v>
      </c>
      <c r="B268" s="30">
        <v>2006</v>
      </c>
      <c r="C268" s="8">
        <v>435</v>
      </c>
      <c r="D268" s="14">
        <v>0.52500000000000002</v>
      </c>
      <c r="E268" s="14">
        <v>0.56999999999999995</v>
      </c>
      <c r="F268" s="8">
        <v>11</v>
      </c>
      <c r="G268" s="14">
        <v>0.56000000000000005</v>
      </c>
      <c r="H268" s="18" t="s">
        <v>3553</v>
      </c>
      <c r="I268" s="26" t="s">
        <v>1266</v>
      </c>
      <c r="J268" s="4" t="s">
        <v>54</v>
      </c>
      <c r="L268" s="9">
        <f>B268</f>
        <v>2006</v>
      </c>
      <c r="N268" s="28" t="s">
        <v>123</v>
      </c>
      <c r="O268" s="13" t="s">
        <v>42</v>
      </c>
      <c r="P268" s="13">
        <f t="shared" si="9"/>
        <v>12</v>
      </c>
      <c r="Q268" s="15">
        <f t="shared" si="10"/>
        <v>36.25</v>
      </c>
      <c r="R268" s="18" t="s">
        <v>3776</v>
      </c>
      <c r="T268" s="18" t="s">
        <v>3777</v>
      </c>
      <c r="V268" s="18" t="s">
        <v>3980</v>
      </c>
      <c r="X268" s="18" t="s">
        <v>3980</v>
      </c>
      <c r="Y268" s="18" t="s">
        <v>3980</v>
      </c>
      <c r="Z268" s="18" t="s">
        <v>3980</v>
      </c>
      <c r="AC268" s="18"/>
      <c r="AD268" s="18"/>
      <c r="AE268" s="18"/>
    </row>
    <row r="269" spans="1:31" x14ac:dyDescent="0.25">
      <c r="A269" s="18" t="s">
        <v>2571</v>
      </c>
      <c r="B269" s="30">
        <v>1975</v>
      </c>
      <c r="C269" s="13">
        <v>2357</v>
      </c>
      <c r="D269" s="14">
        <v>0.86299999999999999</v>
      </c>
      <c r="E269" s="14">
        <v>0.69899999999999995</v>
      </c>
      <c r="F269" s="13">
        <v>22</v>
      </c>
      <c r="G269" s="14">
        <v>0.85699999999999998</v>
      </c>
      <c r="H269" s="18" t="s">
        <v>3545</v>
      </c>
      <c r="I269" s="26" t="s">
        <v>1266</v>
      </c>
      <c r="J269" s="4" t="s">
        <v>26</v>
      </c>
      <c r="K269" s="4"/>
      <c r="L269" s="9">
        <v>1975</v>
      </c>
      <c r="N269" s="30" t="s">
        <v>192</v>
      </c>
      <c r="O269" s="13" t="s">
        <v>28</v>
      </c>
      <c r="P269" s="13">
        <f t="shared" si="9"/>
        <v>43</v>
      </c>
      <c r="Q269" s="15">
        <f t="shared" si="10"/>
        <v>54.813953488372093</v>
      </c>
      <c r="R269" s="13" t="s">
        <v>1205</v>
      </c>
      <c r="S269" s="13"/>
      <c r="T269" s="13" t="s">
        <v>2572</v>
      </c>
      <c r="U269" s="13" t="s">
        <v>2573</v>
      </c>
      <c r="V269" s="13" t="s">
        <v>4055</v>
      </c>
      <c r="W269" s="13"/>
      <c r="X269" s="13" t="s">
        <v>4435</v>
      </c>
      <c r="Y269" s="13" t="s">
        <v>3980</v>
      </c>
      <c r="Z269" s="13" t="s">
        <v>3980</v>
      </c>
      <c r="AC269" s="18"/>
      <c r="AD269" s="18"/>
      <c r="AE269" s="18"/>
    </row>
    <row r="270" spans="1:31" x14ac:dyDescent="0.25">
      <c r="A270" s="18" t="s">
        <v>2278</v>
      </c>
      <c r="B270" s="30">
        <v>1990</v>
      </c>
      <c r="C270" s="13">
        <v>2022</v>
      </c>
      <c r="D270" s="14">
        <v>0.83599999999999997</v>
      </c>
      <c r="E270" s="14">
        <v>0.64600000000000002</v>
      </c>
      <c r="F270" s="13">
        <v>24</v>
      </c>
      <c r="G270" s="14">
        <v>0.88300000000000001</v>
      </c>
      <c r="I270" s="26" t="s">
        <v>1266</v>
      </c>
      <c r="J270" s="4" t="s">
        <v>26</v>
      </c>
      <c r="K270" s="4"/>
      <c r="L270" s="9">
        <v>1990</v>
      </c>
      <c r="N270" s="30" t="s">
        <v>41</v>
      </c>
      <c r="O270" s="13" t="s">
        <v>42</v>
      </c>
      <c r="P270" s="13">
        <f t="shared" si="9"/>
        <v>28</v>
      </c>
      <c r="Q270" s="15">
        <f t="shared" si="10"/>
        <v>72.214285714285708</v>
      </c>
      <c r="R270" s="13" t="s">
        <v>2279</v>
      </c>
      <c r="S270" s="13"/>
      <c r="T270" s="13" t="s">
        <v>2280</v>
      </c>
      <c r="U270" s="13" t="s">
        <v>2281</v>
      </c>
      <c r="V270" s="13" t="s">
        <v>3980</v>
      </c>
      <c r="W270" s="13"/>
      <c r="X270" s="13" t="s">
        <v>3980</v>
      </c>
      <c r="Y270" s="13" t="s">
        <v>3980</v>
      </c>
      <c r="Z270" s="13" t="s">
        <v>3980</v>
      </c>
      <c r="AC270" s="18"/>
      <c r="AD270" s="18"/>
      <c r="AE270" s="18"/>
    </row>
    <row r="271" spans="1:31" x14ac:dyDescent="0.25">
      <c r="A271" s="18" t="s">
        <v>1265</v>
      </c>
      <c r="B271" s="30">
        <v>1988</v>
      </c>
      <c r="C271" s="13">
        <v>2125</v>
      </c>
      <c r="D271" s="14">
        <v>0.84599999999999997</v>
      </c>
      <c r="E271" s="14">
        <v>0.66700000000000004</v>
      </c>
      <c r="F271" s="13">
        <v>20</v>
      </c>
      <c r="G271" s="14">
        <v>0.82599999999999996</v>
      </c>
      <c r="H271" s="18" t="s">
        <v>3476</v>
      </c>
      <c r="I271" s="26" t="s">
        <v>1266</v>
      </c>
      <c r="J271" s="4" t="s">
        <v>26</v>
      </c>
      <c r="K271" s="4"/>
      <c r="L271" s="9">
        <v>1988</v>
      </c>
      <c r="N271" s="30" t="s">
        <v>123</v>
      </c>
      <c r="O271" s="13" t="s">
        <v>28</v>
      </c>
      <c r="P271" s="13">
        <f t="shared" si="9"/>
        <v>30</v>
      </c>
      <c r="Q271" s="15">
        <f t="shared" si="10"/>
        <v>70.833333333333329</v>
      </c>
      <c r="R271" s="13" t="s">
        <v>260</v>
      </c>
      <c r="S271" s="13"/>
      <c r="T271" s="13" t="s">
        <v>1267</v>
      </c>
      <c r="U271" s="13" t="s">
        <v>1268</v>
      </c>
      <c r="V271" s="13" t="s">
        <v>4056</v>
      </c>
      <c r="W271" s="13"/>
      <c r="X271" s="13" t="s">
        <v>4436</v>
      </c>
      <c r="Y271" s="13" t="s">
        <v>3980</v>
      </c>
      <c r="Z271" s="13" t="s">
        <v>3980</v>
      </c>
      <c r="AC271" s="18"/>
      <c r="AD271" s="18"/>
      <c r="AE271" s="18"/>
    </row>
    <row r="272" spans="1:31" x14ac:dyDescent="0.25">
      <c r="A272" s="18" t="s">
        <v>5041</v>
      </c>
      <c r="B272" s="30">
        <v>1987</v>
      </c>
      <c r="C272" s="13">
        <v>70</v>
      </c>
      <c r="D272" s="14">
        <v>0.21299999999999999</v>
      </c>
      <c r="E272" s="14">
        <v>0.11600000000000001</v>
      </c>
      <c r="F272" s="13">
        <v>3</v>
      </c>
      <c r="G272" s="14">
        <v>0.13100000000000001</v>
      </c>
      <c r="I272" s="26" t="s">
        <v>296</v>
      </c>
      <c r="J272" s="4" t="s">
        <v>26</v>
      </c>
      <c r="K272" s="4"/>
      <c r="L272" s="9">
        <f>B272</f>
        <v>1987</v>
      </c>
      <c r="M272" s="11"/>
      <c r="N272" s="30" t="s">
        <v>3146</v>
      </c>
      <c r="O272" s="13" t="s">
        <v>42</v>
      </c>
      <c r="P272" s="13">
        <f t="shared" si="9"/>
        <v>31</v>
      </c>
      <c r="Q272" s="15">
        <f t="shared" si="10"/>
        <v>2.2580645161290325</v>
      </c>
      <c r="R272" s="13" t="s">
        <v>1331</v>
      </c>
      <c r="S272" s="13" t="s">
        <v>859</v>
      </c>
      <c r="T272" s="13" t="s">
        <v>2644</v>
      </c>
      <c r="U272" s="13"/>
      <c r="V272" s="13" t="s">
        <v>3980</v>
      </c>
      <c r="W272" s="13"/>
      <c r="X272" s="13" t="s">
        <v>3980</v>
      </c>
      <c r="Y272" s="13" t="s">
        <v>3980</v>
      </c>
      <c r="Z272" s="13" t="s">
        <v>3980</v>
      </c>
      <c r="AC272" s="18"/>
      <c r="AD272" s="18"/>
      <c r="AE272" s="18"/>
    </row>
    <row r="273" spans="1:31" x14ac:dyDescent="0.25">
      <c r="A273" s="28" t="s">
        <v>2683</v>
      </c>
      <c r="B273" s="30">
        <v>1994</v>
      </c>
      <c r="C273" s="13">
        <v>57</v>
      </c>
      <c r="D273" s="14">
        <v>0.193</v>
      </c>
      <c r="E273" s="14">
        <v>0.10199999999999999</v>
      </c>
      <c r="F273" s="13">
        <v>4</v>
      </c>
      <c r="G273" s="14">
        <v>0.19600000000000001</v>
      </c>
      <c r="I273" s="26" t="s">
        <v>296</v>
      </c>
      <c r="J273" s="18" t="s">
        <v>26</v>
      </c>
      <c r="K273" s="4"/>
      <c r="L273" s="9">
        <v>1994</v>
      </c>
      <c r="N273" s="30" t="s">
        <v>140</v>
      </c>
      <c r="O273" s="13" t="s">
        <v>42</v>
      </c>
      <c r="P273" s="13">
        <f t="shared" si="9"/>
        <v>24</v>
      </c>
      <c r="Q273" s="15">
        <f t="shared" si="10"/>
        <v>2.375</v>
      </c>
      <c r="R273" s="13" t="s">
        <v>1636</v>
      </c>
      <c r="S273" s="13" t="s">
        <v>1015</v>
      </c>
      <c r="T273" s="13" t="s">
        <v>2684</v>
      </c>
      <c r="U273" s="13" t="s">
        <v>2685</v>
      </c>
      <c r="V273" s="13" t="s">
        <v>3980</v>
      </c>
      <c r="W273" s="13"/>
      <c r="X273" s="13" t="s">
        <v>3980</v>
      </c>
      <c r="Y273" s="13" t="s">
        <v>3980</v>
      </c>
      <c r="Z273" s="13" t="s">
        <v>3980</v>
      </c>
      <c r="AC273" s="18"/>
      <c r="AD273" s="18"/>
      <c r="AE273" s="18"/>
    </row>
    <row r="274" spans="1:31" x14ac:dyDescent="0.25">
      <c r="A274" s="18" t="s">
        <v>2815</v>
      </c>
      <c r="B274" s="30">
        <v>2003</v>
      </c>
      <c r="C274" s="13">
        <v>345</v>
      </c>
      <c r="D274" s="14">
        <v>0.47099999999999997</v>
      </c>
      <c r="E274" s="14">
        <v>0.48899999999999999</v>
      </c>
      <c r="F274" s="13">
        <v>8</v>
      </c>
      <c r="G274" s="14">
        <v>0.434</v>
      </c>
      <c r="I274" s="26" t="s">
        <v>296</v>
      </c>
      <c r="J274" s="18" t="s">
        <v>54</v>
      </c>
      <c r="L274" s="9">
        <f>B274</f>
        <v>2003</v>
      </c>
      <c r="N274" s="30" t="s">
        <v>1921</v>
      </c>
      <c r="O274" s="13" t="s">
        <v>42</v>
      </c>
      <c r="P274" s="13">
        <f t="shared" si="9"/>
        <v>15</v>
      </c>
      <c r="Q274" s="15">
        <f t="shared" si="10"/>
        <v>23</v>
      </c>
      <c r="R274" s="13" t="s">
        <v>2816</v>
      </c>
      <c r="S274" s="13"/>
      <c r="T274" s="13" t="s">
        <v>869</v>
      </c>
      <c r="U274" s="13"/>
      <c r="V274" s="13" t="s">
        <v>3980</v>
      </c>
      <c r="W274" s="13"/>
      <c r="X274" s="13" t="s">
        <v>3980</v>
      </c>
      <c r="Y274" s="13" t="s">
        <v>3980</v>
      </c>
      <c r="Z274" s="13" t="s">
        <v>3980</v>
      </c>
      <c r="AC274" s="18"/>
      <c r="AD274" s="18"/>
      <c r="AE274" s="18"/>
    </row>
    <row r="275" spans="1:31" x14ac:dyDescent="0.25">
      <c r="A275" s="18" t="s">
        <v>4832</v>
      </c>
      <c r="B275" s="30">
        <v>1986</v>
      </c>
      <c r="C275" s="13">
        <v>5915</v>
      </c>
      <c r="D275" s="14">
        <v>0.95799999999999996</v>
      </c>
      <c r="E275" s="14">
        <v>0.90400000000000003</v>
      </c>
      <c r="F275" s="13">
        <v>32</v>
      </c>
      <c r="G275" s="14">
        <v>0.94399999999999995</v>
      </c>
      <c r="H275" s="18" t="s">
        <v>3216</v>
      </c>
      <c r="I275" s="26" t="s">
        <v>296</v>
      </c>
      <c r="J275" s="18" t="s">
        <v>26</v>
      </c>
      <c r="L275" s="9">
        <v>1986</v>
      </c>
      <c r="N275" s="30" t="s">
        <v>60</v>
      </c>
      <c r="O275" s="13" t="s">
        <v>28</v>
      </c>
      <c r="P275" s="13">
        <f t="shared" si="9"/>
        <v>32</v>
      </c>
      <c r="Q275" s="15">
        <f t="shared" si="10"/>
        <v>184.84375</v>
      </c>
      <c r="R275" s="13" t="s">
        <v>297</v>
      </c>
      <c r="S275" s="13" t="s">
        <v>206</v>
      </c>
      <c r="T275" s="13" t="s">
        <v>298</v>
      </c>
      <c r="U275" s="13" t="s">
        <v>299</v>
      </c>
      <c r="V275" s="13" t="s">
        <v>4057</v>
      </c>
      <c r="W275" s="13"/>
      <c r="X275" s="13" t="s">
        <v>4437</v>
      </c>
      <c r="Y275" s="13" t="s">
        <v>4438</v>
      </c>
      <c r="Z275" s="13" t="s">
        <v>4438</v>
      </c>
      <c r="AC275" s="18"/>
      <c r="AD275" s="18"/>
      <c r="AE275" s="18"/>
    </row>
    <row r="276" spans="1:31" x14ac:dyDescent="0.25">
      <c r="A276" s="18" t="s">
        <v>2472</v>
      </c>
      <c r="B276" s="30">
        <v>2009</v>
      </c>
      <c r="C276" s="13">
        <v>94</v>
      </c>
      <c r="D276" s="14">
        <v>0.254</v>
      </c>
      <c r="E276" s="14">
        <v>0.48399999999999999</v>
      </c>
      <c r="F276" s="13">
        <v>4</v>
      </c>
      <c r="G276" s="14">
        <v>0.19600000000000001</v>
      </c>
      <c r="I276" s="26" t="s">
        <v>296</v>
      </c>
      <c r="J276" s="18" t="s">
        <v>105</v>
      </c>
      <c r="L276" s="9">
        <f>B276</f>
        <v>2009</v>
      </c>
      <c r="M276" s="20" t="s">
        <v>3132</v>
      </c>
      <c r="N276" s="30" t="s">
        <v>296</v>
      </c>
      <c r="O276" s="13" t="s">
        <v>28</v>
      </c>
      <c r="P276" s="13">
        <f t="shared" si="9"/>
        <v>9</v>
      </c>
      <c r="Q276" s="15">
        <f t="shared" si="10"/>
        <v>10.444444444444445</v>
      </c>
      <c r="R276" s="13" t="s">
        <v>746</v>
      </c>
      <c r="S276" s="13"/>
      <c r="T276" s="13" t="s">
        <v>2473</v>
      </c>
      <c r="U276" s="13"/>
      <c r="V276" s="13" t="s">
        <v>3980</v>
      </c>
      <c r="W276" s="13"/>
      <c r="X276" s="13" t="s">
        <v>3980</v>
      </c>
      <c r="Y276" s="13" t="s">
        <v>3980</v>
      </c>
      <c r="Z276" s="13" t="s">
        <v>3980</v>
      </c>
      <c r="AC276" s="18"/>
      <c r="AD276" s="18"/>
      <c r="AE276" s="18"/>
    </row>
    <row r="277" spans="1:31" x14ac:dyDescent="0.25">
      <c r="A277" s="18" t="s">
        <v>1933</v>
      </c>
      <c r="B277" s="30">
        <v>2004</v>
      </c>
      <c r="C277" s="13">
        <v>265</v>
      </c>
      <c r="D277" s="14">
        <v>0.42399999999999999</v>
      </c>
      <c r="E277" s="14">
        <v>0.73599999999999999</v>
      </c>
      <c r="F277" s="13">
        <v>1</v>
      </c>
      <c r="G277" s="14">
        <v>0</v>
      </c>
      <c r="I277" s="26" t="s">
        <v>296</v>
      </c>
      <c r="J277" s="18" t="s">
        <v>105</v>
      </c>
      <c r="L277" s="9">
        <f>B277</f>
        <v>2004</v>
      </c>
      <c r="N277" s="30" t="s">
        <v>277</v>
      </c>
      <c r="O277" s="13" t="s">
        <v>28</v>
      </c>
      <c r="P277" s="13">
        <f t="shared" si="9"/>
        <v>14</v>
      </c>
      <c r="Q277" s="15">
        <f t="shared" si="10"/>
        <v>18.928571428571427</v>
      </c>
      <c r="R277" s="13" t="s">
        <v>305</v>
      </c>
      <c r="S277" s="13"/>
      <c r="T277" s="13" t="s">
        <v>1934</v>
      </c>
      <c r="U277" s="13"/>
      <c r="V277" s="13" t="s">
        <v>3980</v>
      </c>
      <c r="W277" s="13"/>
      <c r="X277" s="13" t="s">
        <v>3980</v>
      </c>
      <c r="Y277" s="13" t="s">
        <v>3980</v>
      </c>
      <c r="Z277" s="13" t="s">
        <v>3980</v>
      </c>
      <c r="AC277" s="18"/>
      <c r="AD277" s="18"/>
      <c r="AE277" s="18"/>
    </row>
    <row r="278" spans="1:31" x14ac:dyDescent="0.25">
      <c r="A278" s="18" t="s">
        <v>349</v>
      </c>
      <c r="B278" s="30">
        <v>2009</v>
      </c>
      <c r="C278" s="13">
        <v>570</v>
      </c>
      <c r="D278" s="14">
        <v>0.58599999999999997</v>
      </c>
      <c r="E278" s="14">
        <v>0.67</v>
      </c>
      <c r="F278" s="13">
        <v>10</v>
      </c>
      <c r="G278" s="14">
        <v>0.52200000000000002</v>
      </c>
      <c r="H278" s="18" t="s">
        <v>3228</v>
      </c>
      <c r="I278" s="26" t="s">
        <v>98</v>
      </c>
      <c r="J278" s="18" t="s">
        <v>54</v>
      </c>
      <c r="L278" s="9">
        <v>2009</v>
      </c>
      <c r="N278" s="30" t="s">
        <v>59</v>
      </c>
      <c r="O278" s="13" t="s">
        <v>42</v>
      </c>
      <c r="P278" s="13">
        <f t="shared" si="9"/>
        <v>9</v>
      </c>
      <c r="Q278" s="15">
        <f t="shared" si="10"/>
        <v>63.333333333333336</v>
      </c>
      <c r="R278" s="13" t="s">
        <v>350</v>
      </c>
      <c r="S278" s="13"/>
      <c r="T278" s="13" t="s">
        <v>351</v>
      </c>
      <c r="U278" s="13" t="s">
        <v>352</v>
      </c>
      <c r="V278" s="13" t="s">
        <v>4058</v>
      </c>
      <c r="W278" s="13"/>
      <c r="X278" s="13" t="s">
        <v>3980</v>
      </c>
      <c r="Y278" s="13" t="s">
        <v>3980</v>
      </c>
      <c r="Z278" s="13" t="s">
        <v>3980</v>
      </c>
      <c r="AC278" s="18"/>
      <c r="AD278" s="18"/>
      <c r="AE278" s="18"/>
    </row>
    <row r="279" spans="1:31" x14ac:dyDescent="0.25">
      <c r="A279" s="18" t="s">
        <v>984</v>
      </c>
      <c r="B279" s="30">
        <v>2009</v>
      </c>
      <c r="C279" s="13">
        <v>1305</v>
      </c>
      <c r="D279" s="14">
        <v>0.753</v>
      </c>
      <c r="E279" s="14">
        <v>0.98199999999999998</v>
      </c>
      <c r="F279" s="13">
        <v>17</v>
      </c>
      <c r="G279" s="14">
        <v>0.76400000000000001</v>
      </c>
      <c r="H279" s="18" t="s">
        <v>3395</v>
      </c>
      <c r="I279" s="26" t="s">
        <v>98</v>
      </c>
      <c r="J279" s="18" t="s">
        <v>105</v>
      </c>
      <c r="K279" s="4"/>
      <c r="L279" s="9">
        <f>B279</f>
        <v>2009</v>
      </c>
      <c r="N279" s="30" t="s">
        <v>34</v>
      </c>
      <c r="O279" s="13" t="s">
        <v>28</v>
      </c>
      <c r="P279" s="13">
        <f t="shared" si="9"/>
        <v>9</v>
      </c>
      <c r="Q279" s="15">
        <f t="shared" si="10"/>
        <v>145</v>
      </c>
      <c r="R279" s="13" t="s">
        <v>346</v>
      </c>
      <c r="S279" s="13"/>
      <c r="T279" s="13" t="s">
        <v>985</v>
      </c>
      <c r="U279" s="13"/>
      <c r="V279" s="13" t="s">
        <v>3980</v>
      </c>
      <c r="W279" s="13"/>
      <c r="X279" s="13" t="s">
        <v>3980</v>
      </c>
      <c r="Y279" s="13" t="s">
        <v>3980</v>
      </c>
      <c r="Z279" s="13" t="s">
        <v>3980</v>
      </c>
      <c r="AC279" s="18"/>
      <c r="AD279" s="18"/>
      <c r="AE279" s="18"/>
    </row>
    <row r="280" spans="1:31" x14ac:dyDescent="0.25">
      <c r="A280" s="18" t="s">
        <v>2319</v>
      </c>
      <c r="B280" s="30">
        <v>2002</v>
      </c>
      <c r="C280" s="8">
        <v>10</v>
      </c>
      <c r="D280" s="14">
        <v>6.9000000000000006E-2</v>
      </c>
      <c r="E280" s="14">
        <v>6.8000000000000005E-2</v>
      </c>
      <c r="F280" s="8">
        <v>2</v>
      </c>
      <c r="G280" s="14">
        <v>7.0999999999999994E-2</v>
      </c>
      <c r="I280" s="26" t="s">
        <v>98</v>
      </c>
      <c r="J280" s="18" t="s">
        <v>54</v>
      </c>
      <c r="L280" s="9">
        <f>B280</f>
        <v>2002</v>
      </c>
      <c r="M280" s="20" t="s">
        <v>3132</v>
      </c>
      <c r="N280" s="28" t="s">
        <v>98</v>
      </c>
      <c r="O280" s="13" t="s">
        <v>42</v>
      </c>
      <c r="P280" s="13">
        <f t="shared" si="9"/>
        <v>16</v>
      </c>
      <c r="Q280" s="15">
        <f t="shared" si="10"/>
        <v>0.625</v>
      </c>
      <c r="R280" s="18" t="s">
        <v>3806</v>
      </c>
      <c r="T280" s="18" t="s">
        <v>3807</v>
      </c>
      <c r="V280" s="18" t="s">
        <v>3980</v>
      </c>
      <c r="X280" s="18" t="s">
        <v>3980</v>
      </c>
      <c r="Y280" s="18" t="s">
        <v>3980</v>
      </c>
      <c r="Z280" s="18" t="s">
        <v>3980</v>
      </c>
      <c r="AC280" s="18"/>
      <c r="AD280" s="18"/>
      <c r="AE280" s="18"/>
    </row>
    <row r="281" spans="1:31" x14ac:dyDescent="0.25">
      <c r="A281" s="18" t="s">
        <v>1062</v>
      </c>
      <c r="B281" s="30">
        <v>2014</v>
      </c>
      <c r="C281" s="13">
        <v>289</v>
      </c>
      <c r="D281" s="14">
        <v>0.44</v>
      </c>
      <c r="E281" s="14">
        <v>0.75</v>
      </c>
      <c r="F281" s="13">
        <v>9</v>
      </c>
      <c r="G281" s="14">
        <v>0.48799999999999999</v>
      </c>
      <c r="H281" s="18" t="s">
        <v>3416</v>
      </c>
      <c r="I281" s="26" t="s">
        <v>98</v>
      </c>
      <c r="J281" s="18" t="s">
        <v>105</v>
      </c>
      <c r="L281" s="9">
        <f>B281</f>
        <v>2014</v>
      </c>
      <c r="N281" s="30" t="s">
        <v>1181</v>
      </c>
      <c r="O281" s="13" t="s">
        <v>28</v>
      </c>
      <c r="P281" s="13">
        <f t="shared" si="9"/>
        <v>4</v>
      </c>
      <c r="Q281" s="15">
        <f t="shared" si="10"/>
        <v>72.25</v>
      </c>
      <c r="R281" s="13" t="s">
        <v>1063</v>
      </c>
      <c r="S281" s="13"/>
      <c r="T281" s="13" t="s">
        <v>1064</v>
      </c>
      <c r="U281" s="13"/>
      <c r="V281" s="13" t="s">
        <v>3980</v>
      </c>
      <c r="W281" s="13"/>
      <c r="X281" s="13" t="s">
        <v>3980</v>
      </c>
      <c r="Y281" s="13" t="s">
        <v>3980</v>
      </c>
      <c r="Z281" s="13" t="s">
        <v>3980</v>
      </c>
      <c r="AC281" s="18"/>
      <c r="AD281" s="18"/>
      <c r="AE281" s="18"/>
    </row>
    <row r="282" spans="1:31" x14ac:dyDescent="0.25">
      <c r="A282" s="18" t="s">
        <v>992</v>
      </c>
      <c r="B282" s="30">
        <v>2009</v>
      </c>
      <c r="C282" s="13">
        <v>500</v>
      </c>
      <c r="D282" s="14">
        <v>0.55300000000000005</v>
      </c>
      <c r="E282" s="14">
        <v>0.86299999999999999</v>
      </c>
      <c r="F282" s="13">
        <v>12</v>
      </c>
      <c r="G282" s="14">
        <v>0.60899999999999999</v>
      </c>
      <c r="H282" s="18" t="s">
        <v>3397</v>
      </c>
      <c r="I282" s="26" t="s">
        <v>98</v>
      </c>
      <c r="J282" s="18" t="s">
        <v>105</v>
      </c>
      <c r="K282" s="4"/>
      <c r="L282" s="9">
        <f>B282</f>
        <v>2009</v>
      </c>
      <c r="N282" s="30" t="s">
        <v>98</v>
      </c>
      <c r="O282" s="13" t="s">
        <v>42</v>
      </c>
      <c r="P282" s="13">
        <f t="shared" si="9"/>
        <v>9</v>
      </c>
      <c r="Q282" s="15">
        <f t="shared" si="10"/>
        <v>55.555555555555557</v>
      </c>
      <c r="R282" s="13" t="s">
        <v>993</v>
      </c>
      <c r="S282" s="13"/>
      <c r="T282" s="13" t="s">
        <v>896</v>
      </c>
      <c r="U282" s="13"/>
      <c r="V282" s="13" t="s">
        <v>3980</v>
      </c>
      <c r="W282" s="13"/>
      <c r="X282" s="13" t="s">
        <v>3980</v>
      </c>
      <c r="Y282" s="13" t="s">
        <v>3980</v>
      </c>
      <c r="Z282" s="13" t="s">
        <v>3980</v>
      </c>
      <c r="AC282" s="18"/>
      <c r="AD282" s="18"/>
      <c r="AE282" s="18"/>
    </row>
    <row r="283" spans="1:31" x14ac:dyDescent="0.25">
      <c r="A283" s="18" t="s">
        <v>5011</v>
      </c>
      <c r="B283" s="30">
        <v>2000</v>
      </c>
      <c r="C283" s="13">
        <v>3647</v>
      </c>
      <c r="D283" s="14">
        <v>0.92</v>
      </c>
      <c r="E283" s="14">
        <v>0.98799999999999999</v>
      </c>
      <c r="F283" s="13">
        <v>12</v>
      </c>
      <c r="G283" s="14">
        <v>0.60899999999999999</v>
      </c>
      <c r="H283" s="18" t="s">
        <v>3174</v>
      </c>
      <c r="I283" s="26" t="s">
        <v>98</v>
      </c>
      <c r="J283" s="18" t="s">
        <v>54</v>
      </c>
      <c r="K283" s="4"/>
      <c r="L283" s="9">
        <v>2000</v>
      </c>
      <c r="M283" s="11"/>
      <c r="N283" s="30" t="s">
        <v>94</v>
      </c>
      <c r="O283" s="13" t="s">
        <v>42</v>
      </c>
      <c r="P283" s="13">
        <f t="shared" si="9"/>
        <v>18</v>
      </c>
      <c r="Q283" s="15">
        <f t="shared" si="10"/>
        <v>202.61111111111111</v>
      </c>
      <c r="R283" s="13" t="s">
        <v>99</v>
      </c>
      <c r="S283" s="13" t="s">
        <v>100</v>
      </c>
      <c r="T283" s="13" t="s">
        <v>101</v>
      </c>
      <c r="U283" s="13" t="s">
        <v>102</v>
      </c>
      <c r="V283" s="13" t="s">
        <v>4059</v>
      </c>
      <c r="W283" s="13"/>
      <c r="X283" s="13" t="s">
        <v>4439</v>
      </c>
      <c r="Y283" s="13" t="s">
        <v>3980</v>
      </c>
      <c r="Z283" s="13" t="s">
        <v>3980</v>
      </c>
      <c r="AC283" s="18"/>
      <c r="AD283" s="18"/>
      <c r="AE283" s="18"/>
    </row>
    <row r="284" spans="1:31" x14ac:dyDescent="0.25">
      <c r="A284" s="18" t="s">
        <v>2335</v>
      </c>
      <c r="B284" s="30">
        <v>1994</v>
      </c>
      <c r="C284" s="8">
        <v>9</v>
      </c>
      <c r="D284" s="14">
        <v>6.3E-2</v>
      </c>
      <c r="E284" s="14">
        <v>2.5000000000000001E-2</v>
      </c>
      <c r="F284" s="8">
        <v>2</v>
      </c>
      <c r="G284" s="14">
        <v>7.0999999999999994E-2</v>
      </c>
      <c r="I284" s="26" t="s">
        <v>98</v>
      </c>
      <c r="J284" s="18" t="s">
        <v>26</v>
      </c>
      <c r="L284" s="9">
        <f>B284</f>
        <v>1994</v>
      </c>
      <c r="M284" s="20" t="s">
        <v>3132</v>
      </c>
      <c r="N284" s="28" t="s">
        <v>3135</v>
      </c>
      <c r="O284" s="13" t="s">
        <v>28</v>
      </c>
      <c r="P284" s="13">
        <f t="shared" si="9"/>
        <v>24</v>
      </c>
      <c r="Q284" s="15">
        <f t="shared" si="10"/>
        <v>0.375</v>
      </c>
      <c r="R284" s="18" t="s">
        <v>2337</v>
      </c>
      <c r="T284" s="18" t="s">
        <v>3853</v>
      </c>
      <c r="V284" s="18" t="s">
        <v>3980</v>
      </c>
      <c r="X284" s="18" t="s">
        <v>3980</v>
      </c>
      <c r="Y284" s="18" t="s">
        <v>3980</v>
      </c>
      <c r="Z284" s="18" t="s">
        <v>3980</v>
      </c>
      <c r="AC284" s="18"/>
      <c r="AD284" s="18"/>
      <c r="AE284" s="18"/>
    </row>
    <row r="285" spans="1:31" x14ac:dyDescent="0.25">
      <c r="A285" s="18" t="s">
        <v>392</v>
      </c>
      <c r="B285" s="30">
        <v>2007</v>
      </c>
      <c r="C285" s="13">
        <v>732</v>
      </c>
      <c r="D285" s="14">
        <v>0.63700000000000001</v>
      </c>
      <c r="E285" s="14">
        <v>0.73299999999999998</v>
      </c>
      <c r="F285" s="13">
        <v>12</v>
      </c>
      <c r="G285" s="14">
        <v>0.60899999999999999</v>
      </c>
      <c r="H285" s="18" t="s">
        <v>3237</v>
      </c>
      <c r="I285" s="26" t="s">
        <v>98</v>
      </c>
      <c r="J285" s="18" t="s">
        <v>54</v>
      </c>
      <c r="L285" s="9">
        <v>2007</v>
      </c>
      <c r="N285" s="30" t="s">
        <v>393</v>
      </c>
      <c r="O285" s="13" t="s">
        <v>42</v>
      </c>
      <c r="P285" s="13">
        <f t="shared" si="9"/>
        <v>11</v>
      </c>
      <c r="Q285" s="15">
        <f t="shared" si="10"/>
        <v>66.545454545454547</v>
      </c>
      <c r="R285" s="13" t="s">
        <v>394</v>
      </c>
      <c r="S285" s="13"/>
      <c r="T285" s="13" t="s">
        <v>395</v>
      </c>
      <c r="U285" s="13" t="s">
        <v>396</v>
      </c>
      <c r="V285" s="13" t="s">
        <v>4060</v>
      </c>
      <c r="W285" s="13"/>
      <c r="X285" s="13" t="s">
        <v>4440</v>
      </c>
      <c r="Y285" s="13" t="s">
        <v>3980</v>
      </c>
      <c r="Z285" s="13" t="s">
        <v>3980</v>
      </c>
      <c r="AC285" s="18"/>
      <c r="AD285" s="18"/>
      <c r="AE285" s="27"/>
    </row>
    <row r="286" spans="1:31" x14ac:dyDescent="0.25">
      <c r="A286" s="18" t="s">
        <v>860</v>
      </c>
      <c r="B286" s="30">
        <v>1981</v>
      </c>
      <c r="C286" s="13">
        <v>2007</v>
      </c>
      <c r="D286" s="14">
        <v>0.83299999999999996</v>
      </c>
      <c r="E286" s="14">
        <v>0.64</v>
      </c>
      <c r="F286" s="13">
        <v>21</v>
      </c>
      <c r="G286" s="14">
        <v>0.84199999999999997</v>
      </c>
      <c r="H286" s="18" t="s">
        <v>3358</v>
      </c>
      <c r="I286" s="26" t="s">
        <v>98</v>
      </c>
      <c r="J286" s="18" t="s">
        <v>26</v>
      </c>
      <c r="L286" s="9">
        <v>1981</v>
      </c>
      <c r="N286" s="30" t="s">
        <v>123</v>
      </c>
      <c r="O286" s="13" t="s">
        <v>28</v>
      </c>
      <c r="P286" s="13">
        <f t="shared" si="9"/>
        <v>37</v>
      </c>
      <c r="Q286" s="15">
        <f t="shared" si="10"/>
        <v>54.243243243243242</v>
      </c>
      <c r="R286" s="13" t="s">
        <v>861</v>
      </c>
      <c r="S286" s="13"/>
      <c r="T286" s="13" t="s">
        <v>862</v>
      </c>
      <c r="U286" s="13"/>
      <c r="V286" s="13" t="s">
        <v>3980</v>
      </c>
      <c r="W286" s="13"/>
      <c r="X286" s="13" t="s">
        <v>3980</v>
      </c>
      <c r="Y286" s="13" t="s">
        <v>3980</v>
      </c>
      <c r="Z286" s="13" t="s">
        <v>3980</v>
      </c>
      <c r="AC286" s="18"/>
      <c r="AD286" s="18"/>
      <c r="AE286" s="13"/>
    </row>
    <row r="287" spans="1:31" x14ac:dyDescent="0.25">
      <c r="A287" s="28" t="s">
        <v>1754</v>
      </c>
      <c r="B287" s="30">
        <v>2010</v>
      </c>
      <c r="C287" s="8">
        <v>75</v>
      </c>
      <c r="D287" s="14">
        <v>0.223</v>
      </c>
      <c r="E287" s="14">
        <v>0.43099999999999999</v>
      </c>
      <c r="F287" s="8">
        <v>3</v>
      </c>
      <c r="G287" s="14">
        <v>0.13100000000000001</v>
      </c>
      <c r="I287" s="26" t="s">
        <v>98</v>
      </c>
      <c r="J287" s="18" t="s">
        <v>105</v>
      </c>
      <c r="L287" s="9">
        <f>B287</f>
        <v>2010</v>
      </c>
      <c r="N287" s="28" t="s">
        <v>564</v>
      </c>
      <c r="O287" s="13" t="s">
        <v>28</v>
      </c>
      <c r="P287" s="13">
        <f t="shared" si="9"/>
        <v>8</v>
      </c>
      <c r="Q287" s="15">
        <f t="shared" si="10"/>
        <v>9.375</v>
      </c>
      <c r="R287" s="18" t="s">
        <v>3744</v>
      </c>
      <c r="T287" s="18" t="s">
        <v>3745</v>
      </c>
      <c r="V287" s="18" t="s">
        <v>3980</v>
      </c>
      <c r="X287" s="18" t="s">
        <v>3980</v>
      </c>
      <c r="Y287" s="18" t="s">
        <v>3980</v>
      </c>
      <c r="Z287" s="18" t="s">
        <v>3980</v>
      </c>
      <c r="AC287" s="18"/>
      <c r="AD287" s="18"/>
      <c r="AE287" s="13"/>
    </row>
    <row r="288" spans="1:31" x14ac:dyDescent="0.25">
      <c r="A288" s="18" t="s">
        <v>5051</v>
      </c>
      <c r="B288" s="30">
        <v>1999</v>
      </c>
      <c r="C288" s="13">
        <v>1232</v>
      </c>
      <c r="D288" s="14">
        <v>0.745</v>
      </c>
      <c r="E288" s="14">
        <v>0.505</v>
      </c>
      <c r="F288" s="13">
        <v>18</v>
      </c>
      <c r="G288" s="14">
        <v>0.78700000000000003</v>
      </c>
      <c r="H288" s="18" t="s">
        <v>3211</v>
      </c>
      <c r="I288" s="26" t="s">
        <v>98</v>
      </c>
      <c r="J288" s="18" t="s">
        <v>26</v>
      </c>
      <c r="K288" s="4"/>
      <c r="L288" s="9">
        <v>1999</v>
      </c>
      <c r="N288" s="30" t="s">
        <v>94</v>
      </c>
      <c r="O288" s="13" t="s">
        <v>42</v>
      </c>
      <c r="P288" s="13">
        <f t="shared" si="9"/>
        <v>19</v>
      </c>
      <c r="Q288" s="15">
        <f t="shared" si="10"/>
        <v>64.84210526315789</v>
      </c>
      <c r="R288" s="13" t="s">
        <v>244</v>
      </c>
      <c r="S288" s="13" t="s">
        <v>164</v>
      </c>
      <c r="T288" s="13" t="s">
        <v>281</v>
      </c>
      <c r="U288" s="13" t="s">
        <v>282</v>
      </c>
      <c r="V288" s="13" t="s">
        <v>3980</v>
      </c>
      <c r="W288" s="13"/>
      <c r="X288" s="13" t="s">
        <v>4441</v>
      </c>
      <c r="Y288" s="13" t="s">
        <v>3980</v>
      </c>
      <c r="Z288" s="13" t="s">
        <v>3980</v>
      </c>
      <c r="AC288" s="18"/>
      <c r="AD288" s="18"/>
      <c r="AE288" s="13"/>
    </row>
    <row r="289" spans="1:31" x14ac:dyDescent="0.25">
      <c r="A289" s="18" t="s">
        <v>4951</v>
      </c>
      <c r="B289" s="30">
        <v>2006</v>
      </c>
      <c r="C289" s="13">
        <v>44</v>
      </c>
      <c r="D289" s="14">
        <v>0.16</v>
      </c>
      <c r="E289" s="14">
        <v>0.123</v>
      </c>
      <c r="F289" s="13">
        <v>4</v>
      </c>
      <c r="G289" s="14">
        <v>0.19600000000000001</v>
      </c>
      <c r="H289" s="18" t="s">
        <v>3366</v>
      </c>
      <c r="I289" s="26" t="s">
        <v>98</v>
      </c>
      <c r="J289" s="4" t="s">
        <v>54</v>
      </c>
      <c r="L289" s="9">
        <v>2006</v>
      </c>
      <c r="N289" s="30" t="s">
        <v>140</v>
      </c>
      <c r="O289" s="13" t="s">
        <v>28</v>
      </c>
      <c r="P289" s="13">
        <f t="shared" si="9"/>
        <v>12</v>
      </c>
      <c r="Q289" s="15">
        <f t="shared" si="10"/>
        <v>3.6666666666666665</v>
      </c>
      <c r="R289" s="13" t="s">
        <v>889</v>
      </c>
      <c r="S289" s="13" t="s">
        <v>62</v>
      </c>
      <c r="T289" s="13" t="s">
        <v>890</v>
      </c>
      <c r="U289" s="13" t="s">
        <v>891</v>
      </c>
      <c r="V289" s="13" t="s">
        <v>4061</v>
      </c>
      <c r="W289" s="13"/>
      <c r="X289" s="13" t="s">
        <v>4442</v>
      </c>
      <c r="Y289" s="13" t="s">
        <v>3980</v>
      </c>
      <c r="Z289" s="13" t="s">
        <v>3980</v>
      </c>
      <c r="AC289" s="18"/>
      <c r="AD289" s="18"/>
      <c r="AE289" s="13"/>
    </row>
    <row r="290" spans="1:31" x14ac:dyDescent="0.25">
      <c r="A290" s="18" t="s">
        <v>1878</v>
      </c>
      <c r="B290" s="30">
        <v>2014</v>
      </c>
      <c r="C290" s="8">
        <v>2</v>
      </c>
      <c r="D290" s="14">
        <v>2.3E-2</v>
      </c>
      <c r="E290" s="14">
        <v>4.9000000000000002E-2</v>
      </c>
      <c r="F290" s="8">
        <v>1</v>
      </c>
      <c r="G290" s="14">
        <v>0</v>
      </c>
      <c r="I290" s="26" t="s">
        <v>98</v>
      </c>
      <c r="J290" s="4" t="s">
        <v>105</v>
      </c>
      <c r="L290" s="9">
        <f>B290</f>
        <v>2014</v>
      </c>
      <c r="N290" s="28" t="s">
        <v>152</v>
      </c>
      <c r="O290" s="13" t="s">
        <v>28</v>
      </c>
      <c r="P290" s="13">
        <f t="shared" si="9"/>
        <v>4</v>
      </c>
      <c r="Q290" s="15">
        <f t="shared" si="10"/>
        <v>0.5</v>
      </c>
      <c r="R290" s="18" t="s">
        <v>3749</v>
      </c>
      <c r="T290" s="18" t="s">
        <v>3750</v>
      </c>
      <c r="V290" s="18" t="s">
        <v>3980</v>
      </c>
      <c r="X290" s="18" t="s">
        <v>3980</v>
      </c>
      <c r="Y290" s="18" t="s">
        <v>3980</v>
      </c>
      <c r="Z290" s="18" t="s">
        <v>3980</v>
      </c>
      <c r="AC290" s="18"/>
      <c r="AD290" s="18"/>
      <c r="AE290" s="16"/>
    </row>
    <row r="291" spans="1:31" x14ac:dyDescent="0.25">
      <c r="A291" s="18" t="s">
        <v>5024</v>
      </c>
      <c r="B291" s="30">
        <v>2013</v>
      </c>
      <c r="C291" s="13">
        <v>9</v>
      </c>
      <c r="D291" s="14">
        <v>6.3E-2</v>
      </c>
      <c r="E291" s="14">
        <v>0.126</v>
      </c>
      <c r="F291" s="13">
        <v>1</v>
      </c>
      <c r="G291" s="14">
        <v>0</v>
      </c>
      <c r="H291" s="18" t="s">
        <v>3456</v>
      </c>
      <c r="I291" s="26" t="s">
        <v>98</v>
      </c>
      <c r="J291" s="18" t="s">
        <v>105</v>
      </c>
      <c r="L291" s="9">
        <v>2013</v>
      </c>
      <c r="M291" s="11"/>
      <c r="N291" s="30" t="s">
        <v>123</v>
      </c>
      <c r="O291" s="13" t="s">
        <v>28</v>
      </c>
      <c r="P291" s="13">
        <f t="shared" si="9"/>
        <v>5</v>
      </c>
      <c r="Q291" s="15">
        <f t="shared" si="10"/>
        <v>1.8</v>
      </c>
      <c r="R291" s="13" t="s">
        <v>1199</v>
      </c>
      <c r="S291" s="13" t="s">
        <v>1200</v>
      </c>
      <c r="T291" s="13" t="s">
        <v>1201</v>
      </c>
      <c r="U291" s="13" t="s">
        <v>1202</v>
      </c>
      <c r="V291" s="13" t="s">
        <v>4062</v>
      </c>
      <c r="W291" s="13"/>
      <c r="X291" s="13" t="s">
        <v>4443</v>
      </c>
      <c r="Y291" s="13" t="s">
        <v>3980</v>
      </c>
      <c r="Z291" s="13" t="s">
        <v>3980</v>
      </c>
      <c r="AC291" s="18"/>
      <c r="AD291" s="18"/>
      <c r="AE291" s="16"/>
    </row>
    <row r="292" spans="1:31" x14ac:dyDescent="0.25">
      <c r="A292" s="18" t="s">
        <v>1166</v>
      </c>
      <c r="B292" s="30">
        <v>2016</v>
      </c>
      <c r="C292" s="13">
        <v>145</v>
      </c>
      <c r="D292" s="14">
        <v>0.33300000000000002</v>
      </c>
      <c r="E292" s="14">
        <v>0.61699999999999999</v>
      </c>
      <c r="F292" s="13">
        <v>7</v>
      </c>
      <c r="G292" s="14">
        <v>0.39300000000000002</v>
      </c>
      <c r="H292" s="18" t="s">
        <v>3448</v>
      </c>
      <c r="I292" s="26" t="s">
        <v>98</v>
      </c>
      <c r="J292" s="18" t="s">
        <v>105</v>
      </c>
      <c r="K292" s="4"/>
      <c r="L292" s="9">
        <f>B292</f>
        <v>2016</v>
      </c>
      <c r="N292" s="30" t="s">
        <v>98</v>
      </c>
      <c r="O292" s="13" t="s">
        <v>28</v>
      </c>
      <c r="P292" s="13">
        <f t="shared" si="9"/>
        <v>2</v>
      </c>
      <c r="Q292" s="15">
        <f t="shared" si="10"/>
        <v>72.5</v>
      </c>
      <c r="R292" s="13" t="s">
        <v>433</v>
      </c>
      <c r="S292" s="13"/>
      <c r="T292" s="13" t="s">
        <v>1167</v>
      </c>
      <c r="U292" s="13"/>
      <c r="V292" s="13" t="s">
        <v>3980</v>
      </c>
      <c r="W292" s="13"/>
      <c r="X292" s="13" t="s">
        <v>3980</v>
      </c>
      <c r="Y292" s="13" t="s">
        <v>3980</v>
      </c>
      <c r="Z292" s="13" t="s">
        <v>3980</v>
      </c>
      <c r="AC292" s="18"/>
      <c r="AD292" s="18"/>
      <c r="AE292" s="13"/>
    </row>
    <row r="293" spans="1:31" x14ac:dyDescent="0.25">
      <c r="A293" s="18" t="s">
        <v>4978</v>
      </c>
      <c r="B293" s="30">
        <v>2015</v>
      </c>
      <c r="C293" s="13">
        <v>25</v>
      </c>
      <c r="D293" s="14">
        <v>0.113</v>
      </c>
      <c r="E293" s="14">
        <v>0.224</v>
      </c>
      <c r="F293" s="13">
        <v>4</v>
      </c>
      <c r="G293" s="14">
        <v>0.19600000000000001</v>
      </c>
      <c r="I293" s="26" t="s">
        <v>98</v>
      </c>
      <c r="J293" s="18" t="s">
        <v>105</v>
      </c>
      <c r="K293" s="4"/>
      <c r="L293" s="9">
        <f>B293</f>
        <v>2015</v>
      </c>
      <c r="N293" s="30" t="s">
        <v>83</v>
      </c>
      <c r="O293" s="13" t="s">
        <v>28</v>
      </c>
      <c r="P293" s="13">
        <f t="shared" si="9"/>
        <v>3</v>
      </c>
      <c r="Q293" s="15">
        <f t="shared" si="10"/>
        <v>8.3333333333333339</v>
      </c>
      <c r="R293" s="13" t="s">
        <v>2257</v>
      </c>
      <c r="S293" s="13" t="s">
        <v>239</v>
      </c>
      <c r="T293" s="13" t="s">
        <v>2258</v>
      </c>
      <c r="U293" s="13"/>
      <c r="V293" s="13" t="s">
        <v>3980</v>
      </c>
      <c r="W293" s="13"/>
      <c r="X293" s="13" t="s">
        <v>3980</v>
      </c>
      <c r="Y293" s="13" t="s">
        <v>3980</v>
      </c>
      <c r="Z293" s="13" t="s">
        <v>3980</v>
      </c>
      <c r="AC293" s="18"/>
      <c r="AD293" s="18"/>
      <c r="AE293" s="13"/>
    </row>
    <row r="294" spans="1:31" x14ac:dyDescent="0.25">
      <c r="A294" s="18" t="s">
        <v>1362</v>
      </c>
      <c r="B294" s="30">
        <v>2016</v>
      </c>
      <c r="C294" s="13">
        <v>17</v>
      </c>
      <c r="D294" s="14">
        <v>9.1999999999999998E-2</v>
      </c>
      <c r="E294" s="14">
        <v>0.182</v>
      </c>
      <c r="F294" s="13">
        <v>3</v>
      </c>
      <c r="G294" s="14">
        <v>0.13100000000000001</v>
      </c>
      <c r="H294" s="18" t="s">
        <v>3504</v>
      </c>
      <c r="I294" s="26" t="s">
        <v>98</v>
      </c>
      <c r="J294" s="18" t="s">
        <v>105</v>
      </c>
      <c r="L294" s="9">
        <f>B294</f>
        <v>2016</v>
      </c>
      <c r="N294" s="30" t="s">
        <v>220</v>
      </c>
      <c r="O294" s="13" t="s">
        <v>42</v>
      </c>
      <c r="P294" s="13">
        <f t="shared" si="9"/>
        <v>2</v>
      </c>
      <c r="Q294" s="15">
        <f t="shared" si="10"/>
        <v>8.5</v>
      </c>
      <c r="R294" s="13" t="s">
        <v>1363</v>
      </c>
      <c r="S294" s="13"/>
      <c r="T294" s="13" t="s">
        <v>1364</v>
      </c>
      <c r="U294" s="13"/>
      <c r="V294" s="13" t="s">
        <v>3980</v>
      </c>
      <c r="W294" s="13"/>
      <c r="X294" s="13" t="s">
        <v>3980</v>
      </c>
      <c r="Y294" s="13" t="s">
        <v>3980</v>
      </c>
      <c r="Z294" s="13" t="s">
        <v>3980</v>
      </c>
      <c r="AC294" s="18"/>
      <c r="AD294" s="18"/>
      <c r="AE294" s="16"/>
    </row>
    <row r="295" spans="1:31" x14ac:dyDescent="0.25">
      <c r="A295" s="18" t="s">
        <v>2592</v>
      </c>
      <c r="B295" s="30">
        <v>2014</v>
      </c>
      <c r="C295" s="13">
        <v>15</v>
      </c>
      <c r="D295" s="14">
        <v>8.5999999999999993E-2</v>
      </c>
      <c r="E295" s="14">
        <v>0.17100000000000001</v>
      </c>
      <c r="F295" s="13">
        <v>2</v>
      </c>
      <c r="G295" s="14">
        <v>7.0999999999999994E-2</v>
      </c>
      <c r="I295" s="26" t="s">
        <v>337</v>
      </c>
      <c r="J295" s="18" t="s">
        <v>105</v>
      </c>
      <c r="L295" s="9">
        <v>2014</v>
      </c>
      <c r="N295" s="30" t="s">
        <v>2593</v>
      </c>
      <c r="O295" s="13" t="s">
        <v>42</v>
      </c>
      <c r="P295" s="13">
        <f t="shared" si="9"/>
        <v>4</v>
      </c>
      <c r="Q295" s="15">
        <f t="shared" si="10"/>
        <v>3.75</v>
      </c>
      <c r="R295" s="13" t="s">
        <v>2594</v>
      </c>
      <c r="S295" s="13"/>
      <c r="T295" s="13" t="s">
        <v>2595</v>
      </c>
      <c r="U295" s="13" t="s">
        <v>2596</v>
      </c>
      <c r="V295" s="13" t="s">
        <v>3980</v>
      </c>
      <c r="W295" s="13"/>
      <c r="X295" s="13" t="s">
        <v>4444</v>
      </c>
      <c r="Y295" s="13" t="s">
        <v>3980</v>
      </c>
      <c r="Z295" s="13" t="s">
        <v>3980</v>
      </c>
      <c r="AC295" s="18"/>
      <c r="AD295" s="18"/>
      <c r="AE295" s="16"/>
    </row>
    <row r="296" spans="1:31" x14ac:dyDescent="0.25">
      <c r="A296" s="18" t="s">
        <v>2935</v>
      </c>
      <c r="B296" s="30">
        <v>1980</v>
      </c>
      <c r="C296" s="13">
        <v>812</v>
      </c>
      <c r="D296" s="14">
        <v>0.66</v>
      </c>
      <c r="E296" s="14">
        <v>0.40300000000000002</v>
      </c>
      <c r="F296" s="13">
        <v>12</v>
      </c>
      <c r="G296" s="14">
        <v>0.60899999999999999</v>
      </c>
      <c r="I296" s="26" t="s">
        <v>337</v>
      </c>
      <c r="J296" s="18" t="s">
        <v>26</v>
      </c>
      <c r="L296" s="9">
        <v>1980</v>
      </c>
      <c r="M296" s="11"/>
      <c r="N296" s="30" t="s">
        <v>41</v>
      </c>
      <c r="O296" s="13" t="s">
        <v>28</v>
      </c>
      <c r="P296" s="13">
        <f t="shared" si="9"/>
        <v>38</v>
      </c>
      <c r="Q296" s="15">
        <f t="shared" si="10"/>
        <v>21.368421052631579</v>
      </c>
      <c r="R296" s="13" t="s">
        <v>2936</v>
      </c>
      <c r="S296" s="13"/>
      <c r="T296" s="13" t="s">
        <v>2937</v>
      </c>
      <c r="U296" s="13" t="s">
        <v>2938</v>
      </c>
      <c r="V296" s="13" t="s">
        <v>3980</v>
      </c>
      <c r="W296" s="13"/>
      <c r="X296" s="13" t="s">
        <v>4445</v>
      </c>
      <c r="Y296" s="13" t="s">
        <v>3980</v>
      </c>
      <c r="Z296" s="13" t="s">
        <v>3980</v>
      </c>
      <c r="AC296" s="18"/>
      <c r="AD296" s="18"/>
      <c r="AE296" s="13"/>
    </row>
    <row r="297" spans="1:31" x14ac:dyDescent="0.25">
      <c r="A297" s="18" t="s">
        <v>5002</v>
      </c>
      <c r="B297" s="30">
        <v>2006</v>
      </c>
      <c r="C297" s="13">
        <v>473</v>
      </c>
      <c r="D297" s="14">
        <v>0.54300000000000004</v>
      </c>
      <c r="E297" s="14">
        <v>0.60099999999999998</v>
      </c>
      <c r="F297" s="13">
        <v>11</v>
      </c>
      <c r="G297" s="14">
        <v>0.56000000000000005</v>
      </c>
      <c r="H297" s="18" t="s">
        <v>3313</v>
      </c>
      <c r="I297" s="26" t="s">
        <v>337</v>
      </c>
      <c r="J297" s="18" t="s">
        <v>54</v>
      </c>
      <c r="K297" s="4"/>
      <c r="L297" s="9">
        <v>2006</v>
      </c>
      <c r="M297" s="11"/>
      <c r="N297" s="30" t="s">
        <v>94</v>
      </c>
      <c r="O297" s="13" t="s">
        <v>42</v>
      </c>
      <c r="P297" s="13">
        <f t="shared" si="9"/>
        <v>12</v>
      </c>
      <c r="Q297" s="15">
        <f t="shared" si="10"/>
        <v>39.416666666666664</v>
      </c>
      <c r="R297" s="13" t="s">
        <v>193</v>
      </c>
      <c r="S297" s="13" t="s">
        <v>541</v>
      </c>
      <c r="T297" s="13" t="s">
        <v>686</v>
      </c>
      <c r="U297" s="13" t="s">
        <v>687</v>
      </c>
      <c r="V297" s="13" t="s">
        <v>4063</v>
      </c>
      <c r="W297" s="13"/>
      <c r="X297" s="13" t="s">
        <v>4446</v>
      </c>
      <c r="Y297" s="13" t="s">
        <v>3980</v>
      </c>
      <c r="Z297" s="13" t="s">
        <v>3980</v>
      </c>
      <c r="AC297" s="18"/>
      <c r="AD297" s="18"/>
      <c r="AE297" s="13"/>
    </row>
    <row r="298" spans="1:31" x14ac:dyDescent="0.25">
      <c r="A298" s="18" t="s">
        <v>336</v>
      </c>
      <c r="B298" s="30">
        <v>2001</v>
      </c>
      <c r="C298" s="13">
        <v>5109</v>
      </c>
      <c r="D298" s="14">
        <v>0.94699999999999995</v>
      </c>
      <c r="E298" s="14">
        <v>0.88100000000000001</v>
      </c>
      <c r="F298" s="13">
        <v>30</v>
      </c>
      <c r="G298" s="14">
        <v>0.93200000000000005</v>
      </c>
      <c r="H298" s="18" t="s">
        <v>3225</v>
      </c>
      <c r="I298" s="26" t="s">
        <v>337</v>
      </c>
      <c r="J298" s="18" t="s">
        <v>26</v>
      </c>
      <c r="K298" s="4"/>
      <c r="L298" s="9">
        <v>2001</v>
      </c>
      <c r="N298" s="30" t="s">
        <v>41</v>
      </c>
      <c r="O298" s="13" t="s">
        <v>42</v>
      </c>
      <c r="P298" s="13">
        <f t="shared" si="9"/>
        <v>17</v>
      </c>
      <c r="Q298" s="15">
        <f t="shared" si="10"/>
        <v>300.52941176470586</v>
      </c>
      <c r="R298" s="13" t="s">
        <v>338</v>
      </c>
      <c r="S298" s="13"/>
      <c r="T298" s="13" t="s">
        <v>339</v>
      </c>
      <c r="U298" s="13" t="s">
        <v>340</v>
      </c>
      <c r="V298" s="13" t="s">
        <v>3980</v>
      </c>
      <c r="W298" s="13"/>
      <c r="X298" s="13" t="s">
        <v>4447</v>
      </c>
      <c r="Y298" s="13" t="s">
        <v>3980</v>
      </c>
      <c r="Z298" s="13" t="s">
        <v>3980</v>
      </c>
      <c r="AC298" s="18"/>
      <c r="AD298" s="18"/>
      <c r="AE298" s="13"/>
    </row>
    <row r="299" spans="1:31" x14ac:dyDescent="0.25">
      <c r="A299" s="18" t="s">
        <v>1189</v>
      </c>
      <c r="B299" s="30">
        <v>2005</v>
      </c>
      <c r="C299" s="13">
        <v>416</v>
      </c>
      <c r="D299" s="14">
        <v>0.51500000000000001</v>
      </c>
      <c r="E299" s="14">
        <v>0.82399999999999995</v>
      </c>
      <c r="F299" s="13">
        <v>6</v>
      </c>
      <c r="G299" s="14">
        <v>0.32200000000000001</v>
      </c>
      <c r="H299" s="18" t="s">
        <v>3453</v>
      </c>
      <c r="I299" s="26" t="s">
        <v>337</v>
      </c>
      <c r="J299" t="s">
        <v>105</v>
      </c>
      <c r="L299" s="9">
        <v>2005</v>
      </c>
      <c r="N299" s="30" t="s">
        <v>151</v>
      </c>
      <c r="O299" s="13" t="s">
        <v>28</v>
      </c>
      <c r="P299" s="13">
        <f t="shared" si="9"/>
        <v>13</v>
      </c>
      <c r="Q299" s="15">
        <f t="shared" si="10"/>
        <v>32</v>
      </c>
      <c r="R299" s="13" t="s">
        <v>1190</v>
      </c>
      <c r="S299" s="13"/>
      <c r="T299" s="13" t="s">
        <v>1191</v>
      </c>
      <c r="U299" s="13" t="s">
        <v>1192</v>
      </c>
      <c r="V299" s="13" t="s">
        <v>4064</v>
      </c>
      <c r="W299" s="13"/>
      <c r="X299" s="13" t="s">
        <v>4448</v>
      </c>
      <c r="Y299" s="13" t="s">
        <v>3980</v>
      </c>
      <c r="Z299" s="13" t="s">
        <v>3980</v>
      </c>
      <c r="AC299" s="18"/>
      <c r="AD299" s="18"/>
      <c r="AE299" s="13"/>
    </row>
    <row r="300" spans="1:31" x14ac:dyDescent="0.25">
      <c r="A300" s="18" t="s">
        <v>2500</v>
      </c>
      <c r="B300" s="30">
        <v>2009</v>
      </c>
      <c r="C300" s="13">
        <v>77</v>
      </c>
      <c r="D300" s="14">
        <v>0.22600000000000001</v>
      </c>
      <c r="E300" s="14">
        <v>0.438</v>
      </c>
      <c r="F300" s="13">
        <v>2</v>
      </c>
      <c r="G300" s="14">
        <v>7.0999999999999994E-2</v>
      </c>
      <c r="I300" s="26" t="s">
        <v>337</v>
      </c>
      <c r="J300" s="18" t="s">
        <v>105</v>
      </c>
      <c r="K300" s="4"/>
      <c r="L300" s="9">
        <v>2009</v>
      </c>
      <c r="N300" s="30" t="s">
        <v>72</v>
      </c>
      <c r="O300" s="13" t="s">
        <v>28</v>
      </c>
      <c r="P300" s="13">
        <f t="shared" si="9"/>
        <v>9</v>
      </c>
      <c r="Q300" s="15">
        <f t="shared" si="10"/>
        <v>8.5555555555555554</v>
      </c>
      <c r="R300" s="13" t="s">
        <v>2501</v>
      </c>
      <c r="S300" s="13"/>
      <c r="T300" s="13" t="s">
        <v>2502</v>
      </c>
      <c r="U300" s="13" t="s">
        <v>2503</v>
      </c>
      <c r="V300" s="13" t="s">
        <v>3980</v>
      </c>
      <c r="W300" s="13"/>
      <c r="X300" s="13" t="s">
        <v>4449</v>
      </c>
      <c r="Y300" s="13" t="s">
        <v>3980</v>
      </c>
      <c r="Z300" s="13" t="s">
        <v>3980</v>
      </c>
      <c r="AC300" s="18"/>
      <c r="AD300" s="18"/>
      <c r="AE300" s="13"/>
    </row>
    <row r="301" spans="1:31" x14ac:dyDescent="0.25">
      <c r="A301" s="18" t="s">
        <v>4979</v>
      </c>
      <c r="B301" s="30">
        <v>1996</v>
      </c>
      <c r="C301" s="13">
        <v>230</v>
      </c>
      <c r="D301" s="14">
        <v>0.39800000000000002</v>
      </c>
      <c r="E301" s="14">
        <v>0.39200000000000002</v>
      </c>
      <c r="F301" s="13">
        <v>6</v>
      </c>
      <c r="G301" s="14">
        <v>0.32200000000000001</v>
      </c>
      <c r="H301" s="18" t="s">
        <v>3465</v>
      </c>
      <c r="I301" s="26" t="s">
        <v>337</v>
      </c>
      <c r="J301" s="18" t="s">
        <v>54</v>
      </c>
      <c r="L301" s="9">
        <v>1996</v>
      </c>
      <c r="M301" s="11"/>
      <c r="N301" s="30" t="s">
        <v>41</v>
      </c>
      <c r="O301" s="13" t="s">
        <v>42</v>
      </c>
      <c r="P301" s="13">
        <f t="shared" si="9"/>
        <v>22</v>
      </c>
      <c r="Q301" s="15">
        <f t="shared" si="10"/>
        <v>10.454545454545455</v>
      </c>
      <c r="R301" s="13" t="s">
        <v>582</v>
      </c>
      <c r="S301" s="13" t="s">
        <v>62</v>
      </c>
      <c r="T301" s="13" t="s">
        <v>777</v>
      </c>
      <c r="U301" s="13" t="s">
        <v>1227</v>
      </c>
      <c r="V301" s="13" t="s">
        <v>4065</v>
      </c>
      <c r="W301" s="13"/>
      <c r="X301" s="13" t="s">
        <v>4450</v>
      </c>
      <c r="Y301" s="13" t="s">
        <v>3980</v>
      </c>
      <c r="Z301" s="13" t="s">
        <v>3980</v>
      </c>
      <c r="AC301" s="18"/>
      <c r="AD301" s="18"/>
      <c r="AE301" s="18"/>
    </row>
    <row r="302" spans="1:31" x14ac:dyDescent="0.25">
      <c r="A302" s="18" t="s">
        <v>682</v>
      </c>
      <c r="B302" s="30">
        <v>2003</v>
      </c>
      <c r="C302" s="13">
        <v>1202</v>
      </c>
      <c r="D302" s="14">
        <v>0.73799999999999999</v>
      </c>
      <c r="E302" s="14">
        <v>0.49399999999999999</v>
      </c>
      <c r="F302" s="13">
        <v>17</v>
      </c>
      <c r="G302" s="14">
        <v>0.76400000000000001</v>
      </c>
      <c r="H302" s="18" t="s">
        <v>3312</v>
      </c>
      <c r="I302" s="26" t="s">
        <v>337</v>
      </c>
      <c r="J302" s="18" t="s">
        <v>26</v>
      </c>
      <c r="L302" s="9">
        <v>2003</v>
      </c>
      <c r="N302" s="30" t="s">
        <v>41</v>
      </c>
      <c r="O302" s="13" t="s">
        <v>28</v>
      </c>
      <c r="P302" s="13">
        <f t="shared" si="9"/>
        <v>15</v>
      </c>
      <c r="Q302" s="15">
        <f t="shared" si="10"/>
        <v>80.13333333333334</v>
      </c>
      <c r="R302" s="13" t="s">
        <v>683</v>
      </c>
      <c r="S302" s="13"/>
      <c r="T302" s="13" t="s">
        <v>684</v>
      </c>
      <c r="U302" s="13" t="s">
        <v>685</v>
      </c>
      <c r="V302" s="13" t="s">
        <v>4066</v>
      </c>
      <c r="W302" s="13"/>
      <c r="X302" s="13" t="s">
        <v>4451</v>
      </c>
      <c r="Y302" s="13" t="s">
        <v>3980</v>
      </c>
      <c r="Z302" s="13" t="s">
        <v>3980</v>
      </c>
      <c r="AC302" s="18"/>
      <c r="AD302" s="18"/>
      <c r="AE302" s="13"/>
    </row>
    <row r="303" spans="1:31" x14ac:dyDescent="0.25">
      <c r="A303" s="18" t="s">
        <v>2518</v>
      </c>
      <c r="B303" s="30">
        <v>2015</v>
      </c>
      <c r="C303" s="13">
        <v>73</v>
      </c>
      <c r="D303" s="14">
        <v>0.22</v>
      </c>
      <c r="E303" s="14">
        <v>0.42099999999999999</v>
      </c>
      <c r="F303" s="13">
        <v>4</v>
      </c>
      <c r="G303" s="14">
        <v>0.19600000000000001</v>
      </c>
      <c r="H303" s="18" t="s">
        <v>3650</v>
      </c>
      <c r="I303" s="26" t="s">
        <v>337</v>
      </c>
      <c r="J303" s="18" t="s">
        <v>105</v>
      </c>
      <c r="K303" s="4"/>
      <c r="L303" s="9">
        <f>B303</f>
        <v>2015</v>
      </c>
      <c r="N303" s="30" t="s">
        <v>168</v>
      </c>
      <c r="O303" s="13" t="s">
        <v>42</v>
      </c>
      <c r="P303" s="13">
        <f t="shared" si="9"/>
        <v>3</v>
      </c>
      <c r="Q303" s="15">
        <f t="shared" si="10"/>
        <v>24.333333333333332</v>
      </c>
      <c r="R303" s="13" t="s">
        <v>402</v>
      </c>
      <c r="S303" s="13"/>
      <c r="T303" s="13" t="s">
        <v>2519</v>
      </c>
      <c r="U303" s="13"/>
      <c r="V303" s="13" t="s">
        <v>3980</v>
      </c>
      <c r="W303" s="13"/>
      <c r="X303" s="13" t="s">
        <v>3980</v>
      </c>
      <c r="Y303" s="13" t="s">
        <v>3980</v>
      </c>
      <c r="Z303" s="13" t="s">
        <v>3980</v>
      </c>
      <c r="AC303" s="18"/>
      <c r="AD303" s="18"/>
      <c r="AE303" s="13"/>
    </row>
    <row r="304" spans="1:31" x14ac:dyDescent="0.25">
      <c r="A304" s="18" t="s">
        <v>4947</v>
      </c>
      <c r="B304" s="30">
        <v>2010</v>
      </c>
      <c r="C304" s="13">
        <v>55</v>
      </c>
      <c r="D304" s="14">
        <v>0.186</v>
      </c>
      <c r="E304" s="14">
        <v>0.36099999999999999</v>
      </c>
      <c r="F304" s="13">
        <v>4</v>
      </c>
      <c r="G304" s="14">
        <v>0.19600000000000001</v>
      </c>
      <c r="I304" s="26" t="s">
        <v>337</v>
      </c>
      <c r="J304" s="18" t="s">
        <v>105</v>
      </c>
      <c r="K304" s="4"/>
      <c r="L304" s="9">
        <v>2010</v>
      </c>
      <c r="N304" s="30" t="s">
        <v>41</v>
      </c>
      <c r="O304" s="13" t="s">
        <v>42</v>
      </c>
      <c r="P304" s="13">
        <f t="shared" si="9"/>
        <v>8</v>
      </c>
      <c r="Q304" s="15">
        <f t="shared" si="10"/>
        <v>6.875</v>
      </c>
      <c r="R304" s="13" t="s">
        <v>2130</v>
      </c>
      <c r="S304" s="13" t="s">
        <v>1002</v>
      </c>
      <c r="T304" s="13" t="s">
        <v>2131</v>
      </c>
      <c r="U304" s="13" t="s">
        <v>2132</v>
      </c>
      <c r="V304" s="13" t="s">
        <v>3980</v>
      </c>
      <c r="W304" s="13"/>
      <c r="X304" s="13" t="s">
        <v>4452</v>
      </c>
      <c r="Y304" s="13" t="s">
        <v>3980</v>
      </c>
      <c r="Z304" s="13" t="s">
        <v>3980</v>
      </c>
      <c r="AC304" s="18"/>
      <c r="AD304" s="18"/>
      <c r="AE304" s="13"/>
    </row>
    <row r="305" spans="1:31" x14ac:dyDescent="0.25">
      <c r="A305" s="18" t="s">
        <v>2412</v>
      </c>
      <c r="B305" s="30">
        <v>1988</v>
      </c>
      <c r="C305" s="13">
        <v>3400</v>
      </c>
      <c r="D305" s="14">
        <v>0.91100000000000003</v>
      </c>
      <c r="E305" s="14">
        <v>0.80100000000000005</v>
      </c>
      <c r="F305" s="13">
        <v>30</v>
      </c>
      <c r="G305" s="14">
        <v>0.93200000000000005</v>
      </c>
      <c r="I305" s="26" t="s">
        <v>337</v>
      </c>
      <c r="J305" s="18" t="s">
        <v>26</v>
      </c>
      <c r="L305" s="9">
        <v>1988</v>
      </c>
      <c r="N305" s="30" t="s">
        <v>120</v>
      </c>
      <c r="O305" s="13" t="s">
        <v>28</v>
      </c>
      <c r="P305" s="13">
        <f t="shared" si="9"/>
        <v>30</v>
      </c>
      <c r="Q305" s="15">
        <f t="shared" si="10"/>
        <v>113.33333333333333</v>
      </c>
      <c r="R305" s="13" t="s">
        <v>2413</v>
      </c>
      <c r="S305" s="13"/>
      <c r="T305" s="13" t="s">
        <v>2414</v>
      </c>
      <c r="U305" s="13" t="s">
        <v>2415</v>
      </c>
      <c r="V305" s="13" t="s">
        <v>3980</v>
      </c>
      <c r="W305" s="13"/>
      <c r="X305" s="13" t="s">
        <v>3980</v>
      </c>
      <c r="Y305" s="13" t="s">
        <v>3980</v>
      </c>
      <c r="Z305" s="13" t="s">
        <v>3980</v>
      </c>
      <c r="AC305" s="18"/>
      <c r="AD305" s="18"/>
      <c r="AE305" s="13"/>
    </row>
    <row r="306" spans="1:31" x14ac:dyDescent="0.25">
      <c r="A306" s="18" t="s">
        <v>1210</v>
      </c>
      <c r="B306" s="30">
        <v>2011</v>
      </c>
      <c r="C306" s="13">
        <v>1726</v>
      </c>
      <c r="D306" s="14">
        <v>0.80800000000000005</v>
      </c>
      <c r="E306" s="14">
        <v>0.91900000000000004</v>
      </c>
      <c r="F306" s="13">
        <v>15</v>
      </c>
      <c r="G306" s="14">
        <v>0.71</v>
      </c>
      <c r="H306" s="18" t="s">
        <v>3461</v>
      </c>
      <c r="I306" s="26" t="s">
        <v>337</v>
      </c>
      <c r="J306" s="18" t="s">
        <v>54</v>
      </c>
      <c r="L306" s="9">
        <v>2011</v>
      </c>
      <c r="N306" s="30" t="s">
        <v>41</v>
      </c>
      <c r="O306" s="13" t="s">
        <v>28</v>
      </c>
      <c r="P306" s="13">
        <f t="shared" si="9"/>
        <v>7</v>
      </c>
      <c r="Q306" s="15">
        <f t="shared" si="10"/>
        <v>246.57142857142858</v>
      </c>
      <c r="R306" s="13" t="s">
        <v>1211</v>
      </c>
      <c r="S306" s="13"/>
      <c r="T306" s="13" t="s">
        <v>1212</v>
      </c>
      <c r="U306" s="13" t="s">
        <v>1213</v>
      </c>
      <c r="V306" s="13" t="s">
        <v>4067</v>
      </c>
      <c r="W306" s="13"/>
      <c r="X306" s="13" t="s">
        <v>4453</v>
      </c>
      <c r="Y306" s="13" t="s">
        <v>4454</v>
      </c>
      <c r="Z306" s="18" t="s">
        <v>4455</v>
      </c>
      <c r="AC306" s="18"/>
      <c r="AD306" s="18"/>
      <c r="AE306" s="16"/>
    </row>
    <row r="307" spans="1:31" x14ac:dyDescent="0.25">
      <c r="A307" s="18" t="s">
        <v>4871</v>
      </c>
      <c r="B307" s="30">
        <v>1994</v>
      </c>
      <c r="C307" s="13">
        <v>1374</v>
      </c>
      <c r="D307" s="14">
        <v>0.76500000000000001</v>
      </c>
      <c r="E307" s="14">
        <v>0.53300000000000003</v>
      </c>
      <c r="F307" s="13">
        <v>18</v>
      </c>
      <c r="G307" s="14">
        <v>0.78700000000000003</v>
      </c>
      <c r="H307" s="18" t="s">
        <v>4817</v>
      </c>
      <c r="I307" s="26" t="s">
        <v>337</v>
      </c>
      <c r="J307" s="18" t="s">
        <v>26</v>
      </c>
      <c r="L307" s="9">
        <v>1994</v>
      </c>
      <c r="M307" s="11"/>
      <c r="N307" s="30" t="s">
        <v>123</v>
      </c>
      <c r="O307" s="13" t="s">
        <v>42</v>
      </c>
      <c r="P307" s="13">
        <f t="shared" si="9"/>
        <v>24</v>
      </c>
      <c r="Q307" s="15">
        <f t="shared" si="10"/>
        <v>57.25</v>
      </c>
      <c r="R307" s="13" t="s">
        <v>1759</v>
      </c>
      <c r="S307" s="13" t="s">
        <v>947</v>
      </c>
      <c r="T307" s="13" t="s">
        <v>1760</v>
      </c>
      <c r="U307" s="13" t="s">
        <v>1761</v>
      </c>
      <c r="V307" s="13" t="s">
        <v>4068</v>
      </c>
      <c r="W307" s="13"/>
      <c r="X307" s="13" t="s">
        <v>4456</v>
      </c>
      <c r="Y307" s="13" t="s">
        <v>3980</v>
      </c>
      <c r="Z307" s="13" t="s">
        <v>3980</v>
      </c>
      <c r="AC307" s="18"/>
      <c r="AD307" s="18"/>
      <c r="AE307" s="13"/>
    </row>
    <row r="308" spans="1:31" x14ac:dyDescent="0.25">
      <c r="A308" s="18" t="s">
        <v>709</v>
      </c>
      <c r="B308" s="30">
        <v>2010</v>
      </c>
      <c r="C308" s="13">
        <v>1005</v>
      </c>
      <c r="D308" s="14">
        <v>0.70099999999999996</v>
      </c>
      <c r="E308" s="14">
        <v>0.79300000000000004</v>
      </c>
      <c r="F308" s="13">
        <v>10</v>
      </c>
      <c r="G308" s="14">
        <v>0.52200000000000002</v>
      </c>
      <c r="H308" s="18" t="s">
        <v>3319</v>
      </c>
      <c r="I308" s="26" t="s">
        <v>337</v>
      </c>
      <c r="J308" s="18" t="s">
        <v>54</v>
      </c>
      <c r="K308" s="4"/>
      <c r="L308" s="9">
        <v>2010</v>
      </c>
      <c r="N308" s="30" t="s">
        <v>181</v>
      </c>
      <c r="O308" s="13" t="s">
        <v>28</v>
      </c>
      <c r="P308" s="13">
        <f t="shared" si="9"/>
        <v>8</v>
      </c>
      <c r="Q308" s="15">
        <f t="shared" si="10"/>
        <v>125.625</v>
      </c>
      <c r="R308" s="13" t="s">
        <v>710</v>
      </c>
      <c r="S308" s="13"/>
      <c r="T308" s="13" t="s">
        <v>711</v>
      </c>
      <c r="U308" s="13" t="s">
        <v>712</v>
      </c>
      <c r="V308" s="13" t="s">
        <v>3980</v>
      </c>
      <c r="W308" s="13"/>
      <c r="X308" s="13" t="s">
        <v>4457</v>
      </c>
      <c r="Y308" s="13" t="s">
        <v>3980</v>
      </c>
      <c r="Z308" s="13" t="s">
        <v>3980</v>
      </c>
      <c r="AC308" s="18"/>
      <c r="AD308" s="18"/>
      <c r="AE308" s="13"/>
    </row>
    <row r="309" spans="1:31" x14ac:dyDescent="0.25">
      <c r="A309" s="18" t="s">
        <v>1066</v>
      </c>
      <c r="B309" s="30">
        <v>2005</v>
      </c>
      <c r="C309" s="13">
        <v>1121</v>
      </c>
      <c r="D309" s="14">
        <v>0.72299999999999998</v>
      </c>
      <c r="E309" s="14">
        <v>0.83</v>
      </c>
      <c r="F309" s="13">
        <v>17</v>
      </c>
      <c r="G309" s="14">
        <v>0.76400000000000001</v>
      </c>
      <c r="H309" s="18" t="s">
        <v>3418</v>
      </c>
      <c r="I309" s="26" t="s">
        <v>337</v>
      </c>
      <c r="J309" s="18" t="s">
        <v>54</v>
      </c>
      <c r="L309" s="9">
        <v>2005</v>
      </c>
      <c r="N309" s="30" t="s">
        <v>168</v>
      </c>
      <c r="O309" s="13" t="s">
        <v>28</v>
      </c>
      <c r="P309" s="13">
        <f t="shared" si="9"/>
        <v>13</v>
      </c>
      <c r="Q309" s="15">
        <f t="shared" si="10"/>
        <v>86.230769230769226</v>
      </c>
      <c r="R309" s="13" t="s">
        <v>1067</v>
      </c>
      <c r="S309" s="13"/>
      <c r="T309" s="13" t="s">
        <v>1068</v>
      </c>
      <c r="U309" s="13" t="s">
        <v>1069</v>
      </c>
      <c r="V309" s="13" t="s">
        <v>4069</v>
      </c>
      <c r="W309" s="13"/>
      <c r="X309" s="13" t="s">
        <v>4458</v>
      </c>
      <c r="Y309" s="13" t="s">
        <v>3980</v>
      </c>
      <c r="Z309" s="13" t="s">
        <v>3980</v>
      </c>
      <c r="AC309" s="18"/>
      <c r="AD309" s="18"/>
      <c r="AE309" s="13"/>
    </row>
    <row r="310" spans="1:31" x14ac:dyDescent="0.25">
      <c r="A310" s="18" t="s">
        <v>2392</v>
      </c>
      <c r="B310" s="30">
        <v>2009</v>
      </c>
      <c r="C310" s="13">
        <v>605</v>
      </c>
      <c r="D310" s="14">
        <v>0.60299999999999998</v>
      </c>
      <c r="E310" s="14">
        <v>0.90800000000000003</v>
      </c>
      <c r="F310" s="13">
        <v>11</v>
      </c>
      <c r="G310" s="14">
        <v>0.56000000000000005</v>
      </c>
      <c r="H310" s="18" t="s">
        <v>3565</v>
      </c>
      <c r="I310" s="26" t="s">
        <v>337</v>
      </c>
      <c r="J310" s="4" t="s">
        <v>105</v>
      </c>
      <c r="L310" s="9">
        <v>2009</v>
      </c>
      <c r="N310" s="30" t="s">
        <v>168</v>
      </c>
      <c r="O310" s="13" t="s">
        <v>28</v>
      </c>
      <c r="P310" s="13">
        <f t="shared" si="9"/>
        <v>9</v>
      </c>
      <c r="Q310" s="15">
        <f t="shared" si="10"/>
        <v>67.222222222222229</v>
      </c>
      <c r="R310" s="13" t="s">
        <v>2393</v>
      </c>
      <c r="S310" s="13"/>
      <c r="T310" s="13" t="s">
        <v>957</v>
      </c>
      <c r="U310" s="13" t="s">
        <v>2394</v>
      </c>
      <c r="V310" s="13" t="s">
        <v>3980</v>
      </c>
      <c r="W310" s="13"/>
      <c r="X310" s="13" t="s">
        <v>4459</v>
      </c>
      <c r="Y310" s="13" t="s">
        <v>3980</v>
      </c>
      <c r="Z310" s="13" t="s">
        <v>3980</v>
      </c>
      <c r="AC310" s="18"/>
      <c r="AD310" s="18"/>
      <c r="AE310" s="13"/>
    </row>
    <row r="311" spans="1:31" x14ac:dyDescent="0.25">
      <c r="A311" s="18" t="s">
        <v>1223</v>
      </c>
      <c r="B311" s="30">
        <v>2009</v>
      </c>
      <c r="C311" s="13">
        <v>281</v>
      </c>
      <c r="D311" s="14">
        <v>0.436</v>
      </c>
      <c r="E311" s="14">
        <v>0.74299999999999999</v>
      </c>
      <c r="F311" s="13">
        <v>10</v>
      </c>
      <c r="G311" s="14">
        <v>0.52200000000000002</v>
      </c>
      <c r="H311" s="18" t="s">
        <v>3464</v>
      </c>
      <c r="I311" s="26" t="s">
        <v>337</v>
      </c>
      <c r="J311" s="18" t="s">
        <v>105</v>
      </c>
      <c r="L311" s="9">
        <v>2009</v>
      </c>
      <c r="N311" s="30" t="s">
        <v>40</v>
      </c>
      <c r="O311" s="13" t="s">
        <v>42</v>
      </c>
      <c r="P311" s="13">
        <f t="shared" si="9"/>
        <v>9</v>
      </c>
      <c r="Q311" s="15">
        <f t="shared" si="10"/>
        <v>31.222222222222221</v>
      </c>
      <c r="R311" s="13" t="s">
        <v>1224</v>
      </c>
      <c r="S311" s="13"/>
      <c r="T311" s="13" t="s">
        <v>1225</v>
      </c>
      <c r="U311" s="13" t="s">
        <v>1226</v>
      </c>
      <c r="V311" s="13" t="s">
        <v>4070</v>
      </c>
      <c r="W311" s="13"/>
      <c r="X311" s="13" t="s">
        <v>4460</v>
      </c>
      <c r="Y311" s="13" t="s">
        <v>3980</v>
      </c>
      <c r="Z311" s="13" t="s">
        <v>3980</v>
      </c>
      <c r="AC311" s="18"/>
      <c r="AD311" s="18"/>
      <c r="AE311" s="13"/>
    </row>
    <row r="312" spans="1:31" x14ac:dyDescent="0.25">
      <c r="A312" s="18" t="s">
        <v>2216</v>
      </c>
      <c r="B312" s="30">
        <v>1996</v>
      </c>
      <c r="C312" s="13">
        <v>290</v>
      </c>
      <c r="D312" s="14">
        <v>0.441</v>
      </c>
      <c r="E312" s="14">
        <v>0.23400000000000001</v>
      </c>
      <c r="F312" s="13">
        <v>4</v>
      </c>
      <c r="G312" s="14">
        <v>0.19600000000000001</v>
      </c>
      <c r="I312" s="26" t="s">
        <v>1587</v>
      </c>
      <c r="J312" s="18" t="s">
        <v>26</v>
      </c>
      <c r="L312" s="9">
        <v>1996</v>
      </c>
      <c r="N312" s="30" t="s">
        <v>152</v>
      </c>
      <c r="O312" s="13" t="s">
        <v>28</v>
      </c>
      <c r="P312" s="13">
        <f t="shared" si="9"/>
        <v>22</v>
      </c>
      <c r="Q312" s="15">
        <f t="shared" si="10"/>
        <v>13.181818181818182</v>
      </c>
      <c r="R312" s="13" t="s">
        <v>1145</v>
      </c>
      <c r="S312" s="13"/>
      <c r="T312" s="13" t="s">
        <v>1001</v>
      </c>
      <c r="U312" s="13" t="s">
        <v>2217</v>
      </c>
      <c r="V312" s="13" t="s">
        <v>3980</v>
      </c>
      <c r="W312" s="13"/>
      <c r="X312" s="13" t="s">
        <v>3980</v>
      </c>
      <c r="Y312" s="13" t="s">
        <v>3980</v>
      </c>
      <c r="Z312" s="13" t="s">
        <v>3980</v>
      </c>
      <c r="AC312" s="18"/>
      <c r="AD312" s="18"/>
      <c r="AE312" s="13"/>
    </row>
    <row r="313" spans="1:31" x14ac:dyDescent="0.25">
      <c r="A313" s="18" t="s">
        <v>5136</v>
      </c>
      <c r="B313" s="30">
        <v>2003</v>
      </c>
      <c r="C313" s="13">
        <v>140</v>
      </c>
      <c r="D313" s="14">
        <v>0.32600000000000001</v>
      </c>
      <c r="E313" s="14">
        <v>0.154</v>
      </c>
      <c r="F313" s="13">
        <v>4</v>
      </c>
      <c r="G313" s="14">
        <v>0.19600000000000001</v>
      </c>
      <c r="I313" s="26" t="s">
        <v>1587</v>
      </c>
      <c r="J313" s="18" t="s">
        <v>26</v>
      </c>
      <c r="L313" s="9">
        <f>B313</f>
        <v>2003</v>
      </c>
      <c r="N313" s="30" t="s">
        <v>2593</v>
      </c>
      <c r="O313" s="13" t="s">
        <v>28</v>
      </c>
      <c r="P313" s="13">
        <f t="shared" si="9"/>
        <v>15</v>
      </c>
      <c r="Q313" s="15">
        <f t="shared" si="10"/>
        <v>9.3333333333333339</v>
      </c>
      <c r="R313" s="13" t="s">
        <v>1432</v>
      </c>
      <c r="S313" s="13" t="s">
        <v>418</v>
      </c>
      <c r="T313" s="13" t="s">
        <v>3005</v>
      </c>
      <c r="U313" s="13"/>
      <c r="V313" s="13" t="s">
        <v>3980</v>
      </c>
      <c r="W313" s="13"/>
      <c r="X313" s="13" t="s">
        <v>3980</v>
      </c>
      <c r="Y313" s="13" t="s">
        <v>3980</v>
      </c>
      <c r="Z313" s="13" t="s">
        <v>3980</v>
      </c>
      <c r="AC313" s="18"/>
      <c r="AD313" s="18"/>
      <c r="AE313" s="18"/>
    </row>
    <row r="314" spans="1:31" x14ac:dyDescent="0.25">
      <c r="A314" s="18" t="s">
        <v>2198</v>
      </c>
      <c r="B314" s="30">
        <v>1979</v>
      </c>
      <c r="C314" s="13">
        <v>35</v>
      </c>
      <c r="D314" s="14">
        <v>0.13800000000000001</v>
      </c>
      <c r="E314" s="14">
        <v>6.8000000000000005E-2</v>
      </c>
      <c r="F314" s="13">
        <v>2</v>
      </c>
      <c r="G314" s="14">
        <v>7.0999999999999994E-2</v>
      </c>
      <c r="I314" s="26" t="s">
        <v>1587</v>
      </c>
      <c r="J314" s="18" t="s">
        <v>26</v>
      </c>
      <c r="L314" s="9">
        <v>1979</v>
      </c>
      <c r="N314" s="30" t="s">
        <v>1587</v>
      </c>
      <c r="O314" s="13" t="s">
        <v>28</v>
      </c>
      <c r="P314" s="13">
        <f t="shared" si="9"/>
        <v>39</v>
      </c>
      <c r="Q314" s="15">
        <f t="shared" si="10"/>
        <v>0.89743589743589747</v>
      </c>
      <c r="R314" s="13" t="s">
        <v>808</v>
      </c>
      <c r="S314" s="13"/>
      <c r="T314" s="13" t="s">
        <v>2199</v>
      </c>
      <c r="U314" s="13" t="s">
        <v>2200</v>
      </c>
      <c r="V314" s="13" t="s">
        <v>3980</v>
      </c>
      <c r="W314" s="13"/>
      <c r="X314" s="13" t="s">
        <v>4461</v>
      </c>
      <c r="Y314" s="13" t="s">
        <v>3980</v>
      </c>
      <c r="Z314" s="13" t="s">
        <v>3980</v>
      </c>
      <c r="AC314" s="18"/>
      <c r="AD314" s="18"/>
      <c r="AE314" s="13"/>
    </row>
    <row r="315" spans="1:31" x14ac:dyDescent="0.25">
      <c r="A315" s="18" t="s">
        <v>1586</v>
      </c>
      <c r="B315" s="30">
        <v>1988</v>
      </c>
      <c r="C315" s="13">
        <v>133</v>
      </c>
      <c r="D315" s="14">
        <v>0.314</v>
      </c>
      <c r="E315" s="14">
        <v>0.15</v>
      </c>
      <c r="F315" s="13">
        <v>4</v>
      </c>
      <c r="G315" s="14">
        <v>0.19600000000000001</v>
      </c>
      <c r="I315" s="26" t="s">
        <v>1587</v>
      </c>
      <c r="J315" s="18" t="s">
        <v>26</v>
      </c>
      <c r="L315" s="9">
        <v>1988</v>
      </c>
      <c r="N315" s="30" t="s">
        <v>41</v>
      </c>
      <c r="O315" s="13" t="s">
        <v>42</v>
      </c>
      <c r="P315" s="13">
        <f t="shared" si="9"/>
        <v>30</v>
      </c>
      <c r="Q315" s="15">
        <f t="shared" si="10"/>
        <v>4.4333333333333336</v>
      </c>
      <c r="R315" s="13" t="s">
        <v>1588</v>
      </c>
      <c r="S315" s="13"/>
      <c r="T315" s="13" t="s">
        <v>1589</v>
      </c>
      <c r="U315" s="13" t="s">
        <v>1590</v>
      </c>
      <c r="V315" s="13" t="s">
        <v>4071</v>
      </c>
      <c r="W315" s="13"/>
      <c r="X315" s="13" t="s">
        <v>4462</v>
      </c>
      <c r="Y315" s="13" t="s">
        <v>3980</v>
      </c>
      <c r="Z315" s="13" t="s">
        <v>3980</v>
      </c>
      <c r="AC315" s="18"/>
      <c r="AD315" s="18"/>
      <c r="AE315" s="13"/>
    </row>
    <row r="316" spans="1:31" x14ac:dyDescent="0.25">
      <c r="A316" s="18" t="s">
        <v>1470</v>
      </c>
      <c r="B316" s="30">
        <v>2009</v>
      </c>
      <c r="C316" s="13">
        <v>319</v>
      </c>
      <c r="D316" s="14">
        <v>0.46100000000000002</v>
      </c>
      <c r="E316" s="14">
        <v>0.46899999999999997</v>
      </c>
      <c r="F316" s="13">
        <v>8</v>
      </c>
      <c r="G316" s="14">
        <v>0.434</v>
      </c>
      <c r="H316" s="18" t="s">
        <v>3547</v>
      </c>
      <c r="I316" s="26" t="s">
        <v>1627</v>
      </c>
      <c r="J316" s="4" t="s">
        <v>54</v>
      </c>
      <c r="K316" s="4"/>
      <c r="L316" s="9">
        <f t="shared" ref="L316:L326" si="11">B316</f>
        <v>2009</v>
      </c>
      <c r="N316" s="30" t="s">
        <v>1243</v>
      </c>
      <c r="O316" s="13" t="s">
        <v>28</v>
      </c>
      <c r="P316" s="13">
        <f t="shared" si="9"/>
        <v>9</v>
      </c>
      <c r="Q316" s="15">
        <f t="shared" si="10"/>
        <v>35.444444444444443</v>
      </c>
      <c r="R316" s="13" t="s">
        <v>1471</v>
      </c>
      <c r="S316" s="13"/>
      <c r="T316" s="13" t="s">
        <v>1472</v>
      </c>
      <c r="U316" s="13"/>
      <c r="V316" s="13" t="s">
        <v>3980</v>
      </c>
      <c r="W316" s="13"/>
      <c r="X316" s="13" t="s">
        <v>3980</v>
      </c>
      <c r="Y316" s="13" t="s">
        <v>3980</v>
      </c>
      <c r="Z316" s="13" t="s">
        <v>3980</v>
      </c>
      <c r="AC316" s="18"/>
      <c r="AD316" s="18"/>
      <c r="AE316" s="13"/>
    </row>
    <row r="317" spans="1:31" x14ac:dyDescent="0.25">
      <c r="A317" s="18" t="s">
        <v>1981</v>
      </c>
      <c r="B317" s="30">
        <v>2005</v>
      </c>
      <c r="C317" s="8">
        <v>95</v>
      </c>
      <c r="D317" s="14">
        <v>0.25600000000000001</v>
      </c>
      <c r="E317" s="14">
        <v>0.22</v>
      </c>
      <c r="F317" s="8">
        <v>4</v>
      </c>
      <c r="G317" s="14">
        <v>0.19600000000000001</v>
      </c>
      <c r="I317" s="26" t="s">
        <v>1627</v>
      </c>
      <c r="J317" s="18" t="s">
        <v>54</v>
      </c>
      <c r="L317" s="9">
        <f t="shared" si="11"/>
        <v>2005</v>
      </c>
      <c r="N317" s="28" t="s">
        <v>259</v>
      </c>
      <c r="O317" s="13" t="s">
        <v>28</v>
      </c>
      <c r="P317" s="13">
        <f t="shared" si="9"/>
        <v>13</v>
      </c>
      <c r="Q317" s="15">
        <f t="shared" si="10"/>
        <v>7.3076923076923075</v>
      </c>
      <c r="R317" s="18" t="s">
        <v>729</v>
      </c>
      <c r="T317" s="18" t="s">
        <v>3797</v>
      </c>
      <c r="V317" s="18" t="s">
        <v>3980</v>
      </c>
      <c r="X317" s="18" t="s">
        <v>3980</v>
      </c>
      <c r="Y317" s="18" t="s">
        <v>3980</v>
      </c>
      <c r="Z317" s="18" t="s">
        <v>3980</v>
      </c>
      <c r="AC317" s="18"/>
      <c r="AD317" s="18"/>
      <c r="AE317" s="13"/>
    </row>
    <row r="318" spans="1:31" x14ac:dyDescent="0.25">
      <c r="A318" s="18" t="s">
        <v>2354</v>
      </c>
      <c r="B318" s="30">
        <v>2001</v>
      </c>
      <c r="C318" s="8">
        <v>450</v>
      </c>
      <c r="D318" s="14">
        <v>0.53300000000000003</v>
      </c>
      <c r="E318" s="14">
        <v>0.58399999999999996</v>
      </c>
      <c r="F318" s="8">
        <v>12</v>
      </c>
      <c r="G318" s="14">
        <v>0.60899999999999999</v>
      </c>
      <c r="I318" s="26" t="s">
        <v>1627</v>
      </c>
      <c r="J318" s="18" t="s">
        <v>54</v>
      </c>
      <c r="L318" s="9">
        <f t="shared" si="11"/>
        <v>2001</v>
      </c>
      <c r="N318" s="28" t="s">
        <v>2748</v>
      </c>
      <c r="O318" s="13" t="s">
        <v>42</v>
      </c>
      <c r="P318" s="13">
        <f t="shared" si="9"/>
        <v>17</v>
      </c>
      <c r="Q318" s="15">
        <f t="shared" si="10"/>
        <v>26.470588235294116</v>
      </c>
      <c r="R318" s="18" t="s">
        <v>766</v>
      </c>
      <c r="T318" s="18" t="s">
        <v>3808</v>
      </c>
      <c r="V318" s="18" t="s">
        <v>3980</v>
      </c>
      <c r="X318" s="18" t="s">
        <v>3980</v>
      </c>
      <c r="Y318" s="18" t="s">
        <v>3980</v>
      </c>
      <c r="Z318" s="18" t="s">
        <v>3980</v>
      </c>
      <c r="AC318" s="18"/>
      <c r="AD318" s="18"/>
      <c r="AE318" s="13"/>
    </row>
    <row r="319" spans="1:31" x14ac:dyDescent="0.25">
      <c r="A319" s="18" t="s">
        <v>1880</v>
      </c>
      <c r="B319" s="30">
        <v>2001</v>
      </c>
      <c r="C319" s="8">
        <v>791</v>
      </c>
      <c r="D319" s="14">
        <v>0.65300000000000002</v>
      </c>
      <c r="E319" s="14">
        <v>0.39100000000000001</v>
      </c>
      <c r="F319" s="8">
        <v>9</v>
      </c>
      <c r="G319" s="14">
        <v>0.48799999999999999</v>
      </c>
      <c r="I319" s="26" t="s">
        <v>1627</v>
      </c>
      <c r="J319" s="18" t="s">
        <v>26</v>
      </c>
      <c r="L319" s="9">
        <f t="shared" si="11"/>
        <v>2001</v>
      </c>
      <c r="N319" s="28" t="s">
        <v>3120</v>
      </c>
      <c r="O319" s="13" t="s">
        <v>42</v>
      </c>
      <c r="P319" s="13">
        <f t="shared" si="9"/>
        <v>17</v>
      </c>
      <c r="Q319" s="15">
        <f t="shared" si="10"/>
        <v>46.529411764705884</v>
      </c>
      <c r="R319" s="18" t="s">
        <v>3841</v>
      </c>
      <c r="T319" s="18" t="s">
        <v>1064</v>
      </c>
      <c r="V319" s="18" t="s">
        <v>3980</v>
      </c>
      <c r="X319" s="18" t="s">
        <v>3980</v>
      </c>
      <c r="Y319" s="18" t="s">
        <v>3980</v>
      </c>
      <c r="Z319" s="18" t="s">
        <v>3980</v>
      </c>
      <c r="AC319" s="18"/>
      <c r="AD319" s="18"/>
      <c r="AE319" s="13"/>
    </row>
    <row r="320" spans="1:31" x14ac:dyDescent="0.25">
      <c r="A320" s="18" t="s">
        <v>1356</v>
      </c>
      <c r="B320" s="30">
        <v>2009</v>
      </c>
      <c r="C320" s="13">
        <v>606</v>
      </c>
      <c r="D320" s="14">
        <v>0.60399999999999998</v>
      </c>
      <c r="E320" s="14">
        <v>0.91200000000000003</v>
      </c>
      <c r="F320" s="13">
        <v>11</v>
      </c>
      <c r="G320" s="14">
        <v>0.56000000000000005</v>
      </c>
      <c r="H320" s="18" t="s">
        <v>3502</v>
      </c>
      <c r="I320" s="26" t="s">
        <v>1627</v>
      </c>
      <c r="J320" s="4" t="s">
        <v>105</v>
      </c>
      <c r="K320" s="4"/>
      <c r="L320" s="9">
        <f t="shared" si="11"/>
        <v>2009</v>
      </c>
      <c r="N320" s="30" t="s">
        <v>788</v>
      </c>
      <c r="O320" s="13" t="s">
        <v>42</v>
      </c>
      <c r="P320" s="13">
        <f t="shared" si="9"/>
        <v>9</v>
      </c>
      <c r="Q320" s="15">
        <f t="shared" si="10"/>
        <v>67.333333333333329</v>
      </c>
      <c r="R320" s="13" t="s">
        <v>1357</v>
      </c>
      <c r="S320" s="13"/>
      <c r="T320" s="13" t="s">
        <v>1358</v>
      </c>
      <c r="U320" s="13"/>
      <c r="V320" s="13" t="s">
        <v>3980</v>
      </c>
      <c r="W320" s="13"/>
      <c r="X320" s="13" t="s">
        <v>3980</v>
      </c>
      <c r="Y320" s="13" t="s">
        <v>3980</v>
      </c>
      <c r="Z320" s="13" t="s">
        <v>3980</v>
      </c>
      <c r="AC320" s="18"/>
      <c r="AD320" s="18"/>
      <c r="AE320" s="13"/>
    </row>
    <row r="321" spans="1:31" x14ac:dyDescent="0.25">
      <c r="A321" s="18" t="s">
        <v>2239</v>
      </c>
      <c r="B321" s="30">
        <v>2001</v>
      </c>
      <c r="C321" s="8">
        <v>2989</v>
      </c>
      <c r="D321" s="14">
        <v>0.89100000000000001</v>
      </c>
      <c r="E321" s="14">
        <v>0.97399999999999998</v>
      </c>
      <c r="F321" s="8">
        <v>22</v>
      </c>
      <c r="G321" s="14">
        <v>0.85699999999999998</v>
      </c>
      <c r="I321" s="26" t="s">
        <v>1627</v>
      </c>
      <c r="J321" s="18" t="s">
        <v>54</v>
      </c>
      <c r="L321" s="9">
        <f t="shared" si="11"/>
        <v>2001</v>
      </c>
      <c r="N321" s="28" t="s">
        <v>3133</v>
      </c>
      <c r="O321" s="13" t="s">
        <v>42</v>
      </c>
      <c r="P321" s="13">
        <f t="shared" si="9"/>
        <v>17</v>
      </c>
      <c r="Q321" s="15">
        <f t="shared" si="10"/>
        <v>175.8235294117647</v>
      </c>
      <c r="R321" s="18" t="s">
        <v>3754</v>
      </c>
      <c r="T321" s="18" t="s">
        <v>3801</v>
      </c>
      <c r="V321" s="18" t="s">
        <v>3980</v>
      </c>
      <c r="X321" s="18" t="s">
        <v>3980</v>
      </c>
      <c r="Y321" s="18" t="s">
        <v>3980</v>
      </c>
      <c r="Z321" s="18" t="s">
        <v>3980</v>
      </c>
      <c r="AC321" s="18"/>
      <c r="AD321" s="18"/>
      <c r="AE321" s="13"/>
    </row>
    <row r="322" spans="1:31" x14ac:dyDescent="0.25">
      <c r="A322" s="18" t="s">
        <v>1626</v>
      </c>
      <c r="B322" s="30">
        <v>1999</v>
      </c>
      <c r="C322" s="8">
        <v>1111</v>
      </c>
      <c r="D322" s="14">
        <v>0.72199999999999998</v>
      </c>
      <c r="E322" s="14">
        <v>0.47599999999999998</v>
      </c>
      <c r="F322" s="8">
        <v>18</v>
      </c>
      <c r="G322" s="14">
        <v>0.78700000000000003</v>
      </c>
      <c r="H322" s="18" t="s">
        <v>3550</v>
      </c>
      <c r="I322" s="26" t="s">
        <v>1627</v>
      </c>
      <c r="J322" s="18" t="s">
        <v>26</v>
      </c>
      <c r="L322" s="9">
        <f t="shared" si="11"/>
        <v>1999</v>
      </c>
      <c r="N322" s="28" t="s">
        <v>259</v>
      </c>
      <c r="O322" s="13" t="s">
        <v>42</v>
      </c>
      <c r="P322" s="13">
        <f t="shared" ref="P322:P385" si="12">2018-L322</f>
        <v>19</v>
      </c>
      <c r="Q322" s="15">
        <f t="shared" ref="Q322:Q385" si="13">C322/P322</f>
        <v>58.473684210526315</v>
      </c>
      <c r="R322" s="18" t="s">
        <v>3822</v>
      </c>
      <c r="T322" s="18" t="s">
        <v>1879</v>
      </c>
      <c r="V322" s="18" t="s">
        <v>3980</v>
      </c>
      <c r="X322" s="18" t="s">
        <v>3980</v>
      </c>
      <c r="Y322" s="18" t="s">
        <v>3980</v>
      </c>
      <c r="Z322" s="18" t="s">
        <v>3980</v>
      </c>
      <c r="AC322" s="18"/>
      <c r="AD322" s="18"/>
      <c r="AE322" s="13"/>
    </row>
    <row r="323" spans="1:31" x14ac:dyDescent="0.25">
      <c r="A323" s="18" t="s">
        <v>1824</v>
      </c>
      <c r="B323" s="30">
        <v>1994</v>
      </c>
      <c r="C323" s="13">
        <v>1161</v>
      </c>
      <c r="D323" s="14">
        <v>0.73099999999999998</v>
      </c>
      <c r="E323" s="14">
        <v>0.48</v>
      </c>
      <c r="F323" s="13">
        <v>17</v>
      </c>
      <c r="G323" s="14">
        <v>0.76400000000000001</v>
      </c>
      <c r="H323" s="18" t="s">
        <v>3596</v>
      </c>
      <c r="I323" s="26" t="s">
        <v>1627</v>
      </c>
      <c r="J323" s="4" t="s">
        <v>26</v>
      </c>
      <c r="L323" s="9">
        <f t="shared" si="11"/>
        <v>1994</v>
      </c>
      <c r="N323" s="30" t="s">
        <v>34</v>
      </c>
      <c r="O323" s="13" t="s">
        <v>28</v>
      </c>
      <c r="P323" s="13">
        <f t="shared" si="12"/>
        <v>24</v>
      </c>
      <c r="Q323" s="15">
        <f t="shared" si="13"/>
        <v>48.375</v>
      </c>
      <c r="R323" s="13" t="s">
        <v>173</v>
      </c>
      <c r="S323" s="13"/>
      <c r="T323" s="13" t="s">
        <v>898</v>
      </c>
      <c r="U323" s="13"/>
      <c r="V323" s="13" t="s">
        <v>3980</v>
      </c>
      <c r="W323" s="13"/>
      <c r="X323" s="13" t="s">
        <v>3980</v>
      </c>
      <c r="Y323" s="13" t="s">
        <v>3980</v>
      </c>
      <c r="Z323" s="13" t="s">
        <v>3980</v>
      </c>
      <c r="AC323" s="18"/>
      <c r="AD323" s="18"/>
      <c r="AE323" s="13"/>
    </row>
    <row r="324" spans="1:31" x14ac:dyDescent="0.25">
      <c r="A324" s="18" t="s">
        <v>2192</v>
      </c>
      <c r="B324" s="30">
        <v>1998</v>
      </c>
      <c r="C324" s="13">
        <v>515</v>
      </c>
      <c r="D324" s="14">
        <v>0.56000000000000005</v>
      </c>
      <c r="E324" s="14">
        <v>0.621</v>
      </c>
      <c r="F324" s="13">
        <v>9</v>
      </c>
      <c r="G324" s="14">
        <v>0.48799999999999999</v>
      </c>
      <c r="I324" s="26" t="s">
        <v>1627</v>
      </c>
      <c r="J324" s="4" t="s">
        <v>54</v>
      </c>
      <c r="K324" s="4"/>
      <c r="L324" s="9">
        <f t="shared" si="11"/>
        <v>1998</v>
      </c>
      <c r="N324" s="30" t="s">
        <v>788</v>
      </c>
      <c r="O324" s="13" t="s">
        <v>28</v>
      </c>
      <c r="P324" s="13">
        <f t="shared" si="12"/>
        <v>20</v>
      </c>
      <c r="Q324" s="15">
        <f t="shared" si="13"/>
        <v>25.75</v>
      </c>
      <c r="R324" s="13" t="s">
        <v>808</v>
      </c>
      <c r="S324" s="13"/>
      <c r="T324" s="13" t="s">
        <v>2193</v>
      </c>
      <c r="U324" s="13"/>
      <c r="V324" s="13" t="s">
        <v>3980</v>
      </c>
      <c r="W324" s="13"/>
      <c r="X324" s="13" t="s">
        <v>3980</v>
      </c>
      <c r="Y324" s="13" t="s">
        <v>3980</v>
      </c>
      <c r="Z324" s="13" t="s">
        <v>3980</v>
      </c>
      <c r="AC324" s="18"/>
      <c r="AD324" s="18"/>
      <c r="AE324" s="13"/>
    </row>
    <row r="325" spans="1:31" x14ac:dyDescent="0.25">
      <c r="A325" s="18" t="s">
        <v>2369</v>
      </c>
      <c r="B325" s="30">
        <v>2007</v>
      </c>
      <c r="C325" s="13">
        <v>131</v>
      </c>
      <c r="D325" s="14">
        <v>0.31</v>
      </c>
      <c r="E325" s="14">
        <v>0.29499999999999998</v>
      </c>
      <c r="F325" s="13">
        <v>7</v>
      </c>
      <c r="G325" s="14">
        <v>0.39300000000000002</v>
      </c>
      <c r="I325" s="26" t="s">
        <v>1627</v>
      </c>
      <c r="J325" s="4" t="s">
        <v>54</v>
      </c>
      <c r="L325" s="9">
        <f t="shared" si="11"/>
        <v>2007</v>
      </c>
      <c r="N325" s="30" t="s">
        <v>858</v>
      </c>
      <c r="O325" s="13" t="s">
        <v>42</v>
      </c>
      <c r="P325" s="13">
        <f t="shared" si="12"/>
        <v>11</v>
      </c>
      <c r="Q325" s="15">
        <f t="shared" si="13"/>
        <v>11.909090909090908</v>
      </c>
      <c r="R325" s="13" t="s">
        <v>2370</v>
      </c>
      <c r="S325" s="13"/>
      <c r="T325" s="13" t="s">
        <v>2371</v>
      </c>
      <c r="U325" s="13"/>
      <c r="V325" s="13" t="s">
        <v>3980</v>
      </c>
      <c r="W325" s="13"/>
      <c r="X325" s="13" t="s">
        <v>3980</v>
      </c>
      <c r="Y325" s="13" t="s">
        <v>3980</v>
      </c>
      <c r="Z325" s="13" t="s">
        <v>3980</v>
      </c>
      <c r="AC325" s="18"/>
      <c r="AD325" s="18"/>
      <c r="AE325" s="13"/>
    </row>
    <row r="326" spans="1:31" x14ac:dyDescent="0.25">
      <c r="A326" s="18" t="s">
        <v>1998</v>
      </c>
      <c r="B326" s="30">
        <v>2006</v>
      </c>
      <c r="C326" s="13">
        <v>828</v>
      </c>
      <c r="D326" s="14">
        <v>0.66200000000000003</v>
      </c>
      <c r="E326" s="14">
        <v>0.753</v>
      </c>
      <c r="F326" s="13">
        <v>14</v>
      </c>
      <c r="G326" s="14">
        <v>0.67900000000000005</v>
      </c>
      <c r="I326" s="26" t="s">
        <v>1627</v>
      </c>
      <c r="J326" s="4" t="s">
        <v>54</v>
      </c>
      <c r="K326" s="4"/>
      <c r="L326" s="9">
        <f t="shared" si="11"/>
        <v>2006</v>
      </c>
      <c r="N326" s="30" t="s">
        <v>2336</v>
      </c>
      <c r="O326" s="13" t="s">
        <v>28</v>
      </c>
      <c r="P326" s="13">
        <f t="shared" si="12"/>
        <v>12</v>
      </c>
      <c r="Q326" s="15">
        <f t="shared" si="13"/>
        <v>69</v>
      </c>
      <c r="R326" s="13" t="s">
        <v>1999</v>
      </c>
      <c r="S326" s="13"/>
      <c r="T326" s="13" t="s">
        <v>2000</v>
      </c>
      <c r="U326" s="13"/>
      <c r="V326" s="13" t="s">
        <v>3980</v>
      </c>
      <c r="W326" s="13"/>
      <c r="X326" s="13" t="s">
        <v>3980</v>
      </c>
      <c r="Y326" s="13" t="s">
        <v>3980</v>
      </c>
      <c r="Z326" s="13" t="s">
        <v>3980</v>
      </c>
      <c r="AC326" s="18"/>
      <c r="AD326" s="18"/>
      <c r="AE326" s="16"/>
    </row>
    <row r="327" spans="1:31" x14ac:dyDescent="0.25">
      <c r="A327" s="18" t="s">
        <v>4870</v>
      </c>
      <c r="B327" s="30">
        <v>1990</v>
      </c>
      <c r="C327" s="13">
        <v>2382</v>
      </c>
      <c r="D327" s="14">
        <v>0.86699999999999999</v>
      </c>
      <c r="E327" s="14">
        <v>0.70799999999999996</v>
      </c>
      <c r="F327" s="13">
        <v>25</v>
      </c>
      <c r="G327" s="14">
        <v>0.89500000000000002</v>
      </c>
      <c r="H327" s="18" t="s">
        <v>3200</v>
      </c>
      <c r="I327" s="26" t="s">
        <v>67</v>
      </c>
      <c r="J327" s="18" t="s">
        <v>26</v>
      </c>
      <c r="L327" s="9">
        <v>1990</v>
      </c>
      <c r="N327" s="30" t="s">
        <v>123</v>
      </c>
      <c r="O327" s="13" t="s">
        <v>28</v>
      </c>
      <c r="P327" s="13">
        <f t="shared" si="12"/>
        <v>28</v>
      </c>
      <c r="Q327" s="15">
        <f t="shared" si="13"/>
        <v>85.071428571428569</v>
      </c>
      <c r="R327" s="13" t="s">
        <v>235</v>
      </c>
      <c r="S327" s="13" t="s">
        <v>62</v>
      </c>
      <c r="T327" s="13" t="s">
        <v>236</v>
      </c>
      <c r="U327" s="13" t="s">
        <v>237</v>
      </c>
      <c r="V327" s="13" t="s">
        <v>4072</v>
      </c>
      <c r="W327" s="13"/>
      <c r="X327" s="13" t="s">
        <v>4463</v>
      </c>
      <c r="Y327" s="13" t="s">
        <v>3980</v>
      </c>
      <c r="Z327" s="13" t="s">
        <v>3980</v>
      </c>
      <c r="AC327" s="18"/>
      <c r="AD327" s="18"/>
      <c r="AE327" s="13"/>
    </row>
    <row r="328" spans="1:31" x14ac:dyDescent="0.25">
      <c r="A328" s="18" t="s">
        <v>5071</v>
      </c>
      <c r="B328" s="30">
        <v>1971</v>
      </c>
      <c r="C328" s="13">
        <v>4028</v>
      </c>
      <c r="D328" s="14">
        <v>0.92800000000000005</v>
      </c>
      <c r="E328" s="14">
        <v>0.83299999999999996</v>
      </c>
      <c r="F328" s="13">
        <v>28</v>
      </c>
      <c r="G328" s="14">
        <v>0.91800000000000004</v>
      </c>
      <c r="I328" s="26" t="s">
        <v>67</v>
      </c>
      <c r="J328" s="18" t="s">
        <v>26</v>
      </c>
      <c r="L328" s="9">
        <v>1971</v>
      </c>
      <c r="N328" s="30" t="s">
        <v>67</v>
      </c>
      <c r="O328" s="13" t="s">
        <v>28</v>
      </c>
      <c r="P328" s="13">
        <f t="shared" si="12"/>
        <v>47</v>
      </c>
      <c r="Q328" s="15">
        <f t="shared" si="13"/>
        <v>85.702127659574472</v>
      </c>
      <c r="R328" s="13" t="s">
        <v>177</v>
      </c>
      <c r="S328" s="13" t="s">
        <v>480</v>
      </c>
      <c r="T328" s="13" t="s">
        <v>2787</v>
      </c>
      <c r="U328" s="13" t="s">
        <v>2788</v>
      </c>
      <c r="V328" s="13" t="s">
        <v>3980</v>
      </c>
      <c r="W328" s="13"/>
      <c r="X328" s="13" t="s">
        <v>4464</v>
      </c>
      <c r="Y328" s="13" t="s">
        <v>3980</v>
      </c>
      <c r="Z328" s="13" t="s">
        <v>3980</v>
      </c>
      <c r="AC328" s="18"/>
      <c r="AD328" s="18"/>
      <c r="AE328" s="13"/>
    </row>
    <row r="329" spans="1:31" x14ac:dyDescent="0.25">
      <c r="A329" s="18" t="s">
        <v>2080</v>
      </c>
      <c r="B329" s="30">
        <v>2000</v>
      </c>
      <c r="C329" s="13">
        <v>2893</v>
      </c>
      <c r="D329" s="14">
        <v>0.88600000000000001</v>
      </c>
      <c r="E329" s="14">
        <v>0.747</v>
      </c>
      <c r="F329" s="13">
        <v>23</v>
      </c>
      <c r="G329" s="14">
        <v>0.874</v>
      </c>
      <c r="I329" s="26" t="s">
        <v>67</v>
      </c>
      <c r="J329" s="18" t="s">
        <v>26</v>
      </c>
      <c r="L329" s="9">
        <v>2000</v>
      </c>
      <c r="N329" s="30" t="s">
        <v>67</v>
      </c>
      <c r="O329" s="13" t="s">
        <v>28</v>
      </c>
      <c r="P329" s="13">
        <f t="shared" si="12"/>
        <v>18</v>
      </c>
      <c r="Q329" s="15">
        <f t="shared" si="13"/>
        <v>160.72222222222223</v>
      </c>
      <c r="R329" s="13" t="s">
        <v>205</v>
      </c>
      <c r="S329" s="13"/>
      <c r="T329" s="13" t="s">
        <v>2081</v>
      </c>
      <c r="U329" s="13" t="s">
        <v>2082</v>
      </c>
      <c r="V329" s="13" t="s">
        <v>4073</v>
      </c>
      <c r="W329" s="13"/>
      <c r="X329" s="13" t="s">
        <v>4465</v>
      </c>
      <c r="Y329" s="13" t="s">
        <v>3980</v>
      </c>
      <c r="Z329" s="13" t="s">
        <v>3980</v>
      </c>
      <c r="AC329" s="18"/>
      <c r="AD329" s="18"/>
      <c r="AE329" s="13"/>
    </row>
    <row r="330" spans="1:31" x14ac:dyDescent="0.25">
      <c r="A330" s="18" t="s">
        <v>1594</v>
      </c>
      <c r="B330" s="30">
        <v>2014</v>
      </c>
      <c r="C330" s="8">
        <v>39</v>
      </c>
      <c r="D330" s="14">
        <v>0.151</v>
      </c>
      <c r="E330" s="14">
        <v>7.4999999999999997E-2</v>
      </c>
      <c r="F330" s="8">
        <v>3</v>
      </c>
      <c r="G330" s="14">
        <v>0.13100000000000001</v>
      </c>
      <c r="I330" s="26" t="s">
        <v>67</v>
      </c>
      <c r="J330" s="18" t="s">
        <v>26</v>
      </c>
      <c r="L330" s="9">
        <f>B330</f>
        <v>2014</v>
      </c>
      <c r="N330" s="28" t="s">
        <v>3086</v>
      </c>
      <c r="O330" s="13" t="s">
        <v>42</v>
      </c>
      <c r="P330" s="13">
        <f t="shared" si="12"/>
        <v>4</v>
      </c>
      <c r="Q330" s="15">
        <f t="shared" si="13"/>
        <v>9.75</v>
      </c>
      <c r="R330" s="18" t="s">
        <v>1596</v>
      </c>
      <c r="T330" s="18" t="s">
        <v>3835</v>
      </c>
      <c r="V330" s="18" t="s">
        <v>3980</v>
      </c>
      <c r="X330" s="18" t="s">
        <v>3980</v>
      </c>
      <c r="Y330" s="18" t="s">
        <v>3980</v>
      </c>
      <c r="Z330" s="18" t="s">
        <v>3980</v>
      </c>
      <c r="AC330" s="18"/>
      <c r="AD330" s="18"/>
      <c r="AE330" s="13"/>
    </row>
    <row r="331" spans="1:31" x14ac:dyDescent="0.25">
      <c r="A331" s="18" t="s">
        <v>4936</v>
      </c>
      <c r="B331" s="30">
        <v>1999</v>
      </c>
      <c r="C331" s="13">
        <v>2976</v>
      </c>
      <c r="D331" s="14">
        <v>0.88800000000000001</v>
      </c>
      <c r="E331" s="14">
        <v>0.751</v>
      </c>
      <c r="F331" s="13">
        <v>28</v>
      </c>
      <c r="G331" s="14">
        <v>0.91800000000000004</v>
      </c>
      <c r="I331" s="26" t="s">
        <v>67</v>
      </c>
      <c r="J331" s="18" t="s">
        <v>26</v>
      </c>
      <c r="L331" s="9">
        <v>1999</v>
      </c>
      <c r="N331" s="30" t="s">
        <v>67</v>
      </c>
      <c r="O331" s="13" t="s">
        <v>28</v>
      </c>
      <c r="P331" s="13">
        <f t="shared" si="12"/>
        <v>19</v>
      </c>
      <c r="Q331" s="15">
        <f t="shared" si="13"/>
        <v>156.63157894736841</v>
      </c>
      <c r="R331" s="13" t="s">
        <v>205</v>
      </c>
      <c r="S331" s="13" t="s">
        <v>480</v>
      </c>
      <c r="T331" s="13" t="s">
        <v>2087</v>
      </c>
      <c r="U331" s="13" t="s">
        <v>2088</v>
      </c>
      <c r="V331" s="13" t="s">
        <v>3980</v>
      </c>
      <c r="W331" s="13"/>
      <c r="X331" s="13" t="s">
        <v>3980</v>
      </c>
      <c r="Y331" s="13" t="s">
        <v>3980</v>
      </c>
      <c r="Z331" s="13" t="s">
        <v>3980</v>
      </c>
      <c r="AC331" s="18"/>
      <c r="AD331" s="18"/>
      <c r="AE331" s="13"/>
    </row>
    <row r="332" spans="1:31" x14ac:dyDescent="0.25">
      <c r="A332" s="18" t="s">
        <v>5074</v>
      </c>
      <c r="B332" s="30">
        <v>1981</v>
      </c>
      <c r="C332" s="13">
        <v>2070</v>
      </c>
      <c r="D332" s="14">
        <v>0.84099999999999997</v>
      </c>
      <c r="E332" s="14">
        <v>0.65600000000000003</v>
      </c>
      <c r="F332" s="13">
        <v>20</v>
      </c>
      <c r="G332" s="14">
        <v>0.82599999999999996</v>
      </c>
      <c r="H332" s="18" t="s">
        <v>3259</v>
      </c>
      <c r="I332" s="26" t="s">
        <v>67</v>
      </c>
      <c r="J332" s="18" t="s">
        <v>26</v>
      </c>
      <c r="K332" s="4"/>
      <c r="L332" s="9">
        <v>1981</v>
      </c>
      <c r="N332" s="30" t="s">
        <v>35</v>
      </c>
      <c r="O332" s="13" t="s">
        <v>28</v>
      </c>
      <c r="P332" s="13">
        <f t="shared" si="12"/>
        <v>37</v>
      </c>
      <c r="Q332" s="15">
        <f t="shared" si="13"/>
        <v>55.945945945945944</v>
      </c>
      <c r="R332" s="13" t="s">
        <v>177</v>
      </c>
      <c r="S332" s="13" t="s">
        <v>480</v>
      </c>
      <c r="T332" s="13" t="s">
        <v>481</v>
      </c>
      <c r="U332" s="13" t="s">
        <v>482</v>
      </c>
      <c r="V332" s="13" t="s">
        <v>4074</v>
      </c>
      <c r="W332" s="13"/>
      <c r="X332" s="13" t="s">
        <v>4466</v>
      </c>
      <c r="Y332" s="13" t="s">
        <v>3980</v>
      </c>
      <c r="Z332" s="13" t="s">
        <v>3980</v>
      </c>
      <c r="AC332" s="18"/>
      <c r="AD332" s="18"/>
      <c r="AE332" s="13"/>
    </row>
    <row r="333" spans="1:31" x14ac:dyDescent="0.25">
      <c r="A333" s="18" t="s">
        <v>1832</v>
      </c>
      <c r="B333" s="30">
        <v>1978</v>
      </c>
      <c r="C333" s="13">
        <v>3175</v>
      </c>
      <c r="D333" s="14">
        <v>0.90200000000000002</v>
      </c>
      <c r="E333" s="14">
        <v>0.77900000000000003</v>
      </c>
      <c r="F333" s="13">
        <v>27</v>
      </c>
      <c r="G333" s="14">
        <v>0.90700000000000003</v>
      </c>
      <c r="I333" s="26" t="s">
        <v>67</v>
      </c>
      <c r="J333" s="18" t="s">
        <v>26</v>
      </c>
      <c r="K333" s="4"/>
      <c r="L333" s="9">
        <v>1978</v>
      </c>
      <c r="N333" s="30" t="s">
        <v>67</v>
      </c>
      <c r="O333" s="13" t="s">
        <v>28</v>
      </c>
      <c r="P333" s="13">
        <f t="shared" si="12"/>
        <v>40</v>
      </c>
      <c r="Q333" s="15">
        <f t="shared" si="13"/>
        <v>79.375</v>
      </c>
      <c r="R333" s="13" t="s">
        <v>173</v>
      </c>
      <c r="S333" s="13"/>
      <c r="T333" s="13" t="s">
        <v>1833</v>
      </c>
      <c r="U333" s="13" t="s">
        <v>1834</v>
      </c>
      <c r="V333" s="13" t="s">
        <v>3980</v>
      </c>
      <c r="W333" s="13"/>
      <c r="X333" s="13" t="s">
        <v>4467</v>
      </c>
      <c r="Y333" s="13" t="s">
        <v>3980</v>
      </c>
      <c r="Z333" s="13" t="s">
        <v>3980</v>
      </c>
      <c r="AC333" s="18"/>
      <c r="AD333" s="18"/>
      <c r="AE333" s="18"/>
    </row>
    <row r="334" spans="1:31" x14ac:dyDescent="0.25">
      <c r="A334" s="18" t="s">
        <v>4842</v>
      </c>
      <c r="B334" s="30">
        <v>1968</v>
      </c>
      <c r="C334" s="13">
        <v>247</v>
      </c>
      <c r="D334" s="14">
        <v>0.41299999999999998</v>
      </c>
      <c r="E334" s="14">
        <v>0.20899999999999999</v>
      </c>
      <c r="F334" s="13">
        <v>5</v>
      </c>
      <c r="G334" s="14">
        <v>0.27400000000000002</v>
      </c>
      <c r="I334" s="26" t="s">
        <v>67</v>
      </c>
      <c r="J334" s="18" t="s">
        <v>26</v>
      </c>
      <c r="L334" s="9">
        <v>1968</v>
      </c>
      <c r="N334" s="30" t="s">
        <v>34</v>
      </c>
      <c r="O334" s="13" t="s">
        <v>28</v>
      </c>
      <c r="P334" s="13">
        <f t="shared" si="12"/>
        <v>50</v>
      </c>
      <c r="Q334" s="15">
        <f t="shared" si="13"/>
        <v>4.9400000000000004</v>
      </c>
      <c r="R334" s="13" t="s">
        <v>1548</v>
      </c>
      <c r="S334" s="13" t="s">
        <v>1024</v>
      </c>
      <c r="T334" s="13" t="s">
        <v>1549</v>
      </c>
      <c r="U334" s="13" t="s">
        <v>1550</v>
      </c>
      <c r="V334" s="13" t="s">
        <v>3980</v>
      </c>
      <c r="W334" s="13"/>
      <c r="X334" s="13" t="s">
        <v>4468</v>
      </c>
      <c r="Y334" s="13" t="s">
        <v>3980</v>
      </c>
      <c r="Z334" s="13" t="s">
        <v>3980</v>
      </c>
      <c r="AC334" s="18"/>
      <c r="AD334" s="18"/>
      <c r="AE334" s="13"/>
    </row>
    <row r="335" spans="1:31" x14ac:dyDescent="0.25">
      <c r="A335" s="18" t="s">
        <v>230</v>
      </c>
      <c r="B335" s="30">
        <v>2001</v>
      </c>
      <c r="C335" s="13">
        <v>1606</v>
      </c>
      <c r="D335" s="14">
        <v>0.8</v>
      </c>
      <c r="E335" s="14">
        <v>0.91100000000000003</v>
      </c>
      <c r="F335" s="13">
        <v>16</v>
      </c>
      <c r="G335" s="14">
        <v>0.74099999999999999</v>
      </c>
      <c r="H335" s="18" t="s">
        <v>3199</v>
      </c>
      <c r="I335" s="26" t="s">
        <v>67</v>
      </c>
      <c r="J335" s="18" t="s">
        <v>54</v>
      </c>
      <c r="L335" s="9">
        <v>2001</v>
      </c>
      <c r="N335" s="30" t="s">
        <v>231</v>
      </c>
      <c r="O335" s="13" t="s">
        <v>42</v>
      </c>
      <c r="P335" s="13">
        <f t="shared" si="12"/>
        <v>17</v>
      </c>
      <c r="Q335" s="15">
        <f t="shared" si="13"/>
        <v>94.470588235294116</v>
      </c>
      <c r="R335" s="13" t="s">
        <v>232</v>
      </c>
      <c r="S335" s="13"/>
      <c r="T335" s="13" t="s">
        <v>233</v>
      </c>
      <c r="U335" s="13" t="s">
        <v>234</v>
      </c>
      <c r="V335" s="13" t="s">
        <v>4075</v>
      </c>
      <c r="W335" s="13"/>
      <c r="X335" s="13" t="s">
        <v>3980</v>
      </c>
      <c r="Y335" s="13" t="s">
        <v>3980</v>
      </c>
      <c r="Z335" s="13" t="s">
        <v>3980</v>
      </c>
      <c r="AC335" s="18"/>
      <c r="AD335" s="18"/>
      <c r="AE335" s="16"/>
    </row>
    <row r="336" spans="1:31" x14ac:dyDescent="0.25">
      <c r="A336" s="18" t="s">
        <v>4913</v>
      </c>
      <c r="B336" s="30">
        <v>1972</v>
      </c>
      <c r="C336" s="13">
        <v>2375</v>
      </c>
      <c r="D336" s="14">
        <v>0.86599999999999999</v>
      </c>
      <c r="E336" s="14">
        <v>0.70299999999999996</v>
      </c>
      <c r="F336" s="13">
        <v>21</v>
      </c>
      <c r="G336" s="14">
        <v>0.84199999999999997</v>
      </c>
      <c r="I336" s="26" t="s">
        <v>67</v>
      </c>
      <c r="J336" s="18" t="s">
        <v>26</v>
      </c>
      <c r="L336" s="9">
        <v>1972</v>
      </c>
      <c r="N336" s="30" t="s">
        <v>34</v>
      </c>
      <c r="O336" s="13" t="s">
        <v>28</v>
      </c>
      <c r="P336" s="13">
        <f t="shared" si="12"/>
        <v>46</v>
      </c>
      <c r="Q336" s="15">
        <f t="shared" si="13"/>
        <v>51.630434782608695</v>
      </c>
      <c r="R336" s="13" t="s">
        <v>227</v>
      </c>
      <c r="S336" s="13" t="s">
        <v>62</v>
      </c>
      <c r="T336" s="13" t="s">
        <v>1963</v>
      </c>
      <c r="U336" s="13" t="s">
        <v>1964</v>
      </c>
      <c r="V336" s="13" t="s">
        <v>3980</v>
      </c>
      <c r="W336" s="13"/>
      <c r="X336" s="13" t="s">
        <v>4469</v>
      </c>
      <c r="Y336" s="13" t="s">
        <v>3980</v>
      </c>
      <c r="Z336" s="13" t="s">
        <v>3980</v>
      </c>
      <c r="AC336" s="18"/>
      <c r="AD336" s="18"/>
      <c r="AE336" s="13"/>
    </row>
    <row r="337" spans="1:31" x14ac:dyDescent="0.25">
      <c r="A337" s="18" t="s">
        <v>2287</v>
      </c>
      <c r="B337" s="30">
        <v>2015</v>
      </c>
      <c r="C337" s="8">
        <v>153</v>
      </c>
      <c r="D337" s="14">
        <v>0.34300000000000003</v>
      </c>
      <c r="E337" s="14">
        <v>0.628</v>
      </c>
      <c r="F337" s="8">
        <v>8</v>
      </c>
      <c r="G337" s="14">
        <v>0.434</v>
      </c>
      <c r="H337" s="18" t="s">
        <v>3539</v>
      </c>
      <c r="I337" s="26" t="s">
        <v>67</v>
      </c>
      <c r="J337" s="18" t="s">
        <v>105</v>
      </c>
      <c r="L337" s="9">
        <f>B337</f>
        <v>2015</v>
      </c>
      <c r="N337" s="28" t="s">
        <v>88</v>
      </c>
      <c r="O337" s="13" t="s">
        <v>42</v>
      </c>
      <c r="P337" s="13">
        <f t="shared" si="12"/>
        <v>3</v>
      </c>
      <c r="Q337" s="15">
        <f t="shared" si="13"/>
        <v>51</v>
      </c>
      <c r="R337" s="18" t="s">
        <v>3713</v>
      </c>
      <c r="T337" s="18" t="s">
        <v>689</v>
      </c>
      <c r="V337" s="18" t="s">
        <v>3980</v>
      </c>
      <c r="X337" s="18" t="s">
        <v>3980</v>
      </c>
      <c r="Y337" s="18" t="s">
        <v>3980</v>
      </c>
      <c r="Z337" s="18" t="s">
        <v>3980</v>
      </c>
      <c r="AC337" s="18"/>
      <c r="AD337" s="18"/>
      <c r="AE337" s="13"/>
    </row>
    <row r="338" spans="1:31" x14ac:dyDescent="0.25">
      <c r="A338" s="18" t="s">
        <v>4976</v>
      </c>
      <c r="B338" s="30">
        <v>2002</v>
      </c>
      <c r="C338" s="13">
        <v>411</v>
      </c>
      <c r="D338" s="14">
        <v>0.51</v>
      </c>
      <c r="E338" s="14">
        <v>0.55500000000000005</v>
      </c>
      <c r="F338" s="13">
        <v>11</v>
      </c>
      <c r="G338" s="14">
        <v>0.56000000000000005</v>
      </c>
      <c r="I338" s="26" t="s">
        <v>67</v>
      </c>
      <c r="J338" s="18" t="s">
        <v>54</v>
      </c>
      <c r="L338" s="9">
        <v>2002</v>
      </c>
      <c r="N338" s="30" t="s">
        <v>34</v>
      </c>
      <c r="O338" s="13" t="s">
        <v>42</v>
      </c>
      <c r="P338" s="13">
        <f t="shared" si="12"/>
        <v>16</v>
      </c>
      <c r="Q338" s="15">
        <f t="shared" si="13"/>
        <v>25.6875</v>
      </c>
      <c r="R338" s="13" t="s">
        <v>2243</v>
      </c>
      <c r="S338" s="13" t="s">
        <v>2244</v>
      </c>
      <c r="T338" s="13" t="s">
        <v>2245</v>
      </c>
      <c r="U338" s="13" t="s">
        <v>2246</v>
      </c>
      <c r="V338" s="13" t="s">
        <v>3980</v>
      </c>
      <c r="W338" s="13"/>
      <c r="X338" s="13" t="s">
        <v>3980</v>
      </c>
      <c r="Y338" s="13" t="s">
        <v>3980</v>
      </c>
      <c r="Z338" s="13" t="s">
        <v>3980</v>
      </c>
      <c r="AC338" s="18"/>
      <c r="AD338" s="18"/>
      <c r="AE338" s="13"/>
    </row>
    <row r="339" spans="1:31" x14ac:dyDescent="0.25">
      <c r="A339" s="18" t="s">
        <v>721</v>
      </c>
      <c r="B339" s="30">
        <v>2010</v>
      </c>
      <c r="C339" s="13">
        <v>38</v>
      </c>
      <c r="D339" s="14">
        <v>0.14799999999999999</v>
      </c>
      <c r="E339" s="14">
        <v>0.29799999999999999</v>
      </c>
      <c r="F339" s="13">
        <v>2</v>
      </c>
      <c r="G339" s="14">
        <v>7.0999999999999994E-2</v>
      </c>
      <c r="H339" s="18" t="s">
        <v>3322</v>
      </c>
      <c r="I339" s="26" t="s">
        <v>67</v>
      </c>
      <c r="J339" s="4" t="s">
        <v>105</v>
      </c>
      <c r="K339" s="4"/>
      <c r="L339" s="9">
        <v>2010</v>
      </c>
      <c r="M339" s="11"/>
      <c r="N339" s="30" t="s">
        <v>67</v>
      </c>
      <c r="O339" s="13" t="s">
        <v>42</v>
      </c>
      <c r="P339" s="13">
        <f t="shared" si="12"/>
        <v>8</v>
      </c>
      <c r="Q339" s="15">
        <f t="shared" si="13"/>
        <v>4.75</v>
      </c>
      <c r="R339" s="13" t="s">
        <v>722</v>
      </c>
      <c r="S339" s="13"/>
      <c r="T339" s="13" t="s">
        <v>723</v>
      </c>
      <c r="U339" s="13" t="s">
        <v>724</v>
      </c>
      <c r="V339" s="13" t="s">
        <v>3980</v>
      </c>
      <c r="W339" s="13"/>
      <c r="X339" s="13" t="s">
        <v>4470</v>
      </c>
      <c r="Y339" s="13" t="s">
        <v>3980</v>
      </c>
      <c r="Z339" s="13" t="s">
        <v>3980</v>
      </c>
      <c r="AC339" s="18"/>
      <c r="AD339" s="18"/>
      <c r="AE339" s="13"/>
    </row>
    <row r="340" spans="1:31" x14ac:dyDescent="0.25">
      <c r="A340" s="18" t="s">
        <v>1233</v>
      </c>
      <c r="B340" s="30">
        <v>2011</v>
      </c>
      <c r="C340" s="13">
        <v>541</v>
      </c>
      <c r="D340" s="14">
        <v>0.57199999999999995</v>
      </c>
      <c r="E340" s="14">
        <v>0.88400000000000001</v>
      </c>
      <c r="F340" s="13">
        <v>12</v>
      </c>
      <c r="G340" s="14">
        <v>0.60899999999999999</v>
      </c>
      <c r="H340" s="18" t="s">
        <v>3467</v>
      </c>
      <c r="I340" s="26" t="s">
        <v>67</v>
      </c>
      <c r="J340" s="4" t="s">
        <v>105</v>
      </c>
      <c r="K340" s="4"/>
      <c r="L340" s="9">
        <v>2011</v>
      </c>
      <c r="N340" s="30" t="s">
        <v>88</v>
      </c>
      <c r="O340" s="13" t="s">
        <v>28</v>
      </c>
      <c r="P340" s="13">
        <f t="shared" si="12"/>
        <v>7</v>
      </c>
      <c r="Q340" s="15">
        <f t="shared" si="13"/>
        <v>77.285714285714292</v>
      </c>
      <c r="R340" s="13" t="s">
        <v>84</v>
      </c>
      <c r="S340" s="13"/>
      <c r="T340" s="13" t="s">
        <v>1234</v>
      </c>
      <c r="U340" s="13" t="s">
        <v>1235</v>
      </c>
      <c r="V340" s="13" t="s">
        <v>4076</v>
      </c>
      <c r="W340" s="13"/>
      <c r="X340" s="13" t="s">
        <v>4471</v>
      </c>
      <c r="Y340" s="13" t="s">
        <v>3980</v>
      </c>
      <c r="Z340" s="13" t="s">
        <v>3980</v>
      </c>
      <c r="AC340" s="18"/>
      <c r="AD340" s="18"/>
      <c r="AE340" s="13"/>
    </row>
    <row r="341" spans="1:31" x14ac:dyDescent="0.25">
      <c r="A341" s="18" t="s">
        <v>5005</v>
      </c>
      <c r="B341" s="30">
        <v>1981</v>
      </c>
      <c r="C341" s="13">
        <v>718</v>
      </c>
      <c r="D341" s="14">
        <v>0.63300000000000001</v>
      </c>
      <c r="E341" s="14">
        <v>0.72699999999999998</v>
      </c>
      <c r="F341" s="13">
        <v>13</v>
      </c>
      <c r="G341" s="14">
        <v>0.64500000000000002</v>
      </c>
      <c r="I341" s="26" t="s">
        <v>67</v>
      </c>
      <c r="J341" s="18" t="s">
        <v>54</v>
      </c>
      <c r="L341" s="9">
        <v>1981</v>
      </c>
      <c r="N341" s="30" t="s">
        <v>41</v>
      </c>
      <c r="O341" s="13" t="s">
        <v>42</v>
      </c>
      <c r="P341" s="13">
        <f t="shared" si="12"/>
        <v>37</v>
      </c>
      <c r="Q341" s="15">
        <f t="shared" si="13"/>
        <v>19.405405405405407</v>
      </c>
      <c r="R341" s="13" t="s">
        <v>2423</v>
      </c>
      <c r="S341" s="13" t="s">
        <v>669</v>
      </c>
      <c r="T341" s="13" t="s">
        <v>2424</v>
      </c>
      <c r="U341" s="13" t="s">
        <v>2425</v>
      </c>
      <c r="V341" s="13" t="s">
        <v>3980</v>
      </c>
      <c r="W341" s="13"/>
      <c r="X341" s="13" t="s">
        <v>4472</v>
      </c>
      <c r="Y341" s="13" t="s">
        <v>3980</v>
      </c>
      <c r="Z341" s="13" t="s">
        <v>3980</v>
      </c>
      <c r="AC341" s="18"/>
      <c r="AD341" s="18"/>
      <c r="AE341" s="13"/>
    </row>
    <row r="342" spans="1:31" x14ac:dyDescent="0.25">
      <c r="A342" s="18" t="s">
        <v>2746</v>
      </c>
      <c r="B342" s="30">
        <v>1994</v>
      </c>
      <c r="C342" s="13">
        <v>1</v>
      </c>
      <c r="D342" s="14">
        <v>0</v>
      </c>
      <c r="E342" s="14">
        <v>0</v>
      </c>
      <c r="F342" s="13">
        <v>1</v>
      </c>
      <c r="G342" s="14">
        <v>0</v>
      </c>
      <c r="I342" s="26" t="s">
        <v>764</v>
      </c>
      <c r="J342" s="18" t="s">
        <v>105</v>
      </c>
      <c r="L342" s="9">
        <f>B342</f>
        <v>1994</v>
      </c>
      <c r="M342" s="20" t="s">
        <v>3132</v>
      </c>
      <c r="N342" s="30" t="s">
        <v>3080</v>
      </c>
      <c r="O342" s="13" t="s">
        <v>28</v>
      </c>
      <c r="P342" s="13">
        <f t="shared" si="12"/>
        <v>24</v>
      </c>
      <c r="Q342" s="15">
        <f t="shared" si="13"/>
        <v>4.1666666666666664E-2</v>
      </c>
      <c r="R342" s="13" t="s">
        <v>130</v>
      </c>
      <c r="S342" s="13"/>
      <c r="T342" s="13" t="s">
        <v>2747</v>
      </c>
      <c r="U342" s="13"/>
      <c r="V342" s="13" t="s">
        <v>3980</v>
      </c>
      <c r="W342" s="13"/>
      <c r="X342" s="13" t="s">
        <v>3980</v>
      </c>
      <c r="Y342" s="13" t="s">
        <v>3980</v>
      </c>
      <c r="Z342" s="13" t="s">
        <v>3980</v>
      </c>
      <c r="AC342" s="18"/>
      <c r="AD342" s="18"/>
      <c r="AE342" s="13"/>
    </row>
    <row r="343" spans="1:31" x14ac:dyDescent="0.25">
      <c r="A343" s="18" t="s">
        <v>1533</v>
      </c>
      <c r="B343" s="30">
        <v>2011</v>
      </c>
      <c r="C343" s="13">
        <v>46</v>
      </c>
      <c r="D343" s="14">
        <v>0.16900000000000001</v>
      </c>
      <c r="E343" s="14">
        <v>0.13400000000000001</v>
      </c>
      <c r="F343" s="13">
        <v>4</v>
      </c>
      <c r="G343" s="14">
        <v>0.19600000000000001</v>
      </c>
      <c r="I343" s="26" t="s">
        <v>764</v>
      </c>
      <c r="J343" s="18" t="s">
        <v>54</v>
      </c>
      <c r="L343" s="9">
        <f>B343</f>
        <v>2011</v>
      </c>
      <c r="M343" s="11"/>
      <c r="N343" s="30" t="s">
        <v>3113</v>
      </c>
      <c r="O343" s="13" t="s">
        <v>42</v>
      </c>
      <c r="P343" s="13">
        <f t="shared" si="12"/>
        <v>7</v>
      </c>
      <c r="Q343" s="15">
        <f t="shared" si="13"/>
        <v>6.5714285714285712</v>
      </c>
      <c r="R343" s="13" t="s">
        <v>1534</v>
      </c>
      <c r="S343" s="13"/>
      <c r="T343" s="13" t="s">
        <v>1535</v>
      </c>
      <c r="U343" s="13"/>
      <c r="V343" s="13" t="s">
        <v>3980</v>
      </c>
      <c r="W343" s="13"/>
      <c r="X343" s="13" t="s">
        <v>3980</v>
      </c>
      <c r="Y343" s="13" t="s">
        <v>3980</v>
      </c>
      <c r="Z343" s="13" t="s">
        <v>3980</v>
      </c>
      <c r="AC343" s="18"/>
      <c r="AD343" s="18"/>
      <c r="AE343" s="16"/>
    </row>
    <row r="344" spans="1:31" x14ac:dyDescent="0.25">
      <c r="A344" s="18" t="s">
        <v>1368</v>
      </c>
      <c r="B344" s="30">
        <v>1976</v>
      </c>
      <c r="C344" s="13">
        <v>4424</v>
      </c>
      <c r="D344" s="14">
        <v>0.93500000000000005</v>
      </c>
      <c r="E344" s="14">
        <v>0.85099999999999998</v>
      </c>
      <c r="F344" s="13">
        <v>34</v>
      </c>
      <c r="G344" s="14">
        <v>0.95499999999999996</v>
      </c>
      <c r="H344" s="18" t="s">
        <v>3505</v>
      </c>
      <c r="I344" s="26" t="s">
        <v>764</v>
      </c>
      <c r="J344" s="18" t="s">
        <v>26</v>
      </c>
      <c r="L344" s="9">
        <f>B344</f>
        <v>1976</v>
      </c>
      <c r="N344" s="30" t="s">
        <v>152</v>
      </c>
      <c r="O344" s="13" t="s">
        <v>28</v>
      </c>
      <c r="P344" s="13">
        <f t="shared" si="12"/>
        <v>42</v>
      </c>
      <c r="Q344" s="15">
        <f t="shared" si="13"/>
        <v>105.33333333333333</v>
      </c>
      <c r="R344" s="13" t="s">
        <v>1048</v>
      </c>
      <c r="S344" s="13"/>
      <c r="T344" s="13" t="s">
        <v>1369</v>
      </c>
      <c r="U344" s="13"/>
      <c r="V344" s="13" t="s">
        <v>3980</v>
      </c>
      <c r="W344" s="13"/>
      <c r="X344" s="13" t="s">
        <v>3980</v>
      </c>
      <c r="Y344" s="13" t="s">
        <v>3980</v>
      </c>
      <c r="Z344" s="13" t="s">
        <v>3980</v>
      </c>
      <c r="AC344" s="18"/>
      <c r="AD344" s="18"/>
      <c r="AE344" s="13"/>
    </row>
    <row r="345" spans="1:31" x14ac:dyDescent="0.25">
      <c r="A345" s="18" t="s">
        <v>4944</v>
      </c>
      <c r="B345" s="30">
        <v>1984</v>
      </c>
      <c r="C345" s="13">
        <v>1144</v>
      </c>
      <c r="D345" s="14">
        <v>0.72799999999999998</v>
      </c>
      <c r="E345" s="14">
        <v>0.84199999999999997</v>
      </c>
      <c r="F345" s="13">
        <v>17</v>
      </c>
      <c r="G345" s="14">
        <v>0.76400000000000001</v>
      </c>
      <c r="H345" s="18" t="s">
        <v>3484</v>
      </c>
      <c r="I345" s="26" t="s">
        <v>764</v>
      </c>
      <c r="J345" s="18" t="s">
        <v>54</v>
      </c>
      <c r="K345" s="4"/>
      <c r="L345" s="9">
        <v>1984</v>
      </c>
      <c r="N345" s="30" t="s">
        <v>1292</v>
      </c>
      <c r="O345" s="13" t="s">
        <v>42</v>
      </c>
      <c r="P345" s="13">
        <f t="shared" si="12"/>
        <v>34</v>
      </c>
      <c r="Q345" s="15">
        <f t="shared" si="13"/>
        <v>33.647058823529413</v>
      </c>
      <c r="R345" s="13" t="s">
        <v>1283</v>
      </c>
      <c r="S345" s="13" t="s">
        <v>1293</v>
      </c>
      <c r="T345" s="13" t="s">
        <v>1294</v>
      </c>
      <c r="U345" s="13" t="s">
        <v>1295</v>
      </c>
      <c r="V345" s="13" t="s">
        <v>3980</v>
      </c>
      <c r="W345" s="13"/>
      <c r="X345" s="13" t="s">
        <v>4473</v>
      </c>
      <c r="Y345" s="13" t="s">
        <v>3980</v>
      </c>
      <c r="Z345" s="13" t="s">
        <v>3980</v>
      </c>
      <c r="AC345" s="18"/>
      <c r="AD345" s="18"/>
      <c r="AE345" s="1"/>
    </row>
    <row r="346" spans="1:31" x14ac:dyDescent="0.25">
      <c r="A346" s="18" t="s">
        <v>3015</v>
      </c>
      <c r="B346" s="30">
        <v>2000</v>
      </c>
      <c r="C346" s="13">
        <v>10</v>
      </c>
      <c r="D346" s="14">
        <v>6.9000000000000006E-2</v>
      </c>
      <c r="E346" s="14">
        <v>6.8000000000000005E-2</v>
      </c>
      <c r="F346" s="13">
        <v>2</v>
      </c>
      <c r="G346" s="14">
        <v>7.0999999999999994E-2</v>
      </c>
      <c r="I346" s="26" t="s">
        <v>764</v>
      </c>
      <c r="J346" s="18" t="s">
        <v>54</v>
      </c>
      <c r="L346" s="9">
        <v>2000</v>
      </c>
      <c r="N346" s="30" t="s">
        <v>3016</v>
      </c>
      <c r="O346" s="13" t="s">
        <v>28</v>
      </c>
      <c r="P346" s="13">
        <f t="shared" si="12"/>
        <v>18</v>
      </c>
      <c r="Q346" s="15">
        <f t="shared" si="13"/>
        <v>0.55555555555555558</v>
      </c>
      <c r="R346" s="13" t="s">
        <v>3017</v>
      </c>
      <c r="S346" s="13"/>
      <c r="T346" s="13" t="s">
        <v>3018</v>
      </c>
      <c r="U346" s="13"/>
      <c r="V346" s="13" t="s">
        <v>3980</v>
      </c>
      <c r="W346" s="13"/>
      <c r="X346" s="13" t="s">
        <v>4474</v>
      </c>
      <c r="Y346" s="13" t="s">
        <v>3980</v>
      </c>
      <c r="Z346" s="13" t="s">
        <v>3980</v>
      </c>
      <c r="AC346" s="18"/>
      <c r="AD346" s="18"/>
      <c r="AE346" s="16"/>
    </row>
    <row r="347" spans="1:31" x14ac:dyDescent="0.25">
      <c r="A347" s="18" t="s">
        <v>2971</v>
      </c>
      <c r="B347" s="30">
        <v>2005</v>
      </c>
      <c r="C347" s="13">
        <v>1</v>
      </c>
      <c r="D347" s="14">
        <v>0</v>
      </c>
      <c r="E347" s="14">
        <v>0</v>
      </c>
      <c r="F347" s="13">
        <v>1</v>
      </c>
      <c r="G347" s="14">
        <v>0</v>
      </c>
      <c r="I347" s="26" t="s">
        <v>764</v>
      </c>
      <c r="J347" s="18" t="s">
        <v>105</v>
      </c>
      <c r="L347" s="9">
        <f>B347</f>
        <v>2005</v>
      </c>
      <c r="M347" s="20" t="s">
        <v>3132</v>
      </c>
      <c r="N347" s="30" t="s">
        <v>3153</v>
      </c>
      <c r="O347" s="13" t="s">
        <v>28</v>
      </c>
      <c r="P347" s="13">
        <f t="shared" si="12"/>
        <v>13</v>
      </c>
      <c r="Q347" s="15">
        <f t="shared" si="13"/>
        <v>7.6923076923076927E-2</v>
      </c>
      <c r="R347" s="13" t="s">
        <v>2972</v>
      </c>
      <c r="S347" s="13"/>
      <c r="T347" s="13" t="s">
        <v>2973</v>
      </c>
      <c r="U347" s="13"/>
      <c r="V347" s="13" t="s">
        <v>3980</v>
      </c>
      <c r="W347" s="13"/>
      <c r="X347" s="13" t="s">
        <v>3980</v>
      </c>
      <c r="Y347" s="13" t="s">
        <v>3980</v>
      </c>
      <c r="Z347" s="13" t="s">
        <v>3980</v>
      </c>
      <c r="AC347" s="18"/>
      <c r="AD347" s="18"/>
      <c r="AE347" s="13"/>
    </row>
    <row r="348" spans="1:31" x14ac:dyDescent="0.25">
      <c r="A348" s="18" t="s">
        <v>2267</v>
      </c>
      <c r="B348" s="30">
        <v>2008</v>
      </c>
      <c r="C348" s="13">
        <v>7</v>
      </c>
      <c r="D348" s="14">
        <v>5.3999999999999999E-2</v>
      </c>
      <c r="E348" s="14">
        <v>5.0999999999999997E-2</v>
      </c>
      <c r="F348" s="13">
        <v>1</v>
      </c>
      <c r="G348" s="14">
        <v>0</v>
      </c>
      <c r="I348" s="26" t="s">
        <v>764</v>
      </c>
      <c r="J348" s="18" t="s">
        <v>54</v>
      </c>
      <c r="L348" s="9">
        <f>B348</f>
        <v>2008</v>
      </c>
      <c r="M348" s="20" t="s">
        <v>3132</v>
      </c>
      <c r="N348" s="30" t="s">
        <v>1215</v>
      </c>
      <c r="O348" s="13" t="s">
        <v>42</v>
      </c>
      <c r="P348" s="13">
        <f t="shared" si="12"/>
        <v>10</v>
      </c>
      <c r="Q348" s="15">
        <f t="shared" si="13"/>
        <v>0.7</v>
      </c>
      <c r="R348" s="13" t="s">
        <v>2268</v>
      </c>
      <c r="S348" s="13"/>
      <c r="T348" s="13" t="s">
        <v>2269</v>
      </c>
      <c r="U348" s="13"/>
      <c r="V348" s="13" t="s">
        <v>3980</v>
      </c>
      <c r="W348" s="13"/>
      <c r="X348" s="13" t="s">
        <v>3980</v>
      </c>
      <c r="Y348" s="13" t="s">
        <v>3980</v>
      </c>
      <c r="Z348" s="13" t="s">
        <v>3980</v>
      </c>
      <c r="AC348" s="18"/>
      <c r="AD348" s="18"/>
      <c r="AE348" s="18"/>
    </row>
    <row r="349" spans="1:31" x14ac:dyDescent="0.25">
      <c r="A349" s="18" t="s">
        <v>763</v>
      </c>
      <c r="B349" s="30">
        <v>2000</v>
      </c>
      <c r="C349" s="13">
        <v>1083</v>
      </c>
      <c r="D349" s="14">
        <v>0.71899999999999997</v>
      </c>
      <c r="E349" s="14">
        <v>0.46600000000000003</v>
      </c>
      <c r="F349" s="13">
        <v>12</v>
      </c>
      <c r="G349" s="14">
        <v>0.60899999999999999</v>
      </c>
      <c r="H349" s="18" t="s">
        <v>3331</v>
      </c>
      <c r="I349" s="26" t="s">
        <v>764</v>
      </c>
      <c r="J349" s="18" t="s">
        <v>26</v>
      </c>
      <c r="K349" s="4"/>
      <c r="L349" s="9">
        <v>2000</v>
      </c>
      <c r="N349" s="30" t="s">
        <v>765</v>
      </c>
      <c r="O349" s="13" t="s">
        <v>42</v>
      </c>
      <c r="P349" s="13">
        <f t="shared" si="12"/>
        <v>18</v>
      </c>
      <c r="Q349" s="15">
        <f t="shared" si="13"/>
        <v>60.166666666666664</v>
      </c>
      <c r="R349" s="13" t="s">
        <v>766</v>
      </c>
      <c r="S349" s="13"/>
      <c r="T349" s="13" t="s">
        <v>767</v>
      </c>
      <c r="U349" s="13" t="s">
        <v>768</v>
      </c>
      <c r="V349" s="13" t="s">
        <v>3980</v>
      </c>
      <c r="W349" s="13"/>
      <c r="X349" s="13" t="s">
        <v>4475</v>
      </c>
      <c r="Y349" s="13" t="s">
        <v>3980</v>
      </c>
      <c r="Z349" s="13" t="s">
        <v>3980</v>
      </c>
      <c r="AC349" s="18"/>
      <c r="AD349" s="18"/>
      <c r="AE349" s="1"/>
    </row>
    <row r="350" spans="1:31" x14ac:dyDescent="0.25">
      <c r="A350" s="18" t="s">
        <v>1147</v>
      </c>
      <c r="B350" s="30">
        <v>1997</v>
      </c>
      <c r="C350" s="13">
        <v>1141</v>
      </c>
      <c r="D350" s="14">
        <v>0.72599999999999998</v>
      </c>
      <c r="E350" s="14">
        <v>0.83599999999999997</v>
      </c>
      <c r="F350" s="13">
        <v>16</v>
      </c>
      <c r="G350" s="14">
        <v>0.74099999999999999</v>
      </c>
      <c r="H350" s="18" t="s">
        <v>3442</v>
      </c>
      <c r="I350" s="26" t="s">
        <v>764</v>
      </c>
      <c r="J350" s="18" t="s">
        <v>54</v>
      </c>
      <c r="K350" s="4"/>
      <c r="L350" s="9">
        <v>1997</v>
      </c>
      <c r="N350" s="30" t="s">
        <v>111</v>
      </c>
      <c r="O350" s="13" t="s">
        <v>28</v>
      </c>
      <c r="P350" s="13">
        <f t="shared" si="12"/>
        <v>21</v>
      </c>
      <c r="Q350" s="15">
        <f t="shared" si="13"/>
        <v>54.333333333333336</v>
      </c>
      <c r="R350" s="13" t="s">
        <v>173</v>
      </c>
      <c r="S350" s="13"/>
      <c r="T350" s="13" t="s">
        <v>1148</v>
      </c>
      <c r="U350" s="13" t="s">
        <v>1149</v>
      </c>
      <c r="V350" s="13" t="s">
        <v>3980</v>
      </c>
      <c r="W350" s="13"/>
      <c r="X350" s="13" t="s">
        <v>4476</v>
      </c>
      <c r="Y350" s="13" t="s">
        <v>3980</v>
      </c>
      <c r="Z350" s="13" t="s">
        <v>3980</v>
      </c>
      <c r="AC350" s="18"/>
      <c r="AD350" s="18"/>
      <c r="AE350" s="1"/>
    </row>
    <row r="351" spans="1:31" x14ac:dyDescent="0.25">
      <c r="A351" s="18" t="s">
        <v>1815</v>
      </c>
      <c r="B351" s="30">
        <v>1981</v>
      </c>
      <c r="C351" s="13">
        <v>193</v>
      </c>
      <c r="D351" s="14">
        <v>0.374</v>
      </c>
      <c r="E351" s="14">
        <v>0.17899999999999999</v>
      </c>
      <c r="F351" s="13">
        <v>6</v>
      </c>
      <c r="G351" s="14">
        <v>0.32200000000000001</v>
      </c>
      <c r="I351" s="26" t="s">
        <v>313</v>
      </c>
      <c r="J351" s="18" t="s">
        <v>26</v>
      </c>
      <c r="L351" s="9">
        <v>1981</v>
      </c>
      <c r="N351" s="30" t="s">
        <v>259</v>
      </c>
      <c r="O351" s="13" t="s">
        <v>28</v>
      </c>
      <c r="P351" s="13">
        <f t="shared" si="12"/>
        <v>37</v>
      </c>
      <c r="Q351" s="15">
        <f t="shared" si="13"/>
        <v>5.2162162162162158</v>
      </c>
      <c r="R351" s="13" t="s">
        <v>173</v>
      </c>
      <c r="S351" s="13"/>
      <c r="T351" s="13" t="s">
        <v>1816</v>
      </c>
      <c r="U351" s="13" t="s">
        <v>1817</v>
      </c>
      <c r="V351" s="13" t="s">
        <v>4077</v>
      </c>
      <c r="W351" s="13"/>
      <c r="X351" s="13" t="s">
        <v>4477</v>
      </c>
      <c r="Y351" s="13" t="s">
        <v>3980</v>
      </c>
      <c r="Z351" s="13" t="s">
        <v>3980</v>
      </c>
      <c r="AC351" s="18"/>
      <c r="AD351" s="18"/>
      <c r="AE351" s="1"/>
    </row>
    <row r="352" spans="1:31" x14ac:dyDescent="0.25">
      <c r="A352" s="18" t="s">
        <v>803</v>
      </c>
      <c r="B352" s="30">
        <v>2014</v>
      </c>
      <c r="C352" s="13">
        <v>41</v>
      </c>
      <c r="D352" s="14">
        <v>0.155</v>
      </c>
      <c r="E352" s="14">
        <v>0.312</v>
      </c>
      <c r="F352" s="13">
        <v>4</v>
      </c>
      <c r="G352" s="14">
        <v>0.19600000000000001</v>
      </c>
      <c r="H352" s="18" t="s">
        <v>3613</v>
      </c>
      <c r="I352" s="26" t="s">
        <v>313</v>
      </c>
      <c r="J352" s="18" t="s">
        <v>105</v>
      </c>
      <c r="K352" s="4"/>
      <c r="L352" s="9">
        <v>2014</v>
      </c>
      <c r="N352" s="30" t="s">
        <v>243</v>
      </c>
      <c r="O352" s="13" t="s">
        <v>42</v>
      </c>
      <c r="P352" s="13">
        <f t="shared" si="12"/>
        <v>4</v>
      </c>
      <c r="Q352" s="15">
        <f t="shared" si="13"/>
        <v>10.25</v>
      </c>
      <c r="R352" s="13" t="s">
        <v>804</v>
      </c>
      <c r="S352" s="13"/>
      <c r="T352" s="13" t="s">
        <v>805</v>
      </c>
      <c r="U352" s="13" t="s">
        <v>806</v>
      </c>
      <c r="V352" s="13" t="s">
        <v>4078</v>
      </c>
      <c r="W352" s="13"/>
      <c r="X352" s="13" t="s">
        <v>4478</v>
      </c>
      <c r="Y352" s="13" t="s">
        <v>3980</v>
      </c>
      <c r="Z352" s="13" t="s">
        <v>3980</v>
      </c>
      <c r="AC352" s="18"/>
      <c r="AD352" s="18"/>
      <c r="AE352" s="13"/>
    </row>
    <row r="353" spans="1:31" x14ac:dyDescent="0.25">
      <c r="A353" s="18" t="s">
        <v>5143</v>
      </c>
      <c r="B353" s="30">
        <v>2000</v>
      </c>
      <c r="C353" s="13">
        <v>1406</v>
      </c>
      <c r="D353" s="14">
        <v>0.77100000000000002</v>
      </c>
      <c r="E353" s="14">
        <v>0.54400000000000004</v>
      </c>
      <c r="F353" s="13">
        <v>14</v>
      </c>
      <c r="G353" s="14">
        <v>0.67900000000000005</v>
      </c>
      <c r="H353" s="18" t="s">
        <v>3686</v>
      </c>
      <c r="I353" s="26" t="s">
        <v>313</v>
      </c>
      <c r="J353" s="18" t="s">
        <v>26</v>
      </c>
      <c r="L353" s="9">
        <v>2000</v>
      </c>
      <c r="N353" s="30" t="s">
        <v>259</v>
      </c>
      <c r="O353" s="13" t="s">
        <v>28</v>
      </c>
      <c r="P353" s="13">
        <f t="shared" si="12"/>
        <v>18</v>
      </c>
      <c r="Q353" s="15">
        <f t="shared" si="13"/>
        <v>78.111111111111114</v>
      </c>
      <c r="R353" s="13" t="s">
        <v>429</v>
      </c>
      <c r="S353" s="13" t="s">
        <v>206</v>
      </c>
      <c r="T353" s="13" t="s">
        <v>893</v>
      </c>
      <c r="U353" s="13" t="s">
        <v>1731</v>
      </c>
      <c r="V353" s="13" t="s">
        <v>4079</v>
      </c>
      <c r="W353" s="13"/>
      <c r="X353" s="13" t="s">
        <v>3980</v>
      </c>
      <c r="Y353" s="13" t="s">
        <v>3980</v>
      </c>
      <c r="Z353" s="13" t="s">
        <v>3980</v>
      </c>
      <c r="AC353" s="18"/>
      <c r="AD353" s="18"/>
      <c r="AE353" s="13"/>
    </row>
    <row r="354" spans="1:31" x14ac:dyDescent="0.25">
      <c r="A354" s="18" t="s">
        <v>2800</v>
      </c>
      <c r="B354" s="30">
        <v>1976</v>
      </c>
      <c r="C354" s="13">
        <v>4</v>
      </c>
      <c r="D354" s="14">
        <v>3.9E-2</v>
      </c>
      <c r="E354" s="14">
        <v>1.4999999999999999E-2</v>
      </c>
      <c r="F354" s="13">
        <v>1</v>
      </c>
      <c r="G354" s="14">
        <v>0</v>
      </c>
      <c r="I354" s="26" t="s">
        <v>313</v>
      </c>
      <c r="J354" s="18" t="s">
        <v>26</v>
      </c>
      <c r="K354" s="4"/>
      <c r="L354" s="9">
        <v>1976</v>
      </c>
      <c r="N354" s="30" t="s">
        <v>2801</v>
      </c>
      <c r="O354" s="13" t="s">
        <v>28</v>
      </c>
      <c r="P354" s="13">
        <f t="shared" si="12"/>
        <v>42</v>
      </c>
      <c r="Q354" s="15">
        <f t="shared" si="13"/>
        <v>9.5238095238095233E-2</v>
      </c>
      <c r="R354" s="13" t="s">
        <v>2802</v>
      </c>
      <c r="S354" s="13"/>
      <c r="T354" s="13" t="s">
        <v>2803</v>
      </c>
      <c r="U354" s="13" t="s">
        <v>2804</v>
      </c>
      <c r="V354" s="13" t="s">
        <v>3980</v>
      </c>
      <c r="W354" s="13"/>
      <c r="X354" s="13" t="s">
        <v>3980</v>
      </c>
      <c r="Y354" s="13" t="s">
        <v>3980</v>
      </c>
      <c r="Z354" s="13" t="s">
        <v>3980</v>
      </c>
      <c r="AC354" s="18"/>
      <c r="AD354" s="18"/>
      <c r="AE354" s="1"/>
    </row>
    <row r="355" spans="1:31" x14ac:dyDescent="0.25">
      <c r="A355" s="18" t="s">
        <v>2568</v>
      </c>
      <c r="B355" s="30">
        <v>1978</v>
      </c>
      <c r="C355" s="13">
        <v>2</v>
      </c>
      <c r="D355" s="14">
        <v>2.3E-2</v>
      </c>
      <c r="E355" s="14">
        <v>0.02</v>
      </c>
      <c r="F355" s="13">
        <v>1</v>
      </c>
      <c r="G355" s="14">
        <v>0</v>
      </c>
      <c r="I355" s="26" t="s">
        <v>313</v>
      </c>
      <c r="J355" s="18" t="s">
        <v>54</v>
      </c>
      <c r="K355" s="4"/>
      <c r="L355" s="9">
        <v>1978</v>
      </c>
      <c r="M355" s="11"/>
      <c r="N355" s="30" t="s">
        <v>157</v>
      </c>
      <c r="O355" s="13" t="s">
        <v>28</v>
      </c>
      <c r="P355" s="13">
        <f t="shared" si="12"/>
        <v>40</v>
      </c>
      <c r="Q355" s="15">
        <f t="shared" si="13"/>
        <v>0.05</v>
      </c>
      <c r="R355" s="13" t="s">
        <v>1205</v>
      </c>
      <c r="S355" s="13"/>
      <c r="T355" s="13" t="s">
        <v>2569</v>
      </c>
      <c r="U355" s="13" t="s">
        <v>2570</v>
      </c>
      <c r="V355" s="13" t="s">
        <v>3980</v>
      </c>
      <c r="W355" s="13"/>
      <c r="X355" s="13" t="s">
        <v>3980</v>
      </c>
      <c r="Y355" s="13" t="s">
        <v>3980</v>
      </c>
      <c r="Z355" s="13" t="s">
        <v>3980</v>
      </c>
      <c r="AC355" s="18"/>
      <c r="AD355" s="18"/>
      <c r="AE355" s="1"/>
    </row>
    <row r="356" spans="1:31" x14ac:dyDescent="0.25">
      <c r="A356" s="18" t="s">
        <v>697</v>
      </c>
      <c r="B356" s="30">
        <v>1998</v>
      </c>
      <c r="C356" s="13">
        <v>542</v>
      </c>
      <c r="D356" s="14">
        <v>0.57299999999999995</v>
      </c>
      <c r="E356" s="14">
        <v>0.64700000000000002</v>
      </c>
      <c r="F356" s="13">
        <v>11</v>
      </c>
      <c r="G356" s="14">
        <v>0.56000000000000005</v>
      </c>
      <c r="H356" s="18" t="s">
        <v>3316</v>
      </c>
      <c r="I356" s="26" t="s">
        <v>313</v>
      </c>
      <c r="J356" s="18" t="s">
        <v>54</v>
      </c>
      <c r="K356" s="4"/>
      <c r="L356" s="9">
        <v>1998</v>
      </c>
      <c r="N356" s="30" t="s">
        <v>259</v>
      </c>
      <c r="O356" s="13" t="s">
        <v>42</v>
      </c>
      <c r="P356" s="13">
        <f t="shared" si="12"/>
        <v>20</v>
      </c>
      <c r="Q356" s="15">
        <f t="shared" si="13"/>
        <v>27.1</v>
      </c>
      <c r="R356" s="13" t="s">
        <v>698</v>
      </c>
      <c r="S356" s="13"/>
      <c r="T356" s="13" t="s">
        <v>699</v>
      </c>
      <c r="U356" s="13" t="s">
        <v>700</v>
      </c>
      <c r="V356" s="13" t="s">
        <v>3980</v>
      </c>
      <c r="W356" s="13"/>
      <c r="X356" s="13" t="s">
        <v>4479</v>
      </c>
      <c r="Y356" s="13" t="s">
        <v>3980</v>
      </c>
      <c r="Z356" s="13" t="s">
        <v>3980</v>
      </c>
      <c r="AC356" s="18"/>
      <c r="AD356" s="18"/>
      <c r="AE356" s="18"/>
    </row>
    <row r="357" spans="1:31" x14ac:dyDescent="0.25">
      <c r="A357" s="18" t="s">
        <v>2866</v>
      </c>
      <c r="B357" s="30">
        <v>2012</v>
      </c>
      <c r="C357" s="8">
        <v>14</v>
      </c>
      <c r="D357" s="14">
        <v>8.2000000000000003E-2</v>
      </c>
      <c r="E357" s="14">
        <v>0.16400000000000001</v>
      </c>
      <c r="F357" s="8">
        <v>2</v>
      </c>
      <c r="G357" s="14">
        <v>7.0999999999999994E-2</v>
      </c>
      <c r="H357" s="18" t="s">
        <v>5099</v>
      </c>
      <c r="I357" s="26" t="s">
        <v>313</v>
      </c>
      <c r="J357" s="4" t="s">
        <v>105</v>
      </c>
      <c r="K357" s="4"/>
      <c r="L357" s="9">
        <v>2012</v>
      </c>
      <c r="N357" s="30" t="s">
        <v>34</v>
      </c>
      <c r="O357" s="13" t="s">
        <v>42</v>
      </c>
      <c r="P357" s="13">
        <f t="shared" si="12"/>
        <v>6</v>
      </c>
      <c r="Q357" s="15">
        <f t="shared" si="13"/>
        <v>2.3333333333333335</v>
      </c>
      <c r="R357" s="13" t="s">
        <v>2867</v>
      </c>
      <c r="S357" s="13"/>
      <c r="T357" s="13" t="s">
        <v>2868</v>
      </c>
      <c r="U357" s="13"/>
      <c r="V357" s="13" t="s">
        <v>3980</v>
      </c>
      <c r="W357" s="13"/>
      <c r="X357" s="13" t="s">
        <v>4480</v>
      </c>
      <c r="Y357" s="13" t="s">
        <v>3980</v>
      </c>
      <c r="Z357" s="13" t="s">
        <v>3980</v>
      </c>
      <c r="AC357" s="18"/>
      <c r="AD357" s="18"/>
      <c r="AE357" s="1"/>
    </row>
    <row r="358" spans="1:31" x14ac:dyDescent="0.25">
      <c r="A358" s="18" t="s">
        <v>312</v>
      </c>
      <c r="B358" s="30">
        <v>2011</v>
      </c>
      <c r="C358" s="13">
        <v>865</v>
      </c>
      <c r="D358" s="14">
        <v>0.67400000000000004</v>
      </c>
      <c r="E358" s="14">
        <v>0.76500000000000001</v>
      </c>
      <c r="F358" s="13">
        <v>14</v>
      </c>
      <c r="G358" s="14">
        <v>0.67900000000000005</v>
      </c>
      <c r="H358" s="18" t="s">
        <v>3220</v>
      </c>
      <c r="I358" s="26" t="s">
        <v>313</v>
      </c>
      <c r="J358" s="4" t="s">
        <v>54</v>
      </c>
      <c r="L358" s="9">
        <v>2011</v>
      </c>
      <c r="N358" s="30" t="s">
        <v>259</v>
      </c>
      <c r="O358" s="13" t="s">
        <v>28</v>
      </c>
      <c r="P358" s="13">
        <f t="shared" si="12"/>
        <v>7</v>
      </c>
      <c r="Q358" s="15">
        <f t="shared" si="13"/>
        <v>123.57142857142857</v>
      </c>
      <c r="R358" s="13" t="s">
        <v>314</v>
      </c>
      <c r="S358" s="13"/>
      <c r="T358" s="13" t="s">
        <v>315</v>
      </c>
      <c r="U358" s="13" t="s">
        <v>316</v>
      </c>
      <c r="V358" s="13" t="s">
        <v>4080</v>
      </c>
      <c r="W358" s="13"/>
      <c r="X358" s="13" t="s">
        <v>4481</v>
      </c>
      <c r="Y358" s="13" t="s">
        <v>3980</v>
      </c>
      <c r="Z358" s="13" t="s">
        <v>3980</v>
      </c>
      <c r="AC358" s="18"/>
      <c r="AD358" s="18"/>
      <c r="AE358" s="1"/>
    </row>
    <row r="359" spans="1:31" x14ac:dyDescent="0.25">
      <c r="A359" s="18" t="s">
        <v>2806</v>
      </c>
      <c r="B359" s="30">
        <v>1982</v>
      </c>
      <c r="C359" s="13">
        <v>90</v>
      </c>
      <c r="D359" s="14">
        <v>0.24199999999999999</v>
      </c>
      <c r="E359" s="14">
        <v>0.127</v>
      </c>
      <c r="F359" s="13">
        <v>6</v>
      </c>
      <c r="G359" s="14">
        <v>0.32200000000000001</v>
      </c>
      <c r="I359" s="26" t="s">
        <v>313</v>
      </c>
      <c r="J359" s="18" t="s">
        <v>26</v>
      </c>
      <c r="L359" s="9">
        <v>1982</v>
      </c>
      <c r="N359" s="30" t="s">
        <v>377</v>
      </c>
      <c r="O359" s="13" t="s">
        <v>28</v>
      </c>
      <c r="P359" s="13">
        <f t="shared" si="12"/>
        <v>36</v>
      </c>
      <c r="Q359" s="15">
        <f t="shared" si="13"/>
        <v>2.5</v>
      </c>
      <c r="R359" s="13" t="s">
        <v>2802</v>
      </c>
      <c r="S359" s="13"/>
      <c r="T359" s="13" t="s">
        <v>2807</v>
      </c>
      <c r="U359" s="13" t="s">
        <v>2808</v>
      </c>
      <c r="V359" s="13" t="s">
        <v>3980</v>
      </c>
      <c r="W359" s="13"/>
      <c r="X359" s="13" t="s">
        <v>3980</v>
      </c>
      <c r="Y359" s="13" t="s">
        <v>3980</v>
      </c>
      <c r="Z359" s="13" t="s">
        <v>3980</v>
      </c>
      <c r="AC359" s="18"/>
      <c r="AD359" s="18"/>
      <c r="AE359" s="1"/>
    </row>
    <row r="360" spans="1:31" x14ac:dyDescent="0.25">
      <c r="A360" s="18" t="s">
        <v>1330</v>
      </c>
      <c r="B360" s="30">
        <v>2000</v>
      </c>
      <c r="C360" s="13">
        <v>472</v>
      </c>
      <c r="D360" s="14">
        <v>0.54200000000000004</v>
      </c>
      <c r="E360" s="14">
        <v>0.59799999999999998</v>
      </c>
      <c r="F360" s="13">
        <v>10</v>
      </c>
      <c r="G360" s="14">
        <v>0.52200000000000002</v>
      </c>
      <c r="H360" s="18" t="s">
        <v>3493</v>
      </c>
      <c r="I360" s="26" t="s">
        <v>313</v>
      </c>
      <c r="J360" s="18" t="s">
        <v>54</v>
      </c>
      <c r="K360" s="4"/>
      <c r="L360" s="9">
        <v>2000</v>
      </c>
      <c r="M360" s="11"/>
      <c r="N360" s="30" t="s">
        <v>259</v>
      </c>
      <c r="O360" s="13" t="s">
        <v>42</v>
      </c>
      <c r="P360" s="13">
        <f t="shared" si="12"/>
        <v>18</v>
      </c>
      <c r="Q360" s="15">
        <f t="shared" si="13"/>
        <v>26.222222222222221</v>
      </c>
      <c r="R360" s="13" t="s">
        <v>1331</v>
      </c>
      <c r="S360" s="13"/>
      <c r="T360" s="13" t="s">
        <v>1332</v>
      </c>
      <c r="U360" s="13" t="s">
        <v>1333</v>
      </c>
      <c r="V360" s="13" t="s">
        <v>3980</v>
      </c>
      <c r="W360" s="13"/>
      <c r="X360" s="13" t="s">
        <v>4482</v>
      </c>
      <c r="Y360" s="13" t="s">
        <v>3980</v>
      </c>
      <c r="Z360" s="13" t="s">
        <v>3980</v>
      </c>
      <c r="AC360" s="18"/>
      <c r="AD360" s="18"/>
      <c r="AE360" s="13"/>
    </row>
    <row r="361" spans="1:31" x14ac:dyDescent="0.25">
      <c r="A361" s="18" t="s">
        <v>5023</v>
      </c>
      <c r="B361" s="30">
        <v>2012</v>
      </c>
      <c r="C361" s="13">
        <v>167</v>
      </c>
      <c r="D361" s="14">
        <v>0.35599999999999998</v>
      </c>
      <c r="E361" s="14">
        <v>0.65600000000000003</v>
      </c>
      <c r="F361" s="13">
        <v>6</v>
      </c>
      <c r="G361" s="14">
        <v>0.32200000000000001</v>
      </c>
      <c r="H361" s="18" t="s">
        <v>3376</v>
      </c>
      <c r="I361" s="26" t="s">
        <v>313</v>
      </c>
      <c r="J361" t="s">
        <v>105</v>
      </c>
      <c r="K361" s="4"/>
      <c r="L361" s="9">
        <f>B361</f>
        <v>2012</v>
      </c>
      <c r="N361" s="30" t="s">
        <v>220</v>
      </c>
      <c r="O361" s="13" t="s">
        <v>28</v>
      </c>
      <c r="P361" s="13">
        <f t="shared" si="12"/>
        <v>6</v>
      </c>
      <c r="Q361" s="15">
        <f t="shared" si="13"/>
        <v>27.833333333333332</v>
      </c>
      <c r="R361" s="13" t="s">
        <v>923</v>
      </c>
      <c r="S361" s="13"/>
      <c r="T361" s="13" t="s">
        <v>924</v>
      </c>
      <c r="U361" s="13"/>
      <c r="V361" s="13" t="s">
        <v>3980</v>
      </c>
      <c r="W361" s="13"/>
      <c r="X361" s="13" t="s">
        <v>3980</v>
      </c>
      <c r="Y361" s="13" t="s">
        <v>3980</v>
      </c>
      <c r="Z361" s="13" t="s">
        <v>3980</v>
      </c>
      <c r="AC361" s="18"/>
      <c r="AD361" s="18"/>
      <c r="AE361" s="13"/>
    </row>
    <row r="362" spans="1:31" x14ac:dyDescent="0.25">
      <c r="A362" s="18" t="s">
        <v>2914</v>
      </c>
      <c r="B362" s="30">
        <v>1992</v>
      </c>
      <c r="C362" s="8">
        <v>45</v>
      </c>
      <c r="D362" s="14">
        <v>0.16400000000000001</v>
      </c>
      <c r="E362" s="14">
        <v>0.128</v>
      </c>
      <c r="F362" s="8">
        <v>3</v>
      </c>
      <c r="G362" s="14">
        <v>0.13100000000000001</v>
      </c>
      <c r="I362" s="26" t="s">
        <v>313</v>
      </c>
      <c r="J362" s="18" t="s">
        <v>54</v>
      </c>
      <c r="L362" s="9">
        <f>B362</f>
        <v>1992</v>
      </c>
      <c r="N362" s="28" t="s">
        <v>1243</v>
      </c>
      <c r="O362" s="13" t="s">
        <v>28</v>
      </c>
      <c r="P362" s="13">
        <f t="shared" si="12"/>
        <v>26</v>
      </c>
      <c r="Q362" s="15">
        <f t="shared" si="13"/>
        <v>1.7307692307692308</v>
      </c>
      <c r="R362" s="18" t="s">
        <v>1048</v>
      </c>
      <c r="T362" s="18" t="s">
        <v>3817</v>
      </c>
      <c r="V362" s="18" t="s">
        <v>3980</v>
      </c>
      <c r="X362" s="18" t="s">
        <v>3980</v>
      </c>
      <c r="Y362" s="18" t="s">
        <v>3980</v>
      </c>
      <c r="Z362" s="18" t="s">
        <v>3980</v>
      </c>
      <c r="AC362" s="18"/>
      <c r="AD362" s="18"/>
      <c r="AE362" s="1"/>
    </row>
    <row r="363" spans="1:31" x14ac:dyDescent="0.25">
      <c r="A363" s="18" t="s">
        <v>5141</v>
      </c>
      <c r="B363" s="30">
        <v>2008</v>
      </c>
      <c r="C363" s="13">
        <v>18</v>
      </c>
      <c r="D363" s="14">
        <v>9.5000000000000001E-2</v>
      </c>
      <c r="E363" s="14">
        <v>8.7999999999999995E-2</v>
      </c>
      <c r="F363" s="13">
        <v>2</v>
      </c>
      <c r="G363" s="14">
        <v>7.0999999999999994E-2</v>
      </c>
      <c r="I363" s="26" t="s">
        <v>313</v>
      </c>
      <c r="J363" s="18" t="s">
        <v>54</v>
      </c>
      <c r="L363" s="9">
        <v>2008</v>
      </c>
      <c r="N363" s="30" t="s">
        <v>157</v>
      </c>
      <c r="O363" s="13" t="s">
        <v>42</v>
      </c>
      <c r="P363" s="13">
        <f t="shared" si="12"/>
        <v>10</v>
      </c>
      <c r="Q363" s="15">
        <f t="shared" si="13"/>
        <v>1.8</v>
      </c>
      <c r="R363" s="13" t="s">
        <v>3053</v>
      </c>
      <c r="S363" s="13" t="s">
        <v>1706</v>
      </c>
      <c r="T363" s="13" t="s">
        <v>3054</v>
      </c>
      <c r="U363" s="13" t="s">
        <v>3055</v>
      </c>
      <c r="V363" s="13" t="s">
        <v>3980</v>
      </c>
      <c r="W363" s="13"/>
      <c r="X363" s="13" t="s">
        <v>4483</v>
      </c>
      <c r="Y363" s="13" t="s">
        <v>3980</v>
      </c>
      <c r="Z363" s="13" t="s">
        <v>3980</v>
      </c>
      <c r="AC363" s="18"/>
      <c r="AD363" s="18"/>
      <c r="AE363" s="13"/>
    </row>
    <row r="364" spans="1:31" x14ac:dyDescent="0.25">
      <c r="A364" s="18" t="s">
        <v>4934</v>
      </c>
      <c r="B364" s="30">
        <v>2013</v>
      </c>
      <c r="C364" s="13">
        <v>1</v>
      </c>
      <c r="D364" s="14">
        <v>0</v>
      </c>
      <c r="E364" s="14">
        <v>0</v>
      </c>
      <c r="F364" s="13">
        <v>1</v>
      </c>
      <c r="G364" s="14">
        <v>0</v>
      </c>
      <c r="I364" s="26" t="s">
        <v>878</v>
      </c>
      <c r="J364" s="18" t="s">
        <v>105</v>
      </c>
      <c r="L364" s="9">
        <v>2013</v>
      </c>
      <c r="N364" s="30" t="s">
        <v>98</v>
      </c>
      <c r="O364" s="13" t="s">
        <v>28</v>
      </c>
      <c r="P364" s="13">
        <f t="shared" si="12"/>
        <v>5</v>
      </c>
      <c r="Q364" s="15">
        <f t="shared" si="13"/>
        <v>0.2</v>
      </c>
      <c r="R364" s="13" t="s">
        <v>2074</v>
      </c>
      <c r="S364" s="13" t="s">
        <v>2077</v>
      </c>
      <c r="T364" s="13" t="s">
        <v>2078</v>
      </c>
      <c r="U364" s="13" t="s">
        <v>2079</v>
      </c>
      <c r="V364" s="13" t="s">
        <v>3980</v>
      </c>
      <c r="W364" s="13"/>
      <c r="X364" s="13" t="s">
        <v>3980</v>
      </c>
      <c r="Y364" s="13" t="s">
        <v>3980</v>
      </c>
      <c r="Z364" s="13" t="s">
        <v>3980</v>
      </c>
      <c r="AC364" s="18"/>
      <c r="AD364" s="18"/>
      <c r="AE364" s="13"/>
    </row>
    <row r="365" spans="1:31" x14ac:dyDescent="0.25">
      <c r="A365" s="18" t="s">
        <v>2847</v>
      </c>
      <c r="B365" s="30">
        <v>2002</v>
      </c>
      <c r="C365" s="13">
        <v>199</v>
      </c>
      <c r="D365" s="14">
        <v>0.38</v>
      </c>
      <c r="E365" s="14">
        <v>0.375</v>
      </c>
      <c r="F365" s="13">
        <v>8</v>
      </c>
      <c r="G365" s="14">
        <v>0.434</v>
      </c>
      <c r="I365" s="26" t="s">
        <v>878</v>
      </c>
      <c r="J365" s="18" t="s">
        <v>54</v>
      </c>
      <c r="K365" s="4"/>
      <c r="L365" s="9">
        <v>2002</v>
      </c>
      <c r="N365" s="30" t="s">
        <v>219</v>
      </c>
      <c r="O365" s="13" t="s">
        <v>42</v>
      </c>
      <c r="P365" s="13">
        <f t="shared" si="12"/>
        <v>16</v>
      </c>
      <c r="Q365" s="15">
        <f t="shared" si="13"/>
        <v>12.4375</v>
      </c>
      <c r="R365" s="13" t="s">
        <v>1312</v>
      </c>
      <c r="S365" s="13"/>
      <c r="T365" s="13" t="s">
        <v>2848</v>
      </c>
      <c r="U365" s="13" t="s">
        <v>2849</v>
      </c>
      <c r="V365" s="13" t="s">
        <v>4081</v>
      </c>
      <c r="W365" s="13"/>
      <c r="X365" s="13" t="s">
        <v>4484</v>
      </c>
      <c r="Y365" s="13" t="s">
        <v>3980</v>
      </c>
      <c r="Z365" s="13" t="s">
        <v>3980</v>
      </c>
      <c r="AC365" s="18"/>
      <c r="AD365" s="18"/>
      <c r="AE365" s="16"/>
    </row>
    <row r="366" spans="1:31" x14ac:dyDescent="0.25">
      <c r="A366" s="18" t="s">
        <v>1018</v>
      </c>
      <c r="B366" s="30">
        <v>2010</v>
      </c>
      <c r="C366" s="13">
        <v>666</v>
      </c>
      <c r="D366" s="14">
        <v>0.624</v>
      </c>
      <c r="E366" s="14">
        <v>0.92600000000000005</v>
      </c>
      <c r="F366" s="13">
        <v>14</v>
      </c>
      <c r="G366" s="14">
        <v>0.67900000000000005</v>
      </c>
      <c r="H366" s="18" t="s">
        <v>3405</v>
      </c>
      <c r="I366" s="26" t="s">
        <v>878</v>
      </c>
      <c r="J366" s="18" t="s">
        <v>105</v>
      </c>
      <c r="K366" s="4"/>
      <c r="L366" s="9">
        <f>B366</f>
        <v>2010</v>
      </c>
      <c r="N366" s="30" t="s">
        <v>161</v>
      </c>
      <c r="O366" s="13" t="s">
        <v>28</v>
      </c>
      <c r="P366" s="13">
        <f t="shared" si="12"/>
        <v>8</v>
      </c>
      <c r="Q366" s="15">
        <f t="shared" si="13"/>
        <v>83.25</v>
      </c>
      <c r="R366" s="13" t="s">
        <v>1019</v>
      </c>
      <c r="S366" s="13"/>
      <c r="T366" s="13" t="s">
        <v>948</v>
      </c>
      <c r="U366" s="13"/>
      <c r="V366" s="13" t="s">
        <v>3980</v>
      </c>
      <c r="W366" s="13"/>
      <c r="X366" s="13" t="s">
        <v>3980</v>
      </c>
      <c r="Y366" s="13" t="s">
        <v>3980</v>
      </c>
      <c r="Z366" s="13" t="s">
        <v>3980</v>
      </c>
      <c r="AC366" s="18"/>
      <c r="AD366" s="18"/>
      <c r="AE366" s="18"/>
    </row>
    <row r="367" spans="1:31" x14ac:dyDescent="0.25">
      <c r="A367" s="18" t="s">
        <v>877</v>
      </c>
      <c r="B367" s="30">
        <v>2001</v>
      </c>
      <c r="C367" s="13">
        <v>1227</v>
      </c>
      <c r="D367" s="14">
        <v>0.74399999999999999</v>
      </c>
      <c r="E367" s="14">
        <v>0.85599999999999998</v>
      </c>
      <c r="F367" s="13">
        <v>21</v>
      </c>
      <c r="G367" s="14">
        <v>0.84199999999999997</v>
      </c>
      <c r="H367" s="18" t="s">
        <v>3363</v>
      </c>
      <c r="I367" s="26" t="s">
        <v>878</v>
      </c>
      <c r="J367" s="18" t="s">
        <v>54</v>
      </c>
      <c r="K367" s="4"/>
      <c r="L367" s="9">
        <f>B367</f>
        <v>2001</v>
      </c>
      <c r="M367" s="11"/>
      <c r="N367" s="28" t="s">
        <v>40</v>
      </c>
      <c r="O367" s="13" t="s">
        <v>28</v>
      </c>
      <c r="P367" s="13">
        <f t="shared" si="12"/>
        <v>17</v>
      </c>
      <c r="Q367" s="15">
        <f t="shared" si="13"/>
        <v>72.17647058823529</v>
      </c>
      <c r="R367" s="13" t="s">
        <v>433</v>
      </c>
      <c r="S367" s="13"/>
      <c r="T367" s="13" t="s">
        <v>879</v>
      </c>
      <c r="U367" s="13"/>
      <c r="V367" s="13" t="s">
        <v>3980</v>
      </c>
      <c r="W367" s="13"/>
      <c r="X367" s="13" t="s">
        <v>3980</v>
      </c>
      <c r="Y367" s="13" t="s">
        <v>3980</v>
      </c>
      <c r="Z367" s="13" t="s">
        <v>3980</v>
      </c>
      <c r="AC367" s="18"/>
      <c r="AD367" s="18"/>
      <c r="AE367" s="13"/>
    </row>
    <row r="368" spans="1:31" x14ac:dyDescent="0.25">
      <c r="A368" s="18" t="s">
        <v>1458</v>
      </c>
      <c r="B368" s="30">
        <v>2006</v>
      </c>
      <c r="C368" s="13">
        <v>1</v>
      </c>
      <c r="D368" s="14">
        <v>0</v>
      </c>
      <c r="E368" s="14">
        <v>0</v>
      </c>
      <c r="F368" s="13">
        <v>1</v>
      </c>
      <c r="G368" s="14">
        <v>0</v>
      </c>
      <c r="I368" s="26" t="s">
        <v>878</v>
      </c>
      <c r="J368" s="18" t="s">
        <v>105</v>
      </c>
      <c r="L368" s="9">
        <f>B368</f>
        <v>2006</v>
      </c>
      <c r="N368" s="30" t="s">
        <v>3106</v>
      </c>
      <c r="O368" s="13" t="s">
        <v>28</v>
      </c>
      <c r="P368" s="13">
        <f t="shared" si="12"/>
        <v>12</v>
      </c>
      <c r="Q368" s="15">
        <f t="shared" si="13"/>
        <v>8.3333333333333329E-2</v>
      </c>
      <c r="R368" s="13" t="s">
        <v>1459</v>
      </c>
      <c r="S368" s="13"/>
      <c r="T368" s="13" t="s">
        <v>1460</v>
      </c>
      <c r="U368" s="13"/>
      <c r="V368" s="13" t="s">
        <v>3980</v>
      </c>
      <c r="W368" s="13"/>
      <c r="X368" s="13" t="s">
        <v>3980</v>
      </c>
      <c r="Y368" s="13" t="s">
        <v>3980</v>
      </c>
      <c r="Z368" s="13" t="s">
        <v>3980</v>
      </c>
      <c r="AC368" s="18"/>
      <c r="AD368" s="18"/>
      <c r="AE368" s="13"/>
    </row>
    <row r="369" spans="1:31" x14ac:dyDescent="0.25">
      <c r="A369" s="18" t="s">
        <v>4844</v>
      </c>
      <c r="B369" s="30">
        <v>2002</v>
      </c>
      <c r="C369" s="13">
        <v>3063</v>
      </c>
      <c r="D369" s="14">
        <v>0.89500000000000002</v>
      </c>
      <c r="E369" s="14">
        <v>0.76500000000000001</v>
      </c>
      <c r="F369" s="13">
        <v>15</v>
      </c>
      <c r="G369" s="14">
        <v>0.71</v>
      </c>
      <c r="H369" s="18" t="s">
        <v>3297</v>
      </c>
      <c r="I369" s="26" t="s">
        <v>448</v>
      </c>
      <c r="J369" s="18" t="s">
        <v>26</v>
      </c>
      <c r="L369" s="9">
        <v>2002</v>
      </c>
      <c r="N369" s="30" t="s">
        <v>41</v>
      </c>
      <c r="O369" s="13" t="s">
        <v>42</v>
      </c>
      <c r="P369" s="13">
        <f t="shared" si="12"/>
        <v>16</v>
      </c>
      <c r="Q369" s="15">
        <f t="shared" si="13"/>
        <v>191.4375</v>
      </c>
      <c r="R369" s="13" t="s">
        <v>630</v>
      </c>
      <c r="S369" s="13" t="s">
        <v>631</v>
      </c>
      <c r="T369" s="13" t="s">
        <v>117</v>
      </c>
      <c r="U369" s="13" t="s">
        <v>632</v>
      </c>
      <c r="V369" s="13" t="s">
        <v>4082</v>
      </c>
      <c r="W369" s="13"/>
      <c r="X369" s="13" t="s">
        <v>4485</v>
      </c>
      <c r="Y369" s="13" t="s">
        <v>3980</v>
      </c>
      <c r="Z369" s="13" t="s">
        <v>3980</v>
      </c>
      <c r="AC369" s="18"/>
      <c r="AD369" s="18"/>
      <c r="AE369" s="13"/>
    </row>
    <row r="370" spans="1:31" x14ac:dyDescent="0.25">
      <c r="A370" s="18" t="s">
        <v>2862</v>
      </c>
      <c r="B370" s="30">
        <v>2016</v>
      </c>
      <c r="C370" s="13">
        <v>9</v>
      </c>
      <c r="D370" s="14">
        <v>6.3E-2</v>
      </c>
      <c r="E370" s="14">
        <v>0.126</v>
      </c>
      <c r="F370" s="13">
        <v>2</v>
      </c>
      <c r="G370" s="14">
        <v>7.0999999999999994E-2</v>
      </c>
      <c r="I370" s="26" t="s">
        <v>448</v>
      </c>
      <c r="J370" s="4" t="s">
        <v>105</v>
      </c>
      <c r="L370" s="9">
        <f>B370</f>
        <v>2016</v>
      </c>
      <c r="M370" s="11"/>
      <c r="N370" s="30" t="s">
        <v>146</v>
      </c>
      <c r="O370" s="13" t="s">
        <v>42</v>
      </c>
      <c r="P370" s="13">
        <f t="shared" si="12"/>
        <v>2</v>
      </c>
      <c r="Q370" s="15">
        <f t="shared" si="13"/>
        <v>4.5</v>
      </c>
      <c r="R370" s="13" t="s">
        <v>2863</v>
      </c>
      <c r="S370" s="13"/>
      <c r="T370" s="13" t="s">
        <v>1100</v>
      </c>
      <c r="U370" s="13"/>
      <c r="V370" s="13" t="s">
        <v>3980</v>
      </c>
      <c r="W370" s="13"/>
      <c r="X370" s="13" t="s">
        <v>3980</v>
      </c>
      <c r="Y370" s="13" t="s">
        <v>3980</v>
      </c>
      <c r="Z370" s="13" t="s">
        <v>3980</v>
      </c>
      <c r="AC370" s="18"/>
      <c r="AD370" s="18"/>
      <c r="AE370" s="13"/>
    </row>
    <row r="371" spans="1:31" x14ac:dyDescent="0.25">
      <c r="A371" s="18" t="s">
        <v>897</v>
      </c>
      <c r="B371" s="30">
        <v>2014</v>
      </c>
      <c r="C371" s="13">
        <v>169</v>
      </c>
      <c r="D371" s="14">
        <v>0.35799999999999998</v>
      </c>
      <c r="E371" s="14">
        <v>0.65900000000000003</v>
      </c>
      <c r="F371" s="13">
        <v>7</v>
      </c>
      <c r="G371" s="14">
        <v>0.39300000000000002</v>
      </c>
      <c r="H371" s="18" t="s">
        <v>3369</v>
      </c>
      <c r="I371" s="26" t="s">
        <v>448</v>
      </c>
      <c r="J371" s="4" t="s">
        <v>105</v>
      </c>
      <c r="L371" s="9">
        <f>B371</f>
        <v>2014</v>
      </c>
      <c r="N371" s="30" t="s">
        <v>35</v>
      </c>
      <c r="O371" s="13" t="s">
        <v>28</v>
      </c>
      <c r="P371" s="13">
        <f t="shared" si="12"/>
        <v>4</v>
      </c>
      <c r="Q371" s="15">
        <f t="shared" si="13"/>
        <v>42.25</v>
      </c>
      <c r="R371" s="13" t="s">
        <v>898</v>
      </c>
      <c r="S371" s="13"/>
      <c r="T371" s="13" t="s">
        <v>899</v>
      </c>
      <c r="U371" s="13"/>
      <c r="V371" s="13" t="s">
        <v>3980</v>
      </c>
      <c r="W371" s="13"/>
      <c r="X371" s="13" t="s">
        <v>3980</v>
      </c>
      <c r="Y371" s="13" t="s">
        <v>3980</v>
      </c>
      <c r="Z371" s="13" t="s">
        <v>3980</v>
      </c>
      <c r="AC371" s="18"/>
      <c r="AD371" s="18"/>
      <c r="AE371" s="1"/>
    </row>
    <row r="372" spans="1:31" x14ac:dyDescent="0.25">
      <c r="A372" s="18" t="s">
        <v>2881</v>
      </c>
      <c r="B372" s="30">
        <v>2003</v>
      </c>
      <c r="C372" s="13">
        <v>399</v>
      </c>
      <c r="D372" s="14">
        <v>0.505</v>
      </c>
      <c r="E372" s="14">
        <v>0.27100000000000002</v>
      </c>
      <c r="F372" s="13">
        <v>11</v>
      </c>
      <c r="G372" s="14">
        <v>0.56000000000000005</v>
      </c>
      <c r="I372" s="26" t="s">
        <v>448</v>
      </c>
      <c r="J372" s="18" t="s">
        <v>26</v>
      </c>
      <c r="K372" s="4"/>
      <c r="L372" s="9">
        <v>2003</v>
      </c>
      <c r="N372" s="30" t="s">
        <v>168</v>
      </c>
      <c r="O372" s="13" t="s">
        <v>28</v>
      </c>
      <c r="P372" s="13">
        <f t="shared" si="12"/>
        <v>15</v>
      </c>
      <c r="Q372" s="15">
        <f t="shared" si="13"/>
        <v>26.6</v>
      </c>
      <c r="R372" s="13" t="s">
        <v>2882</v>
      </c>
      <c r="S372" s="13"/>
      <c r="T372" s="13" t="s">
        <v>2883</v>
      </c>
      <c r="U372" s="13" t="s">
        <v>2884</v>
      </c>
      <c r="V372" s="13" t="s">
        <v>4083</v>
      </c>
      <c r="W372" s="13"/>
      <c r="X372" s="13" t="s">
        <v>4486</v>
      </c>
      <c r="Y372" s="13" t="s">
        <v>3980</v>
      </c>
      <c r="Z372" s="13" t="s">
        <v>3980</v>
      </c>
      <c r="AC372" s="18"/>
      <c r="AD372" s="18"/>
      <c r="AE372" s="13"/>
    </row>
    <row r="373" spans="1:31" x14ac:dyDescent="0.25">
      <c r="A373" s="18" t="s">
        <v>447</v>
      </c>
      <c r="B373" s="30">
        <v>2006</v>
      </c>
      <c r="C373" s="13">
        <v>954</v>
      </c>
      <c r="D373" s="14">
        <v>0.69299999999999995</v>
      </c>
      <c r="E373" s="14">
        <v>0.439</v>
      </c>
      <c r="F373" s="13">
        <v>14</v>
      </c>
      <c r="G373" s="14">
        <v>0.67900000000000005</v>
      </c>
      <c r="H373" s="18" t="s">
        <v>3251</v>
      </c>
      <c r="I373" s="26" t="s">
        <v>448</v>
      </c>
      <c r="J373" s="18" t="s">
        <v>26</v>
      </c>
      <c r="L373" s="9">
        <v>2006</v>
      </c>
      <c r="N373" s="30" t="s">
        <v>134</v>
      </c>
      <c r="O373" s="13" t="s">
        <v>42</v>
      </c>
      <c r="P373" s="13">
        <f t="shared" si="12"/>
        <v>12</v>
      </c>
      <c r="Q373" s="15">
        <f t="shared" si="13"/>
        <v>79.5</v>
      </c>
      <c r="R373" s="13" t="s">
        <v>449</v>
      </c>
      <c r="S373" s="13"/>
      <c r="T373" s="13" t="s">
        <v>450</v>
      </c>
      <c r="U373" s="13" t="s">
        <v>451</v>
      </c>
      <c r="V373" s="13" t="s">
        <v>4084</v>
      </c>
      <c r="W373" s="13"/>
      <c r="X373" s="13" t="s">
        <v>4487</v>
      </c>
      <c r="Y373" s="13" t="s">
        <v>3980</v>
      </c>
      <c r="Z373" s="13" t="s">
        <v>3980</v>
      </c>
      <c r="AC373" s="18"/>
      <c r="AD373" s="18"/>
      <c r="AE373" s="13"/>
    </row>
    <row r="374" spans="1:31" x14ac:dyDescent="0.25">
      <c r="A374" s="18" t="s">
        <v>4890</v>
      </c>
      <c r="B374" s="30">
        <v>1990</v>
      </c>
      <c r="C374" s="13">
        <v>21</v>
      </c>
      <c r="D374" s="14">
        <v>0.1</v>
      </c>
      <c r="E374" s="14">
        <v>4.2999999999999997E-2</v>
      </c>
      <c r="F374" s="13">
        <v>2</v>
      </c>
      <c r="G374" s="14">
        <v>7.0999999999999994E-2</v>
      </c>
      <c r="I374" s="26" t="s">
        <v>448</v>
      </c>
      <c r="J374" s="4" t="s">
        <v>26</v>
      </c>
      <c r="K374" s="4"/>
      <c r="L374" s="9">
        <v>1990</v>
      </c>
      <c r="N374" s="30" t="s">
        <v>186</v>
      </c>
      <c r="O374" s="13" t="s">
        <v>42</v>
      </c>
      <c r="P374" s="13">
        <f t="shared" si="12"/>
        <v>28</v>
      </c>
      <c r="Q374" s="15">
        <f t="shared" si="13"/>
        <v>0.75</v>
      </c>
      <c r="R374" s="13" t="s">
        <v>1846</v>
      </c>
      <c r="S374" s="13" t="s">
        <v>239</v>
      </c>
      <c r="T374" s="13" t="s">
        <v>1847</v>
      </c>
      <c r="U374" s="13" t="s">
        <v>1848</v>
      </c>
      <c r="V374" s="13" t="s">
        <v>3980</v>
      </c>
      <c r="W374" s="13"/>
      <c r="X374" s="13" t="s">
        <v>4488</v>
      </c>
      <c r="Y374" s="13" t="s">
        <v>3980</v>
      </c>
      <c r="Z374" s="13" t="s">
        <v>3980</v>
      </c>
      <c r="AC374" s="18"/>
      <c r="AD374" s="18"/>
      <c r="AE374" s="16"/>
    </row>
    <row r="375" spans="1:31" x14ac:dyDescent="0.25">
      <c r="A375" s="18" t="s">
        <v>1602</v>
      </c>
      <c r="B375" s="30">
        <v>1990</v>
      </c>
      <c r="C375" s="13">
        <v>115</v>
      </c>
      <c r="D375" s="14">
        <v>0.28599999999999998</v>
      </c>
      <c r="E375" s="14">
        <v>0.13800000000000001</v>
      </c>
      <c r="F375" s="13">
        <v>6</v>
      </c>
      <c r="G375" s="14">
        <v>0.32200000000000001</v>
      </c>
      <c r="I375" s="26" t="s">
        <v>471</v>
      </c>
      <c r="J375" s="4" t="s">
        <v>26</v>
      </c>
      <c r="K375" s="4"/>
      <c r="L375" s="9">
        <v>1990</v>
      </c>
      <c r="N375" s="30" t="s">
        <v>836</v>
      </c>
      <c r="O375" s="13" t="s">
        <v>28</v>
      </c>
      <c r="P375" s="13">
        <f t="shared" si="12"/>
        <v>28</v>
      </c>
      <c r="Q375" s="15">
        <f t="shared" si="13"/>
        <v>4.1071428571428568</v>
      </c>
      <c r="R375" s="13" t="s">
        <v>1603</v>
      </c>
      <c r="S375" s="13"/>
      <c r="T375" s="13" t="s">
        <v>1604</v>
      </c>
      <c r="U375" s="13" t="s">
        <v>1605</v>
      </c>
      <c r="V375" s="13" t="s">
        <v>3980</v>
      </c>
      <c r="W375" s="13"/>
      <c r="X375" s="13" t="s">
        <v>4489</v>
      </c>
      <c r="Y375" s="13" t="s">
        <v>3980</v>
      </c>
      <c r="Z375" s="13" t="s">
        <v>3980</v>
      </c>
      <c r="AC375" s="18"/>
      <c r="AD375" s="18"/>
      <c r="AE375" s="1"/>
    </row>
    <row r="376" spans="1:31" x14ac:dyDescent="0.25">
      <c r="A376" s="18" t="s">
        <v>470</v>
      </c>
      <c r="B376" s="30">
        <v>2006</v>
      </c>
      <c r="C376" s="13">
        <v>323</v>
      </c>
      <c r="D376" s="14">
        <v>0.46400000000000002</v>
      </c>
      <c r="E376" s="14">
        <v>0.47499999999999998</v>
      </c>
      <c r="F376" s="13">
        <v>9</v>
      </c>
      <c r="G376" s="14">
        <v>0.48799999999999999</v>
      </c>
      <c r="H376" s="18" t="s">
        <v>3257</v>
      </c>
      <c r="I376" s="26" t="s">
        <v>471</v>
      </c>
      <c r="J376" s="4" t="s">
        <v>54</v>
      </c>
      <c r="L376" s="9">
        <v>2006</v>
      </c>
      <c r="N376" s="30" t="s">
        <v>83</v>
      </c>
      <c r="O376" s="13" t="s">
        <v>28</v>
      </c>
      <c r="P376" s="13">
        <f t="shared" si="12"/>
        <v>12</v>
      </c>
      <c r="Q376" s="15">
        <f t="shared" si="13"/>
        <v>26.916666666666668</v>
      </c>
      <c r="R376" s="13" t="s">
        <v>472</v>
      </c>
      <c r="S376" s="13"/>
      <c r="T376" s="13" t="s">
        <v>473</v>
      </c>
      <c r="U376" s="13" t="s">
        <v>474</v>
      </c>
      <c r="V376" s="13" t="s">
        <v>4085</v>
      </c>
      <c r="W376" s="13"/>
      <c r="X376" s="13" t="s">
        <v>4490</v>
      </c>
      <c r="Y376" s="13" t="s">
        <v>3980</v>
      </c>
      <c r="Z376" s="13" t="s">
        <v>3980</v>
      </c>
      <c r="AC376" s="18"/>
      <c r="AD376" s="18"/>
      <c r="AE376" s="1"/>
    </row>
    <row r="377" spans="1:31" x14ac:dyDescent="0.25">
      <c r="A377" s="18" t="s">
        <v>1238</v>
      </c>
      <c r="B377" s="30">
        <v>2010</v>
      </c>
      <c r="C377" s="13">
        <v>1888</v>
      </c>
      <c r="D377" s="14">
        <v>0.81899999999999995</v>
      </c>
      <c r="E377" s="14">
        <v>0.92800000000000005</v>
      </c>
      <c r="F377" s="13">
        <v>22</v>
      </c>
      <c r="G377" s="14">
        <v>0.85699999999999998</v>
      </c>
      <c r="H377" s="18" t="s">
        <v>3469</v>
      </c>
      <c r="I377" s="26" t="s">
        <v>788</v>
      </c>
      <c r="J377" s="4" t="s">
        <v>54</v>
      </c>
      <c r="K377" s="4"/>
      <c r="L377" s="9">
        <f t="shared" ref="L377:L386" si="14">B377</f>
        <v>2010</v>
      </c>
      <c r="M377" s="11"/>
      <c r="N377" s="30" t="s">
        <v>3098</v>
      </c>
      <c r="O377" s="13" t="s">
        <v>28</v>
      </c>
      <c r="P377" s="13">
        <f t="shared" si="12"/>
        <v>8</v>
      </c>
      <c r="Q377" s="15">
        <f t="shared" si="13"/>
        <v>236</v>
      </c>
      <c r="R377" s="13" t="s">
        <v>1239</v>
      </c>
      <c r="S377" s="13"/>
      <c r="T377" s="13" t="s">
        <v>1240</v>
      </c>
      <c r="U377" s="13"/>
      <c r="V377" s="13" t="s">
        <v>3980</v>
      </c>
      <c r="W377" s="13"/>
      <c r="X377" s="13" t="s">
        <v>3980</v>
      </c>
      <c r="Y377" s="13" t="s">
        <v>3980</v>
      </c>
      <c r="Z377" s="13" t="s">
        <v>3980</v>
      </c>
      <c r="AC377" s="18"/>
      <c r="AD377" s="18"/>
      <c r="AE377" s="16"/>
    </row>
    <row r="378" spans="1:31" x14ac:dyDescent="0.25">
      <c r="A378" s="18" t="s">
        <v>2858</v>
      </c>
      <c r="B378" s="30">
        <v>2000</v>
      </c>
      <c r="C378" s="8">
        <v>2035</v>
      </c>
      <c r="D378" s="14">
        <v>0.83799999999999997</v>
      </c>
      <c r="E378" s="14">
        <v>0.65100000000000002</v>
      </c>
      <c r="F378" s="8">
        <v>18</v>
      </c>
      <c r="G378" s="14">
        <v>0.78700000000000003</v>
      </c>
      <c r="I378" s="26" t="s">
        <v>788</v>
      </c>
      <c r="J378" s="4" t="s">
        <v>26</v>
      </c>
      <c r="L378" s="9">
        <f t="shared" si="14"/>
        <v>2000</v>
      </c>
      <c r="N378" s="28" t="s">
        <v>277</v>
      </c>
      <c r="O378" s="13" t="s">
        <v>28</v>
      </c>
      <c r="P378" s="13">
        <f t="shared" si="12"/>
        <v>18</v>
      </c>
      <c r="Q378" s="15">
        <f t="shared" si="13"/>
        <v>113.05555555555556</v>
      </c>
      <c r="R378" s="18" t="s">
        <v>2860</v>
      </c>
      <c r="T378" s="18" t="s">
        <v>3864</v>
      </c>
      <c r="V378" s="18" t="s">
        <v>3980</v>
      </c>
      <c r="X378" s="18" t="s">
        <v>3980</v>
      </c>
      <c r="Y378" s="18" t="s">
        <v>3980</v>
      </c>
      <c r="Z378" s="18" t="s">
        <v>3980</v>
      </c>
      <c r="AC378" s="18"/>
      <c r="AD378" s="18"/>
      <c r="AE378" s="13"/>
    </row>
    <row r="379" spans="1:31" x14ac:dyDescent="0.25">
      <c r="A379" s="18" t="s">
        <v>2953</v>
      </c>
      <c r="B379" s="30">
        <v>1981</v>
      </c>
      <c r="C379" s="13">
        <v>1419</v>
      </c>
      <c r="D379" s="14">
        <v>0.77300000000000002</v>
      </c>
      <c r="E379" s="14">
        <v>0.55100000000000005</v>
      </c>
      <c r="F379" s="13">
        <v>20</v>
      </c>
      <c r="G379" s="14">
        <v>0.82599999999999996</v>
      </c>
      <c r="I379" s="26" t="s">
        <v>788</v>
      </c>
      <c r="J379" s="4" t="s">
        <v>26</v>
      </c>
      <c r="L379" s="9">
        <f t="shared" si="14"/>
        <v>1981</v>
      </c>
      <c r="N379" s="30" t="s">
        <v>277</v>
      </c>
      <c r="O379" s="13" t="s">
        <v>28</v>
      </c>
      <c r="P379" s="13">
        <f t="shared" si="12"/>
        <v>37</v>
      </c>
      <c r="Q379" s="15">
        <f t="shared" si="13"/>
        <v>38.351351351351354</v>
      </c>
      <c r="R379" s="13" t="s">
        <v>285</v>
      </c>
      <c r="S379" s="13"/>
      <c r="T379" s="13" t="s">
        <v>2954</v>
      </c>
      <c r="U379" s="13"/>
      <c r="V379" s="13" t="s">
        <v>3980</v>
      </c>
      <c r="W379" s="13"/>
      <c r="X379" s="13" t="s">
        <v>3980</v>
      </c>
      <c r="Y379" s="13" t="s">
        <v>3980</v>
      </c>
      <c r="Z379" s="13" t="s">
        <v>3980</v>
      </c>
      <c r="AC379" s="18"/>
      <c r="AD379" s="18"/>
      <c r="AE379" s="13"/>
    </row>
    <row r="380" spans="1:31" x14ac:dyDescent="0.25">
      <c r="A380" s="18" t="s">
        <v>2645</v>
      </c>
      <c r="B380" s="30">
        <v>2004</v>
      </c>
      <c r="C380" s="8">
        <v>555</v>
      </c>
      <c r="D380" s="14">
        <v>0.58199999999999996</v>
      </c>
      <c r="E380" s="14">
        <v>0.89100000000000001</v>
      </c>
      <c r="F380" s="8">
        <v>12</v>
      </c>
      <c r="G380" s="14">
        <v>0.60899999999999999</v>
      </c>
      <c r="I380" s="26" t="s">
        <v>788</v>
      </c>
      <c r="J380" s="4" t="s">
        <v>105</v>
      </c>
      <c r="L380" s="9">
        <f t="shared" si="14"/>
        <v>2004</v>
      </c>
      <c r="N380" s="28" t="s">
        <v>277</v>
      </c>
      <c r="O380" s="13" t="s">
        <v>28</v>
      </c>
      <c r="P380" s="13">
        <f t="shared" si="12"/>
        <v>14</v>
      </c>
      <c r="Q380" s="15">
        <f t="shared" si="13"/>
        <v>39.642857142857146</v>
      </c>
      <c r="R380" s="18" t="s">
        <v>3768</v>
      </c>
      <c r="T380" s="18" t="s">
        <v>3769</v>
      </c>
      <c r="V380" s="18" t="s">
        <v>3980</v>
      </c>
      <c r="X380" s="18" t="s">
        <v>3980</v>
      </c>
      <c r="Y380" s="18" t="s">
        <v>3980</v>
      </c>
      <c r="Z380" s="18" t="s">
        <v>3980</v>
      </c>
      <c r="AC380" s="18"/>
      <c r="AD380" s="18"/>
      <c r="AE380" s="13"/>
    </row>
    <row r="381" spans="1:31" x14ac:dyDescent="0.25">
      <c r="A381" s="18" t="s">
        <v>2471</v>
      </c>
      <c r="B381" s="30">
        <v>1987</v>
      </c>
      <c r="C381" s="8">
        <v>3742</v>
      </c>
      <c r="D381" s="14">
        <v>0.92200000000000004</v>
      </c>
      <c r="E381" s="14">
        <v>0.82</v>
      </c>
      <c r="F381" s="8">
        <v>30</v>
      </c>
      <c r="G381" s="14">
        <v>0.93200000000000005</v>
      </c>
      <c r="I381" s="26" t="s">
        <v>788</v>
      </c>
      <c r="J381" s="4" t="s">
        <v>26</v>
      </c>
      <c r="L381" s="9">
        <f t="shared" si="14"/>
        <v>1987</v>
      </c>
      <c r="N381" s="28" t="s">
        <v>3142</v>
      </c>
      <c r="O381" s="13" t="s">
        <v>28</v>
      </c>
      <c r="P381" s="13">
        <f t="shared" si="12"/>
        <v>31</v>
      </c>
      <c r="Q381" s="15">
        <f t="shared" si="13"/>
        <v>120.70967741935483</v>
      </c>
      <c r="R381" s="18" t="s">
        <v>746</v>
      </c>
      <c r="T381" s="18" t="s">
        <v>3856</v>
      </c>
      <c r="V381" s="18" t="s">
        <v>3980</v>
      </c>
      <c r="X381" s="18" t="s">
        <v>3980</v>
      </c>
      <c r="Y381" s="18" t="s">
        <v>3980</v>
      </c>
      <c r="Z381" s="18" t="s">
        <v>3980</v>
      </c>
      <c r="AC381" s="18"/>
      <c r="AD381" s="18"/>
      <c r="AE381" s="1"/>
    </row>
    <row r="382" spans="1:31" x14ac:dyDescent="0.25">
      <c r="A382" s="18" t="s">
        <v>1894</v>
      </c>
      <c r="B382" s="30">
        <v>1999</v>
      </c>
      <c r="C382" s="8">
        <v>5964</v>
      </c>
      <c r="D382" s="14">
        <v>0.96</v>
      </c>
      <c r="E382" s="14">
        <v>0.99399999999999999</v>
      </c>
      <c r="F382" s="8">
        <v>15</v>
      </c>
      <c r="G382" s="14">
        <v>0.71</v>
      </c>
      <c r="I382" s="26" t="s">
        <v>788</v>
      </c>
      <c r="J382" s="4" t="s">
        <v>54</v>
      </c>
      <c r="L382" s="9">
        <f t="shared" si="14"/>
        <v>1999</v>
      </c>
      <c r="N382" s="28" t="s">
        <v>3121</v>
      </c>
      <c r="O382" s="13" t="s">
        <v>28</v>
      </c>
      <c r="P382" s="13">
        <f t="shared" si="12"/>
        <v>19</v>
      </c>
      <c r="Q382" s="15">
        <f t="shared" si="13"/>
        <v>313.89473684210526</v>
      </c>
      <c r="R382" s="18" t="s">
        <v>2528</v>
      </c>
      <c r="T382" s="18" t="s">
        <v>3794</v>
      </c>
      <c r="V382" s="18" t="s">
        <v>3980</v>
      </c>
      <c r="X382" s="18" t="s">
        <v>3980</v>
      </c>
      <c r="Y382" s="18" t="s">
        <v>3980</v>
      </c>
      <c r="Z382" s="18" t="s">
        <v>3980</v>
      </c>
      <c r="AC382" s="18"/>
      <c r="AD382" s="18"/>
      <c r="AE382" s="13"/>
    </row>
    <row r="383" spans="1:31" x14ac:dyDescent="0.25">
      <c r="A383" s="18" t="s">
        <v>2262</v>
      </c>
      <c r="B383" s="30">
        <v>1998</v>
      </c>
      <c r="C383" s="8">
        <v>7530</v>
      </c>
      <c r="D383" s="14">
        <v>0.97199999999999998</v>
      </c>
      <c r="E383" s="14">
        <v>0.93100000000000005</v>
      </c>
      <c r="F383" s="8">
        <v>29</v>
      </c>
      <c r="G383" s="14">
        <v>0.92400000000000004</v>
      </c>
      <c r="H383" s="18" t="s">
        <v>3608</v>
      </c>
      <c r="I383" s="26" t="s">
        <v>788</v>
      </c>
      <c r="J383" s="4" t="s">
        <v>26</v>
      </c>
      <c r="L383" s="9">
        <f t="shared" si="14"/>
        <v>1998</v>
      </c>
      <c r="N383" s="28" t="s">
        <v>72</v>
      </c>
      <c r="O383" s="13" t="s">
        <v>42</v>
      </c>
      <c r="P383" s="13">
        <f t="shared" si="12"/>
        <v>20</v>
      </c>
      <c r="Q383" s="15">
        <f t="shared" si="13"/>
        <v>376.5</v>
      </c>
      <c r="R383" s="18" t="s">
        <v>582</v>
      </c>
      <c r="T383" s="18" t="s">
        <v>3833</v>
      </c>
      <c r="V383" s="18" t="s">
        <v>3980</v>
      </c>
      <c r="X383" s="18" t="s">
        <v>3980</v>
      </c>
      <c r="Y383" s="18" t="s">
        <v>3980</v>
      </c>
      <c r="Z383" s="18" t="s">
        <v>3980</v>
      </c>
      <c r="AC383" s="18"/>
      <c r="AD383" s="18"/>
      <c r="AE383" s="13"/>
    </row>
    <row r="384" spans="1:31" x14ac:dyDescent="0.25">
      <c r="A384" s="18" t="s">
        <v>2291</v>
      </c>
      <c r="B384" s="30">
        <v>1989</v>
      </c>
      <c r="C384" s="8">
        <v>1445</v>
      </c>
      <c r="D384" s="14">
        <v>0.77600000000000002</v>
      </c>
      <c r="E384" s="14">
        <v>0.55500000000000005</v>
      </c>
      <c r="F384" s="8">
        <v>21</v>
      </c>
      <c r="G384" s="14">
        <v>0.84199999999999997</v>
      </c>
      <c r="I384" s="26" t="s">
        <v>788</v>
      </c>
      <c r="J384" s="4" t="s">
        <v>26</v>
      </c>
      <c r="L384" s="9">
        <f t="shared" si="14"/>
        <v>1989</v>
      </c>
      <c r="N384" s="28" t="s">
        <v>277</v>
      </c>
      <c r="O384" s="13" t="s">
        <v>28</v>
      </c>
      <c r="P384" s="13">
        <f t="shared" si="12"/>
        <v>29</v>
      </c>
      <c r="Q384" s="15">
        <f t="shared" si="13"/>
        <v>49.827586206896555</v>
      </c>
      <c r="R384" s="18" t="s">
        <v>3851</v>
      </c>
      <c r="T384" s="18" t="s">
        <v>3852</v>
      </c>
      <c r="V384" s="18" t="s">
        <v>3980</v>
      </c>
      <c r="X384" s="18" t="s">
        <v>3980</v>
      </c>
      <c r="Y384" s="18" t="s">
        <v>3980</v>
      </c>
      <c r="Z384" s="18" t="s">
        <v>3980</v>
      </c>
      <c r="AC384" s="18"/>
      <c r="AD384" s="18"/>
      <c r="AE384" s="1"/>
    </row>
    <row r="385" spans="1:31" x14ac:dyDescent="0.25">
      <c r="A385" s="18" t="s">
        <v>2859</v>
      </c>
      <c r="B385" s="30">
        <v>2003</v>
      </c>
      <c r="C385" s="13">
        <v>1097</v>
      </c>
      <c r="D385" s="14">
        <v>0.72099999999999997</v>
      </c>
      <c r="E385" s="14">
        <v>0.47299999999999998</v>
      </c>
      <c r="F385" s="13">
        <v>18</v>
      </c>
      <c r="G385" s="14">
        <v>0.78700000000000003</v>
      </c>
      <c r="I385" s="26" t="s">
        <v>788</v>
      </c>
      <c r="J385" s="18" t="s">
        <v>26</v>
      </c>
      <c r="L385" s="9">
        <f t="shared" si="14"/>
        <v>2003</v>
      </c>
      <c r="N385" s="30" t="s">
        <v>788</v>
      </c>
      <c r="O385" s="13" t="s">
        <v>28</v>
      </c>
      <c r="P385" s="13">
        <f t="shared" si="12"/>
        <v>15</v>
      </c>
      <c r="Q385" s="15">
        <f t="shared" si="13"/>
        <v>73.13333333333334</v>
      </c>
      <c r="R385" s="13" t="s">
        <v>2860</v>
      </c>
      <c r="S385" s="13"/>
      <c r="T385" s="13" t="s">
        <v>2861</v>
      </c>
      <c r="U385" s="13"/>
      <c r="V385" s="13" t="s">
        <v>3980</v>
      </c>
      <c r="W385" s="13"/>
      <c r="X385" s="13" t="s">
        <v>3980</v>
      </c>
      <c r="Y385" s="13" t="s">
        <v>3980</v>
      </c>
      <c r="Z385" s="13" t="s">
        <v>3980</v>
      </c>
      <c r="AC385" s="18"/>
      <c r="AD385" s="18"/>
      <c r="AE385" s="13"/>
    </row>
    <row r="386" spans="1:31" x14ac:dyDescent="0.25">
      <c r="A386" s="18" t="s">
        <v>1144</v>
      </c>
      <c r="B386" s="30">
        <v>2006</v>
      </c>
      <c r="C386" s="13">
        <v>3627</v>
      </c>
      <c r="D386" s="14">
        <v>0.91900000000000004</v>
      </c>
      <c r="E386" s="14">
        <v>0.98499999999999999</v>
      </c>
      <c r="F386" s="13">
        <v>28</v>
      </c>
      <c r="G386" s="14">
        <v>0.91800000000000004</v>
      </c>
      <c r="H386" s="18" t="s">
        <v>3441</v>
      </c>
      <c r="I386" s="26" t="s">
        <v>788</v>
      </c>
      <c r="J386" s="4" t="s">
        <v>54</v>
      </c>
      <c r="K386" s="4"/>
      <c r="L386" s="9">
        <f t="shared" si="14"/>
        <v>2006</v>
      </c>
      <c r="N386" s="30" t="s">
        <v>168</v>
      </c>
      <c r="O386" s="13" t="s">
        <v>28</v>
      </c>
      <c r="P386" s="13">
        <f t="shared" ref="P386:P449" si="15">2018-L386</f>
        <v>12</v>
      </c>
      <c r="Q386" s="15">
        <f t="shared" ref="Q386:Q449" si="16">C386/P386</f>
        <v>302.25</v>
      </c>
      <c r="R386" s="13" t="s">
        <v>1145</v>
      </c>
      <c r="S386" s="13"/>
      <c r="T386" s="13" t="s">
        <v>1146</v>
      </c>
      <c r="U386" s="13"/>
      <c r="V386" s="13" t="s">
        <v>3980</v>
      </c>
      <c r="W386" s="13"/>
      <c r="X386" s="13" t="s">
        <v>3980</v>
      </c>
      <c r="Y386" s="13" t="s">
        <v>3980</v>
      </c>
      <c r="Z386" s="13" t="s">
        <v>3980</v>
      </c>
      <c r="AC386" s="18"/>
      <c r="AD386" s="18"/>
      <c r="AE386" s="13"/>
    </row>
    <row r="387" spans="1:31" x14ac:dyDescent="0.25">
      <c r="A387" s="18" t="s">
        <v>787</v>
      </c>
      <c r="B387" s="30">
        <v>1983</v>
      </c>
      <c r="C387" s="13">
        <v>4960</v>
      </c>
      <c r="D387" s="14">
        <v>0.94499999999999995</v>
      </c>
      <c r="E387" s="14">
        <v>0.874</v>
      </c>
      <c r="F387" s="13">
        <v>26</v>
      </c>
      <c r="G387" s="14">
        <v>0.90200000000000002</v>
      </c>
      <c r="H387" s="18" t="s">
        <v>3337</v>
      </c>
      <c r="I387" s="26" t="s">
        <v>788</v>
      </c>
      <c r="J387" s="4" t="s">
        <v>26</v>
      </c>
      <c r="K387" s="4"/>
      <c r="L387" s="9">
        <v>1983</v>
      </c>
      <c r="M387" s="11"/>
      <c r="N387" s="30" t="s">
        <v>3079</v>
      </c>
      <c r="O387" s="13" t="s">
        <v>42</v>
      </c>
      <c r="P387" s="13">
        <f t="shared" si="15"/>
        <v>35</v>
      </c>
      <c r="Q387" s="15">
        <f t="shared" si="16"/>
        <v>141.71428571428572</v>
      </c>
      <c r="R387" s="13" t="s">
        <v>327</v>
      </c>
      <c r="S387" s="13"/>
      <c r="T387" s="13" t="s">
        <v>789</v>
      </c>
      <c r="U387" s="13"/>
      <c r="V387" s="13" t="s">
        <v>3980</v>
      </c>
      <c r="W387" s="13"/>
      <c r="X387" s="13" t="s">
        <v>3980</v>
      </c>
      <c r="Y387" s="13" t="s">
        <v>3980</v>
      </c>
      <c r="Z387" s="13" t="s">
        <v>3980</v>
      </c>
      <c r="AC387" s="18"/>
      <c r="AD387" s="18"/>
      <c r="AE387" s="13"/>
    </row>
    <row r="388" spans="1:31" x14ac:dyDescent="0.25">
      <c r="A388" s="18" t="s">
        <v>1097</v>
      </c>
      <c r="B388" s="30">
        <v>1992</v>
      </c>
      <c r="C388" s="13">
        <v>2754</v>
      </c>
      <c r="D388" s="14">
        <v>0.88100000000000001</v>
      </c>
      <c r="E388" s="14">
        <v>0.73799999999999999</v>
      </c>
      <c r="F388" s="13">
        <v>19</v>
      </c>
      <c r="G388" s="14">
        <v>0.81299999999999994</v>
      </c>
      <c r="H388" s="18" t="s">
        <v>3427</v>
      </c>
      <c r="I388" s="26" t="s">
        <v>788</v>
      </c>
      <c r="J388" s="4" t="s">
        <v>26</v>
      </c>
      <c r="L388" s="9">
        <f>B388</f>
        <v>1992</v>
      </c>
      <c r="N388" s="30" t="s">
        <v>277</v>
      </c>
      <c r="O388" s="13" t="s">
        <v>28</v>
      </c>
      <c r="P388" s="13">
        <f t="shared" si="15"/>
        <v>26</v>
      </c>
      <c r="Q388" s="15">
        <f t="shared" si="16"/>
        <v>105.92307692307692</v>
      </c>
      <c r="R388" s="13" t="s">
        <v>746</v>
      </c>
      <c r="S388" s="13"/>
      <c r="T388" s="13" t="s">
        <v>1098</v>
      </c>
      <c r="U388" s="13"/>
      <c r="V388" s="13" t="s">
        <v>3980</v>
      </c>
      <c r="W388" s="13"/>
      <c r="X388" s="13" t="s">
        <v>3980</v>
      </c>
      <c r="Y388" s="13" t="s">
        <v>3980</v>
      </c>
      <c r="Z388" s="13" t="s">
        <v>3980</v>
      </c>
      <c r="AC388" s="18"/>
      <c r="AD388" s="18"/>
      <c r="AE388" s="13"/>
    </row>
    <row r="389" spans="1:31" x14ac:dyDescent="0.25">
      <c r="A389" s="18" t="s">
        <v>2585</v>
      </c>
      <c r="B389" s="30">
        <v>1998</v>
      </c>
      <c r="C389" s="13">
        <v>717</v>
      </c>
      <c r="D389" s="14">
        <v>0.63200000000000001</v>
      </c>
      <c r="E389" s="14">
        <v>0.72399999999999998</v>
      </c>
      <c r="F389" s="13">
        <v>14</v>
      </c>
      <c r="G389" s="14">
        <v>0.67900000000000005</v>
      </c>
      <c r="I389" s="26" t="s">
        <v>788</v>
      </c>
      <c r="J389" s="4" t="s">
        <v>54</v>
      </c>
      <c r="L389" s="9">
        <f>B389</f>
        <v>1998</v>
      </c>
      <c r="M389" s="11"/>
      <c r="N389" s="30" t="s">
        <v>1215</v>
      </c>
      <c r="O389" s="13" t="s">
        <v>28</v>
      </c>
      <c r="P389" s="13">
        <f t="shared" si="15"/>
        <v>20</v>
      </c>
      <c r="Q389" s="15">
        <f t="shared" si="16"/>
        <v>35.85</v>
      </c>
      <c r="R389" s="13" t="s">
        <v>2486</v>
      </c>
      <c r="S389" s="13"/>
      <c r="T389" s="13" t="s">
        <v>2586</v>
      </c>
      <c r="U389" s="13"/>
      <c r="V389" s="13" t="s">
        <v>3980</v>
      </c>
      <c r="W389" s="13"/>
      <c r="X389" s="13" t="s">
        <v>3980</v>
      </c>
      <c r="Y389" s="13" t="s">
        <v>3980</v>
      </c>
      <c r="Z389" s="13" t="s">
        <v>3980</v>
      </c>
      <c r="AC389" s="18"/>
      <c r="AD389" s="18"/>
      <c r="AE389" s="1"/>
    </row>
    <row r="390" spans="1:31" x14ac:dyDescent="0.25">
      <c r="A390" s="18" t="s">
        <v>4840</v>
      </c>
      <c r="B390" s="30">
        <v>2006</v>
      </c>
      <c r="C390" s="13">
        <v>1476</v>
      </c>
      <c r="D390" s="14">
        <v>0.78</v>
      </c>
      <c r="E390" s="14">
        <v>0.88800000000000001</v>
      </c>
      <c r="F390" s="13">
        <v>20</v>
      </c>
      <c r="G390" s="14">
        <v>0.82599999999999996</v>
      </c>
      <c r="H390" s="18" t="s">
        <v>3639</v>
      </c>
      <c r="I390" s="26" t="s">
        <v>788</v>
      </c>
      <c r="J390" s="4" t="s">
        <v>54</v>
      </c>
      <c r="L390" s="9">
        <f>B390</f>
        <v>2006</v>
      </c>
      <c r="N390" s="30" t="s">
        <v>168</v>
      </c>
      <c r="O390" s="13" t="s">
        <v>42</v>
      </c>
      <c r="P390" s="13">
        <f t="shared" si="15"/>
        <v>12</v>
      </c>
      <c r="Q390" s="15">
        <f t="shared" si="16"/>
        <v>123</v>
      </c>
      <c r="R390" s="13" t="s">
        <v>497</v>
      </c>
      <c r="S390" s="13" t="s">
        <v>541</v>
      </c>
      <c r="T390" s="13" t="s">
        <v>1545</v>
      </c>
      <c r="U390" s="13"/>
      <c r="V390" s="13" t="s">
        <v>3980</v>
      </c>
      <c r="W390" s="13"/>
      <c r="X390" s="13" t="s">
        <v>3980</v>
      </c>
      <c r="Y390" s="13" t="s">
        <v>3980</v>
      </c>
      <c r="Z390" s="13" t="s">
        <v>3980</v>
      </c>
      <c r="AC390" s="18"/>
      <c r="AD390" s="18"/>
      <c r="AE390" s="1"/>
    </row>
    <row r="391" spans="1:31" x14ac:dyDescent="0.25">
      <c r="A391" s="18" t="s">
        <v>2205</v>
      </c>
      <c r="B391" s="30">
        <v>1996</v>
      </c>
      <c r="C391" s="8">
        <v>1389</v>
      </c>
      <c r="D391" s="14">
        <v>0.76700000000000002</v>
      </c>
      <c r="E391" s="14">
        <v>0.53700000000000003</v>
      </c>
      <c r="F391" s="8">
        <v>13</v>
      </c>
      <c r="G391" s="14">
        <v>0.64500000000000002</v>
      </c>
      <c r="I391" s="26" t="s">
        <v>788</v>
      </c>
      <c r="J391" s="4" t="s">
        <v>26</v>
      </c>
      <c r="L391" s="9">
        <f>B391</f>
        <v>1996</v>
      </c>
      <c r="N391" s="28" t="s">
        <v>3129</v>
      </c>
      <c r="O391" s="13" t="s">
        <v>28</v>
      </c>
      <c r="P391" s="13">
        <f t="shared" si="15"/>
        <v>22</v>
      </c>
      <c r="Q391" s="15">
        <f t="shared" si="16"/>
        <v>63.136363636363633</v>
      </c>
      <c r="R391" s="18" t="s">
        <v>808</v>
      </c>
      <c r="T391" s="18" t="s">
        <v>419</v>
      </c>
      <c r="V391" s="18" t="s">
        <v>3980</v>
      </c>
      <c r="X391" s="18" t="s">
        <v>3980</v>
      </c>
      <c r="Y391" s="18" t="s">
        <v>3980</v>
      </c>
      <c r="Z391" s="18" t="s">
        <v>3980</v>
      </c>
      <c r="AC391" s="18"/>
      <c r="AD391" s="18"/>
      <c r="AE391" s="13"/>
    </row>
    <row r="392" spans="1:31" x14ac:dyDescent="0.25">
      <c r="A392" s="18" t="s">
        <v>1684</v>
      </c>
      <c r="B392" s="30">
        <v>2004</v>
      </c>
      <c r="C392" s="13">
        <v>973</v>
      </c>
      <c r="D392" s="14">
        <v>0.69299999999999995</v>
      </c>
      <c r="E392" s="14">
        <v>0.96799999999999997</v>
      </c>
      <c r="F392" s="13">
        <v>12</v>
      </c>
      <c r="G392" s="14">
        <v>0.60899999999999999</v>
      </c>
      <c r="I392" s="26" t="s">
        <v>867</v>
      </c>
      <c r="J392" s="4" t="s">
        <v>105</v>
      </c>
      <c r="K392" s="4"/>
      <c r="L392" s="9">
        <v>2004</v>
      </c>
      <c r="N392" s="30" t="s">
        <v>565</v>
      </c>
      <c r="O392" s="13" t="s">
        <v>28</v>
      </c>
      <c r="P392" s="13">
        <f t="shared" si="15"/>
        <v>14</v>
      </c>
      <c r="Q392" s="15">
        <f t="shared" si="16"/>
        <v>69.5</v>
      </c>
      <c r="R392" s="13" t="s">
        <v>1685</v>
      </c>
      <c r="S392" s="13"/>
      <c r="T392" s="13" t="s">
        <v>1686</v>
      </c>
      <c r="U392" s="13" t="s">
        <v>1687</v>
      </c>
      <c r="V392" s="13" t="s">
        <v>3980</v>
      </c>
      <c r="W392" s="13"/>
      <c r="X392" s="13" t="s">
        <v>3980</v>
      </c>
      <c r="Y392" s="13" t="s">
        <v>3980</v>
      </c>
      <c r="Z392" s="13" t="s">
        <v>3980</v>
      </c>
      <c r="AC392" s="18"/>
      <c r="AD392" s="18"/>
      <c r="AE392" s="1"/>
    </row>
    <row r="393" spans="1:31" x14ac:dyDescent="0.25">
      <c r="A393" s="18" t="s">
        <v>2718</v>
      </c>
      <c r="B393" s="30">
        <v>1975</v>
      </c>
      <c r="C393" s="13">
        <v>2851</v>
      </c>
      <c r="D393" s="14">
        <v>0.88400000000000001</v>
      </c>
      <c r="E393" s="14">
        <v>0.74199999999999999</v>
      </c>
      <c r="F393" s="13">
        <v>21</v>
      </c>
      <c r="G393" s="14">
        <v>0.84199999999999997</v>
      </c>
      <c r="I393" s="26" t="s">
        <v>867</v>
      </c>
      <c r="J393" s="18" t="s">
        <v>26</v>
      </c>
      <c r="K393" s="4"/>
      <c r="L393" s="9">
        <v>1975</v>
      </c>
      <c r="N393" s="30" t="s">
        <v>1910</v>
      </c>
      <c r="O393" s="13" t="s">
        <v>28</v>
      </c>
      <c r="P393" s="13">
        <f t="shared" si="15"/>
        <v>43</v>
      </c>
      <c r="Q393" s="15">
        <f t="shared" si="16"/>
        <v>66.302325581395351</v>
      </c>
      <c r="R393" s="13" t="s">
        <v>2719</v>
      </c>
      <c r="S393" s="13"/>
      <c r="T393" s="13" t="s">
        <v>2720</v>
      </c>
      <c r="U393" s="13" t="s">
        <v>2721</v>
      </c>
      <c r="V393" s="13" t="s">
        <v>4086</v>
      </c>
      <c r="W393" s="13"/>
      <c r="X393" s="13" t="s">
        <v>3980</v>
      </c>
      <c r="Y393" s="13" t="s">
        <v>3980</v>
      </c>
      <c r="Z393" s="13" t="s">
        <v>3980</v>
      </c>
      <c r="AC393" s="18"/>
      <c r="AD393" s="18"/>
      <c r="AE393" s="1"/>
    </row>
    <row r="394" spans="1:31" x14ac:dyDescent="0.25">
      <c r="A394" s="18" t="s">
        <v>1099</v>
      </c>
      <c r="B394" s="30">
        <v>2008</v>
      </c>
      <c r="C394" s="13">
        <v>1699</v>
      </c>
      <c r="D394" s="14">
        <v>0.80400000000000005</v>
      </c>
      <c r="E394" s="14">
        <v>0.98899999999999999</v>
      </c>
      <c r="F394" s="13">
        <v>17</v>
      </c>
      <c r="G394" s="14">
        <v>0.76400000000000001</v>
      </c>
      <c r="H394" s="18" t="s">
        <v>3428</v>
      </c>
      <c r="I394" s="26" t="s">
        <v>867</v>
      </c>
      <c r="J394" s="18" t="s">
        <v>105</v>
      </c>
      <c r="L394" s="9">
        <f>B394</f>
        <v>2008</v>
      </c>
      <c r="N394" s="30" t="s">
        <v>3094</v>
      </c>
      <c r="O394" s="13" t="s">
        <v>28</v>
      </c>
      <c r="P394" s="13">
        <f t="shared" si="15"/>
        <v>10</v>
      </c>
      <c r="Q394" s="15">
        <f t="shared" si="16"/>
        <v>169.9</v>
      </c>
      <c r="R394" s="13" t="s">
        <v>1100</v>
      </c>
      <c r="S394" s="13"/>
      <c r="T394" s="13" t="s">
        <v>1101</v>
      </c>
      <c r="U394" s="13"/>
      <c r="V394" s="13" t="s">
        <v>3980</v>
      </c>
      <c r="W394" s="13"/>
      <c r="X394" s="13" t="s">
        <v>3980</v>
      </c>
      <c r="Y394" s="13" t="s">
        <v>3980</v>
      </c>
      <c r="Z394" s="13" t="s">
        <v>3980</v>
      </c>
      <c r="AC394" s="18"/>
      <c r="AD394" s="18"/>
      <c r="AE394" s="1"/>
    </row>
    <row r="395" spans="1:31" x14ac:dyDescent="0.25">
      <c r="A395" s="18" t="s">
        <v>2520</v>
      </c>
      <c r="B395" s="30">
        <v>2015</v>
      </c>
      <c r="C395" s="13">
        <v>23</v>
      </c>
      <c r="D395" s="14">
        <v>0.105</v>
      </c>
      <c r="E395" s="14">
        <v>0.20300000000000001</v>
      </c>
      <c r="F395" s="13">
        <v>3</v>
      </c>
      <c r="G395" s="14">
        <v>0.13100000000000001</v>
      </c>
      <c r="I395" s="26" t="s">
        <v>867</v>
      </c>
      <c r="J395" s="4" t="s">
        <v>105</v>
      </c>
      <c r="K395" s="4"/>
      <c r="L395" s="9">
        <f>B395</f>
        <v>2015</v>
      </c>
      <c r="N395" s="30" t="s">
        <v>3144</v>
      </c>
      <c r="O395" s="13" t="s">
        <v>42</v>
      </c>
      <c r="P395" s="13">
        <f t="shared" si="15"/>
        <v>3</v>
      </c>
      <c r="Q395" s="15">
        <f t="shared" si="16"/>
        <v>7.666666666666667</v>
      </c>
      <c r="R395" s="13" t="s">
        <v>2521</v>
      </c>
      <c r="S395" s="13"/>
      <c r="T395" s="13" t="s">
        <v>2522</v>
      </c>
      <c r="U395" s="13"/>
      <c r="V395" s="13" t="s">
        <v>3980</v>
      </c>
      <c r="W395" s="13"/>
      <c r="X395" s="13" t="s">
        <v>3980</v>
      </c>
      <c r="Y395" s="13" t="s">
        <v>3980</v>
      </c>
      <c r="Z395" s="13" t="s">
        <v>3980</v>
      </c>
      <c r="AC395" s="18"/>
      <c r="AE395" s="13"/>
    </row>
    <row r="396" spans="1:31" x14ac:dyDescent="0.25">
      <c r="A396" s="18" t="s">
        <v>866</v>
      </c>
      <c r="B396" s="30">
        <v>2001</v>
      </c>
      <c r="C396" s="13">
        <v>3057</v>
      </c>
      <c r="D396" s="14">
        <v>0.89400000000000002</v>
      </c>
      <c r="E396" s="14">
        <v>0.97699999999999998</v>
      </c>
      <c r="F396" s="13">
        <v>24</v>
      </c>
      <c r="G396" s="14">
        <v>0.88300000000000001</v>
      </c>
      <c r="H396" s="18" t="s">
        <v>3360</v>
      </c>
      <c r="I396" s="26" t="s">
        <v>867</v>
      </c>
      <c r="J396" s="18" t="s">
        <v>54</v>
      </c>
      <c r="L396" s="9">
        <v>2001</v>
      </c>
      <c r="N396" s="30" t="s">
        <v>88</v>
      </c>
      <c r="O396" s="13" t="s">
        <v>42</v>
      </c>
      <c r="P396" s="13">
        <f t="shared" si="15"/>
        <v>17</v>
      </c>
      <c r="Q396" s="15">
        <f t="shared" si="16"/>
        <v>179.8235294117647</v>
      </c>
      <c r="R396" s="13" t="s">
        <v>868</v>
      </c>
      <c r="S396" s="13"/>
      <c r="T396" s="13" t="s">
        <v>869</v>
      </c>
      <c r="U396" s="13"/>
      <c r="V396" s="13" t="s">
        <v>3980</v>
      </c>
      <c r="W396" s="13"/>
      <c r="X396" s="13" t="s">
        <v>3980</v>
      </c>
      <c r="Y396" s="13" t="s">
        <v>3980</v>
      </c>
      <c r="Z396" s="13" t="s">
        <v>3980</v>
      </c>
      <c r="AC396" s="18"/>
      <c r="AE396" s="16"/>
    </row>
    <row r="397" spans="1:31" x14ac:dyDescent="0.25">
      <c r="A397" s="18" t="s">
        <v>2878</v>
      </c>
      <c r="B397" s="30">
        <v>2012</v>
      </c>
      <c r="C397" s="13">
        <v>334</v>
      </c>
      <c r="D397" s="14">
        <v>0.46700000000000003</v>
      </c>
      <c r="E397" s="14">
        <v>0.77800000000000002</v>
      </c>
      <c r="F397" s="13">
        <v>6</v>
      </c>
      <c r="G397" s="14">
        <v>0.32200000000000001</v>
      </c>
      <c r="H397" s="18" t="s">
        <v>3592</v>
      </c>
      <c r="I397" s="26" t="s">
        <v>867</v>
      </c>
      <c r="J397" s="18" t="s">
        <v>105</v>
      </c>
      <c r="L397" s="9">
        <f>B397</f>
        <v>2012</v>
      </c>
      <c r="N397" s="30" t="s">
        <v>98</v>
      </c>
      <c r="O397" s="13" t="s">
        <v>28</v>
      </c>
      <c r="P397" s="13">
        <f t="shared" si="15"/>
        <v>6</v>
      </c>
      <c r="Q397" s="15">
        <f t="shared" si="16"/>
        <v>55.666666666666664</v>
      </c>
      <c r="R397" s="13" t="s">
        <v>2879</v>
      </c>
      <c r="S397" s="13"/>
      <c r="T397" s="13" t="s">
        <v>2880</v>
      </c>
      <c r="U397" s="13"/>
      <c r="V397" s="13" t="s">
        <v>3980</v>
      </c>
      <c r="W397" s="13"/>
      <c r="X397" s="13" t="s">
        <v>3980</v>
      </c>
      <c r="Y397" s="13" t="s">
        <v>3980</v>
      </c>
      <c r="Z397" s="13" t="s">
        <v>3980</v>
      </c>
      <c r="AC397" s="18"/>
      <c r="AE397" s="1"/>
    </row>
    <row r="398" spans="1:31" x14ac:dyDescent="0.25">
      <c r="A398" s="18" t="s">
        <v>1520</v>
      </c>
      <c r="B398" s="30">
        <v>1986</v>
      </c>
      <c r="C398" s="13">
        <v>164</v>
      </c>
      <c r="D398" s="14">
        <v>0.35299999999999998</v>
      </c>
      <c r="E398" s="14">
        <v>0.16800000000000001</v>
      </c>
      <c r="F398" s="13">
        <v>1</v>
      </c>
      <c r="G398" s="14">
        <v>0</v>
      </c>
      <c r="I398" s="26" t="s">
        <v>867</v>
      </c>
      <c r="J398" s="18" t="s">
        <v>26</v>
      </c>
      <c r="L398" s="9">
        <f>B398</f>
        <v>1986</v>
      </c>
      <c r="N398" s="30" t="s">
        <v>3112</v>
      </c>
      <c r="O398" s="13" t="s">
        <v>28</v>
      </c>
      <c r="P398" s="13">
        <f t="shared" si="15"/>
        <v>32</v>
      </c>
      <c r="Q398" s="15">
        <f t="shared" si="16"/>
        <v>5.125</v>
      </c>
      <c r="R398" s="13" t="s">
        <v>1521</v>
      </c>
      <c r="S398" s="13"/>
      <c r="T398" s="13" t="s">
        <v>1522</v>
      </c>
      <c r="U398" s="13"/>
      <c r="V398" s="13" t="s">
        <v>3980</v>
      </c>
      <c r="W398" s="13"/>
      <c r="X398" s="13" t="s">
        <v>3980</v>
      </c>
      <c r="Y398" s="13" t="s">
        <v>3980</v>
      </c>
      <c r="Z398" s="13" t="s">
        <v>3980</v>
      </c>
      <c r="AC398" s="18"/>
      <c r="AE398" s="16"/>
    </row>
    <row r="399" spans="1:31" x14ac:dyDescent="0.25">
      <c r="A399" s="18" t="s">
        <v>4864</v>
      </c>
      <c r="B399" s="30">
        <v>1998</v>
      </c>
      <c r="C399" s="13">
        <v>2325</v>
      </c>
      <c r="D399" s="14">
        <v>0.85899999999999999</v>
      </c>
      <c r="E399" s="14">
        <v>0.95699999999999996</v>
      </c>
      <c r="F399" s="13">
        <v>16</v>
      </c>
      <c r="G399" s="14">
        <v>0.74099999999999999</v>
      </c>
      <c r="H399" s="18" t="s">
        <v>3684</v>
      </c>
      <c r="I399" s="26" t="s">
        <v>867</v>
      </c>
      <c r="J399" s="18" t="s">
        <v>54</v>
      </c>
      <c r="L399" s="9">
        <v>1998</v>
      </c>
      <c r="N399" s="30" t="s">
        <v>337</v>
      </c>
      <c r="O399" s="13" t="s">
        <v>42</v>
      </c>
      <c r="P399" s="13">
        <f t="shared" si="15"/>
        <v>20</v>
      </c>
      <c r="Q399" s="15">
        <f t="shared" si="16"/>
        <v>116.25</v>
      </c>
      <c r="R399" s="13" t="s">
        <v>1700</v>
      </c>
      <c r="S399" s="13" t="s">
        <v>1703</v>
      </c>
      <c r="T399" s="13" t="s">
        <v>767</v>
      </c>
      <c r="U399" s="13" t="s">
        <v>1704</v>
      </c>
      <c r="V399" s="13" t="s">
        <v>3980</v>
      </c>
      <c r="W399" s="13"/>
      <c r="X399" s="13" t="s">
        <v>3980</v>
      </c>
      <c r="Y399" s="13" t="s">
        <v>3980</v>
      </c>
      <c r="Z399" s="13" t="s">
        <v>3980</v>
      </c>
      <c r="AC399" s="18"/>
      <c r="AE399" s="13"/>
    </row>
    <row r="400" spans="1:31" x14ac:dyDescent="0.25">
      <c r="A400" s="18" t="s">
        <v>4882</v>
      </c>
      <c r="B400" s="30">
        <v>2003</v>
      </c>
      <c r="C400" s="13">
        <v>245</v>
      </c>
      <c r="D400" s="14">
        <v>0.41</v>
      </c>
      <c r="E400" s="14">
        <v>0.41799999999999998</v>
      </c>
      <c r="F400" s="13">
        <v>4</v>
      </c>
      <c r="G400" s="14">
        <v>0.19600000000000001</v>
      </c>
      <c r="I400" s="26" t="s">
        <v>867</v>
      </c>
      <c r="J400" s="18" t="s">
        <v>54</v>
      </c>
      <c r="L400" s="9">
        <v>2003</v>
      </c>
      <c r="N400" s="30" t="s">
        <v>67</v>
      </c>
      <c r="O400" s="13" t="s">
        <v>28</v>
      </c>
      <c r="P400" s="13">
        <f t="shared" si="15"/>
        <v>15</v>
      </c>
      <c r="Q400" s="15">
        <f t="shared" si="16"/>
        <v>16.333333333333332</v>
      </c>
      <c r="R400" s="13" t="s">
        <v>173</v>
      </c>
      <c r="S400" s="13" t="s">
        <v>206</v>
      </c>
      <c r="T400" s="13" t="s">
        <v>1813</v>
      </c>
      <c r="U400" s="13" t="s">
        <v>1814</v>
      </c>
      <c r="V400" s="13" t="s">
        <v>3980</v>
      </c>
      <c r="W400" s="13"/>
      <c r="X400" s="13" t="s">
        <v>3980</v>
      </c>
      <c r="Y400" s="13" t="s">
        <v>3980</v>
      </c>
      <c r="Z400" s="13" t="s">
        <v>3980</v>
      </c>
      <c r="AC400" s="18"/>
      <c r="AE400" s="18"/>
    </row>
    <row r="401" spans="1:29" x14ac:dyDescent="0.25">
      <c r="A401" s="18" t="s">
        <v>2811</v>
      </c>
      <c r="B401" s="30">
        <v>2012</v>
      </c>
      <c r="C401" s="13">
        <v>275</v>
      </c>
      <c r="D401" s="14">
        <v>0.43</v>
      </c>
      <c r="E401" s="14">
        <v>0.74</v>
      </c>
      <c r="F401" s="13">
        <v>6</v>
      </c>
      <c r="G401" s="14">
        <v>0.32200000000000001</v>
      </c>
      <c r="I401" s="26" t="s">
        <v>867</v>
      </c>
      <c r="J401" s="18" t="s">
        <v>105</v>
      </c>
      <c r="L401" s="9">
        <f>B401</f>
        <v>2012</v>
      </c>
      <c r="M401" s="11"/>
      <c r="N401" s="30" t="s">
        <v>519</v>
      </c>
      <c r="O401" s="13" t="s">
        <v>28</v>
      </c>
      <c r="P401" s="13">
        <f t="shared" si="15"/>
        <v>6</v>
      </c>
      <c r="Q401" s="15">
        <f t="shared" si="16"/>
        <v>45.833333333333336</v>
      </c>
      <c r="R401" s="13" t="s">
        <v>2812</v>
      </c>
      <c r="S401" s="13"/>
      <c r="T401" s="13" t="s">
        <v>628</v>
      </c>
      <c r="U401" s="13"/>
      <c r="V401" s="13" t="s">
        <v>3980</v>
      </c>
      <c r="W401" s="13"/>
      <c r="X401" s="13" t="s">
        <v>3980</v>
      </c>
      <c r="Y401" s="13" t="s">
        <v>3980</v>
      </c>
      <c r="Z401" s="13" t="s">
        <v>3980</v>
      </c>
      <c r="AC401" s="18"/>
    </row>
    <row r="402" spans="1:29" x14ac:dyDescent="0.25">
      <c r="A402" s="18" t="s">
        <v>4939</v>
      </c>
      <c r="B402" s="30">
        <v>1989</v>
      </c>
      <c r="C402" s="13">
        <v>204</v>
      </c>
      <c r="D402" s="14">
        <v>0.38500000000000001</v>
      </c>
      <c r="E402" s="14">
        <v>0.38100000000000001</v>
      </c>
      <c r="F402" s="13">
        <v>8</v>
      </c>
      <c r="G402" s="14">
        <v>0.434</v>
      </c>
      <c r="I402" s="26" t="s">
        <v>867</v>
      </c>
      <c r="J402" s="18" t="s">
        <v>54</v>
      </c>
      <c r="L402" s="9">
        <f>B402</f>
        <v>1989</v>
      </c>
      <c r="N402" s="30" t="s">
        <v>3118</v>
      </c>
      <c r="O402" s="13" t="s">
        <v>28</v>
      </c>
      <c r="P402" s="13">
        <f t="shared" si="15"/>
        <v>29</v>
      </c>
      <c r="Q402" s="15">
        <f t="shared" si="16"/>
        <v>7.0344827586206895</v>
      </c>
      <c r="R402" s="13" t="s">
        <v>205</v>
      </c>
      <c r="S402" s="13" t="s">
        <v>859</v>
      </c>
      <c r="T402" s="13" t="s">
        <v>2083</v>
      </c>
      <c r="U402" s="13"/>
      <c r="V402" s="13" t="s">
        <v>3980</v>
      </c>
      <c r="W402" s="13"/>
      <c r="X402" s="13" t="s">
        <v>3980</v>
      </c>
      <c r="Y402" s="13" t="s">
        <v>3980</v>
      </c>
      <c r="Z402" s="13" t="s">
        <v>3980</v>
      </c>
      <c r="AC402" s="18"/>
    </row>
    <row r="403" spans="1:29" x14ac:dyDescent="0.25">
      <c r="A403" s="18" t="s">
        <v>870</v>
      </c>
      <c r="B403" s="30">
        <v>2009</v>
      </c>
      <c r="C403" s="13">
        <v>23</v>
      </c>
      <c r="D403" s="14">
        <v>0.105</v>
      </c>
      <c r="E403" s="14">
        <v>0.20300000000000001</v>
      </c>
      <c r="F403" s="13">
        <v>3</v>
      </c>
      <c r="G403" s="14">
        <v>0.13100000000000001</v>
      </c>
      <c r="H403" s="18" t="s">
        <v>3361</v>
      </c>
      <c r="I403" s="26" t="s">
        <v>867</v>
      </c>
      <c r="J403" s="18" t="s">
        <v>105</v>
      </c>
      <c r="L403" s="9">
        <v>2009</v>
      </c>
      <c r="N403" s="30" t="s">
        <v>88</v>
      </c>
      <c r="O403" s="13" t="s">
        <v>28</v>
      </c>
      <c r="P403" s="13">
        <f t="shared" si="15"/>
        <v>9</v>
      </c>
      <c r="Q403" s="15">
        <f t="shared" si="16"/>
        <v>2.5555555555555554</v>
      </c>
      <c r="R403" s="13" t="s">
        <v>871</v>
      </c>
      <c r="S403" s="13"/>
      <c r="T403" s="13" t="s">
        <v>872</v>
      </c>
      <c r="U403" s="13"/>
      <c r="V403" s="13" t="s">
        <v>3980</v>
      </c>
      <c r="W403" s="13"/>
      <c r="X403" s="13" t="s">
        <v>3980</v>
      </c>
      <c r="Y403" s="13" t="s">
        <v>3980</v>
      </c>
      <c r="Z403" s="13" t="s">
        <v>3980</v>
      </c>
      <c r="AC403" s="18"/>
    </row>
    <row r="404" spans="1:29" x14ac:dyDescent="0.25">
      <c r="A404" s="18" t="s">
        <v>4968</v>
      </c>
      <c r="B404" s="30">
        <v>1974</v>
      </c>
      <c r="C404" s="13">
        <v>491</v>
      </c>
      <c r="D404" s="14">
        <v>0.55000000000000004</v>
      </c>
      <c r="E404" s="14">
        <v>0.3</v>
      </c>
      <c r="F404" s="13">
        <v>11</v>
      </c>
      <c r="G404" s="14">
        <v>0.56000000000000005</v>
      </c>
      <c r="I404" s="26" t="s">
        <v>867</v>
      </c>
      <c r="J404" t="s">
        <v>26</v>
      </c>
      <c r="L404" s="9">
        <f>B404</f>
        <v>1974</v>
      </c>
      <c r="N404" s="30" t="s">
        <v>272</v>
      </c>
      <c r="O404" s="13" t="s">
        <v>28</v>
      </c>
      <c r="P404" s="13">
        <f t="shared" si="15"/>
        <v>44</v>
      </c>
      <c r="Q404" s="15">
        <f t="shared" si="16"/>
        <v>11.159090909090908</v>
      </c>
      <c r="R404" s="13" t="s">
        <v>808</v>
      </c>
      <c r="S404" s="13" t="s">
        <v>30</v>
      </c>
      <c r="T404" s="13" t="s">
        <v>2197</v>
      </c>
      <c r="U404" s="13"/>
      <c r="V404" s="13" t="s">
        <v>3980</v>
      </c>
      <c r="W404" s="13"/>
      <c r="X404" s="13" t="s">
        <v>3980</v>
      </c>
      <c r="Y404" s="13" t="s">
        <v>3980</v>
      </c>
      <c r="Z404" s="13" t="s">
        <v>3980</v>
      </c>
      <c r="AC404" s="18"/>
    </row>
    <row r="405" spans="1:29" x14ac:dyDescent="0.25">
      <c r="A405" s="18" t="s">
        <v>5132</v>
      </c>
      <c r="B405" s="30">
        <v>2003</v>
      </c>
      <c r="C405" s="13">
        <v>375</v>
      </c>
      <c r="D405" s="14">
        <v>0.48799999999999999</v>
      </c>
      <c r="E405" s="14">
        <v>0.51500000000000001</v>
      </c>
      <c r="F405" s="13">
        <v>11</v>
      </c>
      <c r="G405" s="14">
        <v>0.56000000000000005</v>
      </c>
      <c r="I405" s="26" t="s">
        <v>1300</v>
      </c>
      <c r="J405" s="18" t="s">
        <v>54</v>
      </c>
      <c r="L405" s="9">
        <f>B405</f>
        <v>2003</v>
      </c>
      <c r="N405" s="30" t="s">
        <v>220</v>
      </c>
      <c r="O405" s="13" t="s">
        <v>28</v>
      </c>
      <c r="P405" s="13">
        <f t="shared" si="15"/>
        <v>15</v>
      </c>
      <c r="Q405" s="15">
        <f t="shared" si="16"/>
        <v>25</v>
      </c>
      <c r="R405" s="13" t="s">
        <v>1432</v>
      </c>
      <c r="S405" s="13" t="s">
        <v>62</v>
      </c>
      <c r="T405" s="13" t="s">
        <v>3007</v>
      </c>
      <c r="U405" s="13"/>
      <c r="V405" s="13" t="s">
        <v>3980</v>
      </c>
      <c r="W405" s="13"/>
      <c r="X405" s="13" t="s">
        <v>3980</v>
      </c>
      <c r="Y405" s="13" t="s">
        <v>3980</v>
      </c>
      <c r="Z405" s="13" t="s">
        <v>3980</v>
      </c>
      <c r="AC405" s="18"/>
    </row>
    <row r="406" spans="1:29" x14ac:dyDescent="0.25">
      <c r="A406" s="18" t="s">
        <v>1299</v>
      </c>
      <c r="B406" s="30">
        <v>2015</v>
      </c>
      <c r="C406" s="13">
        <v>45</v>
      </c>
      <c r="D406" s="14">
        <v>0.16400000000000001</v>
      </c>
      <c r="E406" s="14">
        <v>0.32600000000000001</v>
      </c>
      <c r="F406" s="13">
        <v>3</v>
      </c>
      <c r="G406" s="14">
        <v>0.13100000000000001</v>
      </c>
      <c r="H406" s="18" t="s">
        <v>3485</v>
      </c>
      <c r="I406" s="26" t="s">
        <v>1300</v>
      </c>
      <c r="J406" s="18" t="s">
        <v>105</v>
      </c>
      <c r="K406" s="4"/>
      <c r="L406" s="9">
        <f>B406</f>
        <v>2015</v>
      </c>
      <c r="N406" s="30" t="s">
        <v>67</v>
      </c>
      <c r="O406" s="13" t="s">
        <v>28</v>
      </c>
      <c r="P406" s="13">
        <f t="shared" si="15"/>
        <v>3</v>
      </c>
      <c r="Q406" s="15">
        <f t="shared" si="16"/>
        <v>15</v>
      </c>
      <c r="R406" s="13" t="s">
        <v>346</v>
      </c>
      <c r="S406" s="13"/>
      <c r="T406" s="13" t="s">
        <v>1301</v>
      </c>
      <c r="U406" s="13"/>
      <c r="V406" s="13" t="s">
        <v>3980</v>
      </c>
      <c r="W406" s="13"/>
      <c r="X406" s="13" t="s">
        <v>3980</v>
      </c>
      <c r="Y406" s="13" t="s">
        <v>3980</v>
      </c>
      <c r="Z406" s="13" t="s">
        <v>3980</v>
      </c>
      <c r="AC406" s="18"/>
    </row>
    <row r="407" spans="1:29" x14ac:dyDescent="0.25">
      <c r="A407" s="18" t="s">
        <v>1851</v>
      </c>
      <c r="B407" s="30">
        <v>1982</v>
      </c>
      <c r="C407" s="13">
        <v>646</v>
      </c>
      <c r="D407" s="14">
        <v>0.61599999999999999</v>
      </c>
      <c r="E407" s="14">
        <v>0.34599999999999997</v>
      </c>
      <c r="F407" s="13">
        <v>15</v>
      </c>
      <c r="G407" s="14">
        <v>0.71</v>
      </c>
      <c r="I407" s="26" t="s">
        <v>1300</v>
      </c>
      <c r="J407" t="s">
        <v>26</v>
      </c>
      <c r="K407" s="4"/>
      <c r="L407" s="9">
        <v>1982</v>
      </c>
      <c r="N407" s="30" t="s">
        <v>77</v>
      </c>
      <c r="O407" s="13" t="s">
        <v>42</v>
      </c>
      <c r="P407" s="13">
        <f t="shared" si="15"/>
        <v>36</v>
      </c>
      <c r="Q407" s="15">
        <f t="shared" si="16"/>
        <v>17.944444444444443</v>
      </c>
      <c r="R407" s="13" t="s">
        <v>1852</v>
      </c>
      <c r="S407" s="13"/>
      <c r="T407" s="13" t="s">
        <v>1853</v>
      </c>
      <c r="U407" s="13" t="s">
        <v>1854</v>
      </c>
      <c r="V407" s="13" t="s">
        <v>3980</v>
      </c>
      <c r="W407" s="13"/>
      <c r="X407" s="13" t="s">
        <v>4491</v>
      </c>
      <c r="Y407" s="13" t="s">
        <v>3980</v>
      </c>
      <c r="Z407" s="13" t="s">
        <v>3980</v>
      </c>
      <c r="AC407" s="18"/>
    </row>
    <row r="408" spans="1:29" x14ac:dyDescent="0.25">
      <c r="A408" s="18" t="s">
        <v>1304</v>
      </c>
      <c r="B408" s="30">
        <v>2004</v>
      </c>
      <c r="C408" s="13">
        <v>482</v>
      </c>
      <c r="D408" s="14">
        <v>0.54600000000000004</v>
      </c>
      <c r="E408" s="14">
        <v>0.60699999999999998</v>
      </c>
      <c r="F408" s="13">
        <v>9</v>
      </c>
      <c r="G408" s="14">
        <v>0.48799999999999999</v>
      </c>
      <c r="H408" s="18" t="s">
        <v>3630</v>
      </c>
      <c r="I408" s="26" t="s">
        <v>1300</v>
      </c>
      <c r="J408" s="18" t="s">
        <v>54</v>
      </c>
      <c r="K408" s="4"/>
      <c r="L408" s="9">
        <v>2004</v>
      </c>
      <c r="N408" s="30" t="s">
        <v>220</v>
      </c>
      <c r="O408" s="13" t="s">
        <v>42</v>
      </c>
      <c r="P408" s="13">
        <f t="shared" si="15"/>
        <v>14</v>
      </c>
      <c r="Q408" s="15">
        <f t="shared" si="16"/>
        <v>34.428571428571431</v>
      </c>
      <c r="R408" s="13" t="s">
        <v>1305</v>
      </c>
      <c r="S408" s="13"/>
      <c r="T408" s="13" t="s">
        <v>1306</v>
      </c>
      <c r="U408" s="13" t="s">
        <v>1307</v>
      </c>
      <c r="V408" s="13" t="s">
        <v>4087</v>
      </c>
      <c r="W408" s="13"/>
      <c r="X408" s="13" t="s">
        <v>4492</v>
      </c>
      <c r="Y408" s="13" t="s">
        <v>3980</v>
      </c>
      <c r="Z408" s="13" t="s">
        <v>3980</v>
      </c>
      <c r="AC408" s="18"/>
    </row>
    <row r="409" spans="1:29" x14ac:dyDescent="0.25">
      <c r="A409" s="18" t="s">
        <v>5090</v>
      </c>
      <c r="B409" s="30">
        <v>1994</v>
      </c>
      <c r="C409" s="8">
        <v>1</v>
      </c>
      <c r="D409" s="14">
        <v>0</v>
      </c>
      <c r="E409" s="14">
        <v>0</v>
      </c>
      <c r="F409" s="8">
        <v>1</v>
      </c>
      <c r="G409" s="14">
        <v>0</v>
      </c>
      <c r="I409" s="26" t="s">
        <v>161</v>
      </c>
      <c r="J409" s="18" t="s">
        <v>54</v>
      </c>
      <c r="L409" s="9">
        <f>B409</f>
        <v>1994</v>
      </c>
      <c r="N409" s="28" t="s">
        <v>161</v>
      </c>
      <c r="O409" s="13" t="s">
        <v>28</v>
      </c>
      <c r="P409" s="13">
        <f t="shared" si="15"/>
        <v>24</v>
      </c>
      <c r="Q409" s="15">
        <f t="shared" si="16"/>
        <v>4.1666666666666664E-2</v>
      </c>
      <c r="R409" s="18" t="s">
        <v>3814</v>
      </c>
      <c r="T409" s="18" t="s">
        <v>3815</v>
      </c>
      <c r="V409" s="18" t="s">
        <v>3980</v>
      </c>
      <c r="X409" s="18" t="s">
        <v>3980</v>
      </c>
      <c r="Y409" s="18" t="s">
        <v>3980</v>
      </c>
      <c r="Z409" s="18" t="s">
        <v>3980</v>
      </c>
      <c r="AC409" s="18"/>
    </row>
    <row r="410" spans="1:29" x14ac:dyDescent="0.25">
      <c r="A410" s="18" t="s">
        <v>2874</v>
      </c>
      <c r="B410" s="30">
        <v>1985</v>
      </c>
      <c r="C410" s="13">
        <v>741</v>
      </c>
      <c r="D410" s="14">
        <v>0.64</v>
      </c>
      <c r="E410" s="14">
        <v>0.375</v>
      </c>
      <c r="F410" s="13">
        <v>9</v>
      </c>
      <c r="G410" s="14">
        <v>0.48799999999999999</v>
      </c>
      <c r="I410" s="26" t="s">
        <v>161</v>
      </c>
      <c r="J410" s="18" t="s">
        <v>26</v>
      </c>
      <c r="L410" s="9">
        <v>1985</v>
      </c>
      <c r="N410" s="30" t="s">
        <v>77</v>
      </c>
      <c r="O410" s="13" t="s">
        <v>42</v>
      </c>
      <c r="P410" s="13">
        <f t="shared" si="15"/>
        <v>33</v>
      </c>
      <c r="Q410" s="15">
        <f t="shared" si="16"/>
        <v>22.454545454545453</v>
      </c>
      <c r="R410" s="13" t="s">
        <v>2875</v>
      </c>
      <c r="S410" s="13"/>
      <c r="T410" s="13" t="s">
        <v>2876</v>
      </c>
      <c r="U410" s="13" t="s">
        <v>2877</v>
      </c>
      <c r="V410" s="13" t="s">
        <v>3980</v>
      </c>
      <c r="W410" s="13"/>
      <c r="X410" s="13" t="s">
        <v>3980</v>
      </c>
      <c r="Y410" s="13" t="s">
        <v>3980</v>
      </c>
      <c r="Z410" s="13" t="s">
        <v>3980</v>
      </c>
      <c r="AC410" s="18"/>
    </row>
    <row r="411" spans="1:29" x14ac:dyDescent="0.25">
      <c r="A411" s="18" t="s">
        <v>1208</v>
      </c>
      <c r="B411" s="30">
        <v>2011</v>
      </c>
      <c r="C411" s="13">
        <v>15</v>
      </c>
      <c r="D411" s="14">
        <v>8.5999999999999993E-2</v>
      </c>
      <c r="E411" s="14">
        <v>0.17100000000000001</v>
      </c>
      <c r="F411" s="13">
        <v>3</v>
      </c>
      <c r="G411" s="14">
        <v>0.13100000000000001</v>
      </c>
      <c r="H411" s="18" t="s">
        <v>3460</v>
      </c>
      <c r="I411" s="26" t="s">
        <v>161</v>
      </c>
      <c r="J411" s="18" t="s">
        <v>105</v>
      </c>
      <c r="L411" s="9">
        <f>B411</f>
        <v>2011</v>
      </c>
      <c r="N411" s="30" t="s">
        <v>161</v>
      </c>
      <c r="O411" s="13" t="s">
        <v>28</v>
      </c>
      <c r="P411" s="13">
        <f t="shared" si="15"/>
        <v>7</v>
      </c>
      <c r="Q411" s="15">
        <f t="shared" si="16"/>
        <v>2.1428571428571428</v>
      </c>
      <c r="R411" s="13" t="s">
        <v>305</v>
      </c>
      <c r="S411" s="13"/>
      <c r="T411" s="13" t="s">
        <v>1209</v>
      </c>
      <c r="U411" s="13"/>
      <c r="V411" s="13" t="s">
        <v>3980</v>
      </c>
      <c r="W411" s="13"/>
      <c r="X411" s="13" t="s">
        <v>3980</v>
      </c>
      <c r="Y411" s="13" t="s">
        <v>3980</v>
      </c>
      <c r="Z411" s="13" t="s">
        <v>3980</v>
      </c>
      <c r="AC411" s="18"/>
    </row>
    <row r="412" spans="1:29" x14ac:dyDescent="0.25">
      <c r="A412" s="18" t="s">
        <v>5049</v>
      </c>
      <c r="B412" s="30">
        <v>1981</v>
      </c>
      <c r="C412" s="13">
        <v>7539</v>
      </c>
      <c r="D412" s="14">
        <v>0.97299999999999998</v>
      </c>
      <c r="E412" s="14">
        <v>0.93300000000000005</v>
      </c>
      <c r="F412" s="13">
        <v>40</v>
      </c>
      <c r="G412" s="14">
        <v>0.97699999999999998</v>
      </c>
      <c r="H412" s="18" t="s">
        <v>3665</v>
      </c>
      <c r="I412" s="26" t="s">
        <v>161</v>
      </c>
      <c r="J412" s="18" t="s">
        <v>26</v>
      </c>
      <c r="K412" s="4"/>
      <c r="L412" s="9">
        <v>1981</v>
      </c>
      <c r="N412" s="30" t="s">
        <v>161</v>
      </c>
      <c r="O412" s="13" t="s">
        <v>28</v>
      </c>
      <c r="P412" s="13">
        <f t="shared" si="15"/>
        <v>37</v>
      </c>
      <c r="Q412" s="15">
        <f t="shared" si="16"/>
        <v>203.75675675675674</v>
      </c>
      <c r="R412" s="13" t="s">
        <v>811</v>
      </c>
      <c r="S412" s="13" t="s">
        <v>1636</v>
      </c>
      <c r="T412" s="13" t="s">
        <v>2670</v>
      </c>
      <c r="U412" s="13" t="s">
        <v>2671</v>
      </c>
      <c r="V412" s="13" t="s">
        <v>4088</v>
      </c>
      <c r="W412" s="13"/>
      <c r="X412" s="13" t="s">
        <v>4493</v>
      </c>
      <c r="Y412" s="13" t="s">
        <v>3980</v>
      </c>
      <c r="Z412" s="13" t="s">
        <v>3980</v>
      </c>
      <c r="AC412" s="18"/>
    </row>
    <row r="413" spans="1:29" x14ac:dyDescent="0.25">
      <c r="A413" s="18" t="s">
        <v>4919</v>
      </c>
      <c r="B413" s="30">
        <v>1987</v>
      </c>
      <c r="C413" s="13">
        <v>105</v>
      </c>
      <c r="D413" s="14">
        <v>0.27300000000000002</v>
      </c>
      <c r="E413" s="14">
        <v>0.24299999999999999</v>
      </c>
      <c r="F413" s="13">
        <v>4</v>
      </c>
      <c r="G413" s="14">
        <v>0.19600000000000001</v>
      </c>
      <c r="I413" s="26" t="s">
        <v>161</v>
      </c>
      <c r="J413" s="18" t="s">
        <v>54</v>
      </c>
      <c r="K413" s="4"/>
      <c r="L413" s="9">
        <f>B413</f>
        <v>1987</v>
      </c>
      <c r="M413" s="20" t="s">
        <v>3132</v>
      </c>
      <c r="N413" s="30" t="s">
        <v>3155</v>
      </c>
      <c r="O413" s="13" t="s">
        <v>28</v>
      </c>
      <c r="P413" s="13">
        <f t="shared" si="15"/>
        <v>31</v>
      </c>
      <c r="Q413" s="15">
        <f t="shared" si="16"/>
        <v>3.3870967741935485</v>
      </c>
      <c r="R413" s="13" t="s">
        <v>1979</v>
      </c>
      <c r="S413" s="13" t="s">
        <v>62</v>
      </c>
      <c r="T413" s="13" t="s">
        <v>1980</v>
      </c>
      <c r="U413" s="13"/>
      <c r="V413" s="13" t="s">
        <v>3980</v>
      </c>
      <c r="W413" s="13"/>
      <c r="X413" s="13" t="s">
        <v>3980</v>
      </c>
      <c r="Y413" s="13" t="s">
        <v>3980</v>
      </c>
      <c r="Z413" s="13" t="s">
        <v>3980</v>
      </c>
      <c r="AC413" s="18"/>
    </row>
    <row r="414" spans="1:29" x14ac:dyDescent="0.25">
      <c r="A414" s="18" t="s">
        <v>5091</v>
      </c>
      <c r="B414" s="30">
        <v>2001</v>
      </c>
      <c r="C414" s="13">
        <v>5314</v>
      </c>
      <c r="D414" s="14">
        <v>0.94899999999999995</v>
      </c>
      <c r="E414" s="14">
        <v>0.88300000000000001</v>
      </c>
      <c r="F414" s="13">
        <v>38</v>
      </c>
      <c r="G414" s="14">
        <v>0.97299999999999998</v>
      </c>
      <c r="H414" s="18" t="s">
        <v>3311</v>
      </c>
      <c r="I414" s="26" t="s">
        <v>161</v>
      </c>
      <c r="J414" s="18" t="s">
        <v>26</v>
      </c>
      <c r="K414" s="4"/>
      <c r="L414" s="9">
        <v>2001</v>
      </c>
      <c r="M414" s="11"/>
      <c r="N414" s="30" t="s">
        <v>94</v>
      </c>
      <c r="O414" s="13" t="s">
        <v>28</v>
      </c>
      <c r="P414" s="13">
        <f t="shared" si="15"/>
        <v>17</v>
      </c>
      <c r="Q414" s="15">
        <f t="shared" si="16"/>
        <v>312.58823529411762</v>
      </c>
      <c r="R414" s="13" t="s">
        <v>679</v>
      </c>
      <c r="S414" s="13" t="s">
        <v>680</v>
      </c>
      <c r="T414" s="13" t="s">
        <v>681</v>
      </c>
      <c r="U414" s="13"/>
      <c r="V414" s="13" t="s">
        <v>4089</v>
      </c>
      <c r="W414" s="13"/>
      <c r="X414" s="13" t="s">
        <v>3980</v>
      </c>
      <c r="Y414" s="13" t="s">
        <v>3980</v>
      </c>
      <c r="Z414" s="13" t="s">
        <v>3980</v>
      </c>
      <c r="AC414" s="18"/>
    </row>
    <row r="415" spans="1:29" x14ac:dyDescent="0.25">
      <c r="A415" s="18" t="s">
        <v>2771</v>
      </c>
      <c r="B415" s="30">
        <v>1985</v>
      </c>
      <c r="C415" s="8">
        <v>2934</v>
      </c>
      <c r="D415" s="14">
        <v>0.88700000000000001</v>
      </c>
      <c r="E415" s="14">
        <v>0.749</v>
      </c>
      <c r="F415" s="8">
        <v>27</v>
      </c>
      <c r="G415" s="14">
        <v>0.90700000000000003</v>
      </c>
      <c r="H415" s="18" t="s">
        <v>3594</v>
      </c>
      <c r="I415" s="26" t="s">
        <v>161</v>
      </c>
      <c r="J415" s="18" t="s">
        <v>26</v>
      </c>
      <c r="L415" s="9">
        <f>B415</f>
        <v>1985</v>
      </c>
      <c r="N415" s="28" t="s">
        <v>775</v>
      </c>
      <c r="O415" s="13" t="s">
        <v>28</v>
      </c>
      <c r="P415" s="13">
        <f t="shared" si="15"/>
        <v>33</v>
      </c>
      <c r="Q415" s="15">
        <f t="shared" si="16"/>
        <v>88.909090909090907</v>
      </c>
      <c r="R415" s="18" t="s">
        <v>177</v>
      </c>
      <c r="T415" s="18" t="s">
        <v>1823</v>
      </c>
      <c r="V415" s="18" t="s">
        <v>3980</v>
      </c>
      <c r="X415" s="18" t="s">
        <v>3980</v>
      </c>
      <c r="Y415" s="18" t="s">
        <v>3980</v>
      </c>
      <c r="Z415" s="18" t="s">
        <v>3980</v>
      </c>
      <c r="AC415" s="18"/>
    </row>
    <row r="416" spans="1:29" x14ac:dyDescent="0.25">
      <c r="A416" s="18" t="s">
        <v>1663</v>
      </c>
      <c r="B416" s="30">
        <v>1994</v>
      </c>
      <c r="C416" s="8">
        <v>443</v>
      </c>
      <c r="D416" s="14">
        <v>0.53100000000000003</v>
      </c>
      <c r="E416" s="14">
        <v>0.58099999999999996</v>
      </c>
      <c r="F416" s="8">
        <v>8</v>
      </c>
      <c r="G416" s="14">
        <v>0.434</v>
      </c>
      <c r="H416" s="18" t="s">
        <v>3561</v>
      </c>
      <c r="I416" s="26" t="s">
        <v>161</v>
      </c>
      <c r="J416" s="18" t="s">
        <v>54</v>
      </c>
      <c r="L416" s="9">
        <f>B416</f>
        <v>1994</v>
      </c>
      <c r="M416" s="20" t="s">
        <v>3132</v>
      </c>
      <c r="N416" s="28" t="s">
        <v>40</v>
      </c>
      <c r="O416" s="13" t="s">
        <v>28</v>
      </c>
      <c r="P416" s="13">
        <f t="shared" si="15"/>
        <v>24</v>
      </c>
      <c r="Q416" s="15">
        <f t="shared" si="16"/>
        <v>18.458333333333332</v>
      </c>
      <c r="R416" s="18" t="s">
        <v>657</v>
      </c>
      <c r="T416" s="18" t="s">
        <v>3778</v>
      </c>
      <c r="V416" s="18" t="s">
        <v>3980</v>
      </c>
      <c r="X416" s="18" t="s">
        <v>3980</v>
      </c>
      <c r="Y416" s="18" t="s">
        <v>3980</v>
      </c>
      <c r="Z416" s="18" t="s">
        <v>3980</v>
      </c>
      <c r="AC416" s="18"/>
    </row>
    <row r="417" spans="1:29" x14ac:dyDescent="0.25">
      <c r="A417" s="18" t="s">
        <v>1705</v>
      </c>
      <c r="B417" s="30">
        <v>2001</v>
      </c>
      <c r="C417" s="13">
        <v>236</v>
      </c>
      <c r="D417" s="14">
        <v>0.40600000000000003</v>
      </c>
      <c r="E417" s="14">
        <v>0.40600000000000003</v>
      </c>
      <c r="F417" s="13">
        <v>8</v>
      </c>
      <c r="G417" s="14">
        <v>0.434</v>
      </c>
      <c r="I417" s="26" t="s">
        <v>161</v>
      </c>
      <c r="J417" s="18" t="s">
        <v>54</v>
      </c>
      <c r="K417" s="4"/>
      <c r="L417" s="9">
        <v>2001</v>
      </c>
      <c r="N417" s="30" t="s">
        <v>798</v>
      </c>
      <c r="O417" s="13" t="s">
        <v>42</v>
      </c>
      <c r="P417" s="13">
        <f t="shared" si="15"/>
        <v>17</v>
      </c>
      <c r="Q417" s="15">
        <f t="shared" si="16"/>
        <v>13.882352941176471</v>
      </c>
      <c r="R417" s="13" t="s">
        <v>1706</v>
      </c>
      <c r="S417" s="13"/>
      <c r="T417" s="13" t="s">
        <v>1707</v>
      </c>
      <c r="U417" s="13" t="s">
        <v>1708</v>
      </c>
      <c r="V417" s="13" t="s">
        <v>4090</v>
      </c>
      <c r="W417" s="13"/>
      <c r="X417" s="13" t="s">
        <v>4494</v>
      </c>
      <c r="Y417" s="13" t="s">
        <v>3980</v>
      </c>
      <c r="Z417" s="13" t="s">
        <v>3980</v>
      </c>
      <c r="AC417" s="18"/>
    </row>
    <row r="418" spans="1:29" x14ac:dyDescent="0.25">
      <c r="A418" s="18" t="s">
        <v>2943</v>
      </c>
      <c r="B418" s="30">
        <v>2017</v>
      </c>
      <c r="C418" s="8">
        <v>90</v>
      </c>
      <c r="D418" s="14">
        <v>0.24199999999999999</v>
      </c>
      <c r="E418" s="14">
        <v>0.46300000000000002</v>
      </c>
      <c r="F418" s="8">
        <v>5</v>
      </c>
      <c r="G418" s="14">
        <v>0.27400000000000002</v>
      </c>
      <c r="H418" s="18" t="s">
        <v>3577</v>
      </c>
      <c r="I418" s="26" t="s">
        <v>161</v>
      </c>
      <c r="J418" s="18" t="s">
        <v>105</v>
      </c>
      <c r="L418" s="9">
        <f>B418</f>
        <v>2017</v>
      </c>
      <c r="N418" s="28" t="s">
        <v>337</v>
      </c>
      <c r="O418" s="13" t="s">
        <v>42</v>
      </c>
      <c r="P418" s="13">
        <f t="shared" si="15"/>
        <v>1</v>
      </c>
      <c r="Q418" s="15">
        <f t="shared" si="16"/>
        <v>90</v>
      </c>
      <c r="R418" s="18" t="s">
        <v>982</v>
      </c>
      <c r="T418" s="18" t="s">
        <v>3730</v>
      </c>
      <c r="V418" s="18" t="s">
        <v>3980</v>
      </c>
      <c r="X418" s="18" t="s">
        <v>3980</v>
      </c>
      <c r="Y418" s="18" t="s">
        <v>3980</v>
      </c>
      <c r="Z418" s="18" t="s">
        <v>3980</v>
      </c>
      <c r="AC418" s="18"/>
    </row>
    <row r="419" spans="1:29" x14ac:dyDescent="0.25">
      <c r="A419" s="18" t="s">
        <v>1709</v>
      </c>
      <c r="B419" s="30">
        <v>1995</v>
      </c>
      <c r="C419" s="13">
        <v>195</v>
      </c>
      <c r="D419" s="14">
        <v>0.376</v>
      </c>
      <c r="E419" s="14">
        <v>0.36899999999999999</v>
      </c>
      <c r="F419" s="13">
        <v>4</v>
      </c>
      <c r="G419" s="14">
        <v>0.19600000000000001</v>
      </c>
      <c r="I419" s="26" t="s">
        <v>161</v>
      </c>
      <c r="J419" s="18" t="s">
        <v>54</v>
      </c>
      <c r="L419" s="9">
        <v>1995</v>
      </c>
      <c r="N419" s="30" t="s">
        <v>220</v>
      </c>
      <c r="O419" s="13" t="s">
        <v>28</v>
      </c>
      <c r="P419" s="13">
        <f t="shared" si="15"/>
        <v>23</v>
      </c>
      <c r="Q419" s="15">
        <f t="shared" si="16"/>
        <v>8.4782608695652169</v>
      </c>
      <c r="R419" s="13" t="s">
        <v>1710</v>
      </c>
      <c r="S419" s="13"/>
      <c r="T419" s="13" t="s">
        <v>869</v>
      </c>
      <c r="U419" s="13" t="s">
        <v>1711</v>
      </c>
      <c r="V419" s="13" t="s">
        <v>3980</v>
      </c>
      <c r="W419" s="13"/>
      <c r="X419" s="13" t="s">
        <v>4495</v>
      </c>
      <c r="Y419" s="13" t="s">
        <v>3980</v>
      </c>
      <c r="Z419" s="13" t="s">
        <v>3980</v>
      </c>
      <c r="AC419" s="18"/>
    </row>
    <row r="420" spans="1:29" x14ac:dyDescent="0.25">
      <c r="A420" s="18" t="s">
        <v>1014</v>
      </c>
      <c r="B420" s="30">
        <v>2004</v>
      </c>
      <c r="C420" s="13">
        <v>88</v>
      </c>
      <c r="D420" s="14">
        <v>0.24</v>
      </c>
      <c r="E420" s="14">
        <v>0.123</v>
      </c>
      <c r="F420" s="13">
        <v>5</v>
      </c>
      <c r="G420" s="14">
        <v>0.27400000000000002</v>
      </c>
      <c r="H420" s="18" t="s">
        <v>3404</v>
      </c>
      <c r="I420" s="26" t="s">
        <v>161</v>
      </c>
      <c r="J420" s="18" t="s">
        <v>26</v>
      </c>
      <c r="K420" s="4"/>
      <c r="L420" s="9">
        <v>2004</v>
      </c>
      <c r="N420" s="30" t="s">
        <v>83</v>
      </c>
      <c r="O420" s="13" t="s">
        <v>42</v>
      </c>
      <c r="P420" s="13">
        <f t="shared" si="15"/>
        <v>14</v>
      </c>
      <c r="Q420" s="15">
        <f t="shared" si="16"/>
        <v>6.2857142857142856</v>
      </c>
      <c r="R420" s="13" t="s">
        <v>1015</v>
      </c>
      <c r="S420" s="13"/>
      <c r="T420" s="13" t="s">
        <v>1016</v>
      </c>
      <c r="U420" s="13" t="s">
        <v>1017</v>
      </c>
      <c r="V420" s="13" t="s">
        <v>3980</v>
      </c>
      <c r="W420" s="13"/>
      <c r="X420" s="13" t="s">
        <v>4496</v>
      </c>
      <c r="Y420" s="13" t="s">
        <v>3980</v>
      </c>
      <c r="Z420" s="13" t="s">
        <v>3980</v>
      </c>
      <c r="AC420" s="18"/>
    </row>
    <row r="421" spans="1:29" x14ac:dyDescent="0.25">
      <c r="A421" s="18" t="s">
        <v>167</v>
      </c>
      <c r="B421" s="30">
        <v>2004</v>
      </c>
      <c r="C421" s="13">
        <v>3158</v>
      </c>
      <c r="D421" s="14">
        <v>0.9</v>
      </c>
      <c r="E421" s="14">
        <v>0.77400000000000002</v>
      </c>
      <c r="F421" s="13">
        <v>20</v>
      </c>
      <c r="G421" s="14">
        <v>0.82599999999999996</v>
      </c>
      <c r="H421" s="18" t="s">
        <v>3186</v>
      </c>
      <c r="I421" s="26" t="s">
        <v>161</v>
      </c>
      <c r="J421" s="18" t="s">
        <v>26</v>
      </c>
      <c r="L421" s="9">
        <v>2004</v>
      </c>
      <c r="N421" s="30" t="s">
        <v>168</v>
      </c>
      <c r="O421" s="13" t="s">
        <v>42</v>
      </c>
      <c r="P421" s="13">
        <f t="shared" si="15"/>
        <v>14</v>
      </c>
      <c r="Q421" s="15">
        <f t="shared" si="16"/>
        <v>225.57142857142858</v>
      </c>
      <c r="R421" s="13" t="s">
        <v>169</v>
      </c>
      <c r="S421" s="13"/>
      <c r="T421" s="13" t="s">
        <v>170</v>
      </c>
      <c r="U421" s="13" t="s">
        <v>171</v>
      </c>
      <c r="V421" s="13" t="s">
        <v>4091</v>
      </c>
      <c r="W421" s="13"/>
      <c r="X421" s="13" t="s">
        <v>4497</v>
      </c>
      <c r="Y421" s="13" t="s">
        <v>3980</v>
      </c>
      <c r="Z421" s="13" t="s">
        <v>3980</v>
      </c>
      <c r="AC421" s="18"/>
    </row>
    <row r="422" spans="1:29" x14ac:dyDescent="0.25">
      <c r="A422" s="18" t="s">
        <v>626</v>
      </c>
      <c r="B422" s="30">
        <v>2002</v>
      </c>
      <c r="C422" s="13">
        <v>685</v>
      </c>
      <c r="D422" s="14">
        <v>0.628</v>
      </c>
      <c r="E422" s="14">
        <v>0.35699999999999998</v>
      </c>
      <c r="F422" s="13">
        <v>14</v>
      </c>
      <c r="G422" s="14">
        <v>0.67900000000000005</v>
      </c>
      <c r="H422" s="18" t="s">
        <v>3296</v>
      </c>
      <c r="I422" s="18" t="s">
        <v>161</v>
      </c>
      <c r="J422" s="18" t="s">
        <v>26</v>
      </c>
      <c r="L422" s="9">
        <v>2002</v>
      </c>
      <c r="N422" s="30" t="s">
        <v>161</v>
      </c>
      <c r="O422" s="13" t="s">
        <v>28</v>
      </c>
      <c r="P422" s="13">
        <f t="shared" si="15"/>
        <v>16</v>
      </c>
      <c r="Q422" s="15">
        <f t="shared" si="16"/>
        <v>42.8125</v>
      </c>
      <c r="R422" s="13" t="s">
        <v>627</v>
      </c>
      <c r="S422" s="13"/>
      <c r="T422" s="13" t="s">
        <v>628</v>
      </c>
      <c r="U422" s="13" t="s">
        <v>629</v>
      </c>
      <c r="V422" s="13" t="s">
        <v>4092</v>
      </c>
      <c r="W422" s="13"/>
      <c r="X422" s="13" t="s">
        <v>4498</v>
      </c>
      <c r="Y422" s="13" t="s">
        <v>3980</v>
      </c>
      <c r="Z422" s="13" t="s">
        <v>3980</v>
      </c>
      <c r="AC422" s="18"/>
    </row>
    <row r="423" spans="1:29" x14ac:dyDescent="0.25">
      <c r="A423" s="18" t="s">
        <v>833</v>
      </c>
      <c r="B423" s="30">
        <v>2014</v>
      </c>
      <c r="C423" s="13">
        <v>2</v>
      </c>
      <c r="D423" s="14">
        <v>2.3E-2</v>
      </c>
      <c r="E423" s="14">
        <v>4.9000000000000002E-2</v>
      </c>
      <c r="F423" s="13">
        <v>1</v>
      </c>
      <c r="G423" s="14">
        <v>0</v>
      </c>
      <c r="H423" s="18" t="s">
        <v>3348</v>
      </c>
      <c r="I423" s="26" t="s">
        <v>161</v>
      </c>
      <c r="J423" s="18" t="s">
        <v>105</v>
      </c>
      <c r="L423" s="9">
        <v>2014</v>
      </c>
      <c r="N423" s="30" t="s">
        <v>1379</v>
      </c>
      <c r="O423" s="13" t="s">
        <v>28</v>
      </c>
      <c r="P423" s="13">
        <f t="shared" si="15"/>
        <v>4</v>
      </c>
      <c r="Q423" s="15">
        <f t="shared" si="16"/>
        <v>0.5</v>
      </c>
      <c r="R423" s="13" t="s">
        <v>571</v>
      </c>
      <c r="S423" s="13"/>
      <c r="T423" s="13" t="s">
        <v>834</v>
      </c>
      <c r="U423" s="13"/>
      <c r="V423" s="13" t="s">
        <v>3980</v>
      </c>
      <c r="W423" s="13"/>
      <c r="X423" s="13" t="s">
        <v>3980</v>
      </c>
      <c r="Y423" s="13" t="s">
        <v>3980</v>
      </c>
      <c r="Z423" s="13" t="s">
        <v>3980</v>
      </c>
      <c r="AC423" s="18"/>
    </row>
    <row r="424" spans="1:29" x14ac:dyDescent="0.25">
      <c r="A424" s="18" t="s">
        <v>1159</v>
      </c>
      <c r="B424" s="30">
        <v>1987</v>
      </c>
      <c r="C424" s="13">
        <v>476</v>
      </c>
      <c r="D424" s="14">
        <v>0.54600000000000004</v>
      </c>
      <c r="E424" s="14">
        <v>0.29799999999999999</v>
      </c>
      <c r="F424" s="13">
        <v>8</v>
      </c>
      <c r="G424" s="14">
        <v>0.434</v>
      </c>
      <c r="H424" s="18" t="s">
        <v>3446</v>
      </c>
      <c r="I424" s="26" t="s">
        <v>161</v>
      </c>
      <c r="J424" s="18" t="s">
        <v>26</v>
      </c>
      <c r="L424" s="9">
        <v>1987</v>
      </c>
      <c r="N424" s="30" t="s">
        <v>157</v>
      </c>
      <c r="O424" s="13" t="s">
        <v>28</v>
      </c>
      <c r="P424" s="13">
        <f t="shared" si="15"/>
        <v>31</v>
      </c>
      <c r="Q424" s="15">
        <f t="shared" si="16"/>
        <v>15.35483870967742</v>
      </c>
      <c r="R424" s="13" t="s">
        <v>1160</v>
      </c>
      <c r="S424" s="13"/>
      <c r="T424" s="13" t="s">
        <v>1161</v>
      </c>
      <c r="U424" s="13" t="s">
        <v>1162</v>
      </c>
      <c r="V424" s="13" t="s">
        <v>4093</v>
      </c>
      <c r="W424" s="13"/>
      <c r="X424" s="13" t="s">
        <v>4499</v>
      </c>
      <c r="Y424" s="13" t="s">
        <v>3980</v>
      </c>
      <c r="Z424" s="13" t="s">
        <v>3980</v>
      </c>
      <c r="AC424" s="18"/>
    </row>
    <row r="425" spans="1:29" x14ac:dyDescent="0.25">
      <c r="A425" s="18" t="s">
        <v>4915</v>
      </c>
      <c r="B425" s="30">
        <v>2010</v>
      </c>
      <c r="C425" s="13">
        <v>114</v>
      </c>
      <c r="D425" s="14">
        <v>0.28399999999999997</v>
      </c>
      <c r="E425" s="14">
        <v>0.25700000000000001</v>
      </c>
      <c r="F425" s="13">
        <v>7</v>
      </c>
      <c r="G425" s="14">
        <v>0.39300000000000002</v>
      </c>
      <c r="H425" s="18" t="s">
        <v>3457</v>
      </c>
      <c r="I425" s="26" t="s">
        <v>161</v>
      </c>
      <c r="J425" s="18" t="s">
        <v>54</v>
      </c>
      <c r="L425" s="9">
        <f>B425</f>
        <v>2010</v>
      </c>
      <c r="N425" s="30" t="s">
        <v>304</v>
      </c>
      <c r="O425" s="13" t="s">
        <v>28</v>
      </c>
      <c r="P425" s="13">
        <f t="shared" si="15"/>
        <v>8</v>
      </c>
      <c r="Q425" s="15">
        <f t="shared" si="16"/>
        <v>14.25</v>
      </c>
      <c r="R425" s="13" t="s">
        <v>1203</v>
      </c>
      <c r="S425" s="13" t="s">
        <v>680</v>
      </c>
      <c r="T425" s="13" t="s">
        <v>233</v>
      </c>
      <c r="U425" s="13"/>
      <c r="V425" s="13" t="s">
        <v>3980</v>
      </c>
      <c r="W425" s="13"/>
      <c r="X425" s="13" t="s">
        <v>3980</v>
      </c>
      <c r="Y425" s="13" t="s">
        <v>3980</v>
      </c>
      <c r="Z425" s="13" t="s">
        <v>3980</v>
      </c>
      <c r="AC425" s="18"/>
    </row>
    <row r="426" spans="1:29" x14ac:dyDescent="0.25">
      <c r="A426" s="18" t="s">
        <v>5128</v>
      </c>
      <c r="B426" s="30">
        <v>1986</v>
      </c>
      <c r="C426" s="13">
        <v>4010</v>
      </c>
      <c r="D426" s="14">
        <v>0.92700000000000005</v>
      </c>
      <c r="E426" s="14">
        <v>0.83099999999999996</v>
      </c>
      <c r="F426" s="13">
        <v>31</v>
      </c>
      <c r="G426" s="14">
        <v>0.94</v>
      </c>
      <c r="H426" s="18" t="s">
        <v>3185</v>
      </c>
      <c r="I426" s="26" t="s">
        <v>161</v>
      </c>
      <c r="J426" s="18" t="s">
        <v>26</v>
      </c>
      <c r="L426" s="9">
        <v>1986</v>
      </c>
      <c r="N426" s="30" t="s">
        <v>162</v>
      </c>
      <c r="O426" s="13" t="s">
        <v>28</v>
      </c>
      <c r="P426" s="13">
        <f t="shared" si="15"/>
        <v>32</v>
      </c>
      <c r="Q426" s="15">
        <f t="shared" si="16"/>
        <v>125.3125</v>
      </c>
      <c r="R426" s="13" t="s">
        <v>163</v>
      </c>
      <c r="S426" s="13" t="s">
        <v>164</v>
      </c>
      <c r="T426" s="13" t="s">
        <v>165</v>
      </c>
      <c r="U426" s="13" t="s">
        <v>166</v>
      </c>
      <c r="V426" s="13" t="s">
        <v>4094</v>
      </c>
      <c r="W426" s="13"/>
      <c r="X426" s="13" t="s">
        <v>3980</v>
      </c>
      <c r="Y426" s="13" t="s">
        <v>3980</v>
      </c>
      <c r="Z426" s="13" t="s">
        <v>3980</v>
      </c>
      <c r="AC426" s="18"/>
    </row>
    <row r="427" spans="1:29" x14ac:dyDescent="0.25">
      <c r="A427" s="18" t="s">
        <v>1519</v>
      </c>
      <c r="B427" s="30">
        <v>2016</v>
      </c>
      <c r="C427" s="8">
        <v>38</v>
      </c>
      <c r="D427" s="14">
        <v>0.14799999999999999</v>
      </c>
      <c r="E427" s="14">
        <v>0.29799999999999999</v>
      </c>
      <c r="F427" s="8">
        <v>2</v>
      </c>
      <c r="G427" s="14">
        <v>7.0999999999999994E-2</v>
      </c>
      <c r="H427" s="18" t="s">
        <v>3548</v>
      </c>
      <c r="I427" s="26" t="s">
        <v>161</v>
      </c>
      <c r="J427" s="18" t="s">
        <v>105</v>
      </c>
      <c r="L427" s="9">
        <f>B427</f>
        <v>2016</v>
      </c>
      <c r="N427" s="28" t="s">
        <v>161</v>
      </c>
      <c r="O427" s="13" t="s">
        <v>42</v>
      </c>
      <c r="P427" s="13">
        <f t="shared" si="15"/>
        <v>2</v>
      </c>
      <c r="Q427" s="15">
        <f t="shared" si="16"/>
        <v>19</v>
      </c>
      <c r="R427" s="18" t="s">
        <v>761</v>
      </c>
      <c r="T427" s="18" t="s">
        <v>3716</v>
      </c>
      <c r="V427" s="18" t="s">
        <v>3980</v>
      </c>
      <c r="X427" s="18" t="s">
        <v>3980</v>
      </c>
      <c r="Y427" s="18" t="s">
        <v>3980</v>
      </c>
      <c r="Z427" s="18" t="s">
        <v>3980</v>
      </c>
      <c r="AC427" s="18"/>
    </row>
    <row r="428" spans="1:29" x14ac:dyDescent="0.25">
      <c r="A428" s="18" t="s">
        <v>4971</v>
      </c>
      <c r="B428" s="30">
        <v>1974</v>
      </c>
      <c r="C428" s="13">
        <v>582</v>
      </c>
      <c r="D428" s="14">
        <v>0.59399999999999997</v>
      </c>
      <c r="E428" s="14">
        <v>0.33</v>
      </c>
      <c r="F428" s="13">
        <v>10</v>
      </c>
      <c r="G428" s="14">
        <v>0.52200000000000002</v>
      </c>
      <c r="I428" s="26" t="s">
        <v>161</v>
      </c>
      <c r="J428" s="18" t="s">
        <v>26</v>
      </c>
      <c r="L428" s="9">
        <f>B428</f>
        <v>1974</v>
      </c>
      <c r="N428" s="30" t="s">
        <v>3130</v>
      </c>
      <c r="O428" s="13" t="s">
        <v>28</v>
      </c>
      <c r="P428" s="13">
        <f t="shared" si="15"/>
        <v>44</v>
      </c>
      <c r="Q428" s="15">
        <f t="shared" si="16"/>
        <v>13.227272727272727</v>
      </c>
      <c r="R428" s="13" t="s">
        <v>2210</v>
      </c>
      <c r="S428" s="13" t="s">
        <v>859</v>
      </c>
      <c r="T428" s="13" t="s">
        <v>2211</v>
      </c>
      <c r="U428" s="13"/>
      <c r="V428" s="13" t="s">
        <v>3980</v>
      </c>
      <c r="W428" s="13"/>
      <c r="X428" s="13" t="s">
        <v>3980</v>
      </c>
      <c r="Y428" s="13" t="s">
        <v>3980</v>
      </c>
      <c r="Z428" s="13" t="s">
        <v>3980</v>
      </c>
      <c r="AC428" s="18"/>
    </row>
    <row r="429" spans="1:29" x14ac:dyDescent="0.25">
      <c r="A429" s="18" t="s">
        <v>4921</v>
      </c>
      <c r="B429" s="30">
        <v>1983</v>
      </c>
      <c r="C429" s="13">
        <v>947</v>
      </c>
      <c r="D429" s="14">
        <v>0.69199999999999995</v>
      </c>
      <c r="E429" s="14">
        <v>0.437</v>
      </c>
      <c r="F429" s="13">
        <v>17</v>
      </c>
      <c r="G429" s="14">
        <v>0.76400000000000001</v>
      </c>
      <c r="H429" s="18" t="s">
        <v>3323</v>
      </c>
      <c r="I429" s="26" t="s">
        <v>161</v>
      </c>
      <c r="J429" s="18" t="s">
        <v>26</v>
      </c>
      <c r="L429" s="9">
        <v>1983</v>
      </c>
      <c r="N429" s="30" t="s">
        <v>728</v>
      </c>
      <c r="O429" s="13" t="s">
        <v>28</v>
      </c>
      <c r="P429" s="13">
        <f t="shared" si="15"/>
        <v>35</v>
      </c>
      <c r="Q429" s="15">
        <f t="shared" si="16"/>
        <v>27.057142857142857</v>
      </c>
      <c r="R429" s="13" t="s">
        <v>729</v>
      </c>
      <c r="S429" s="13" t="s">
        <v>730</v>
      </c>
      <c r="T429" s="13" t="s">
        <v>731</v>
      </c>
      <c r="U429" s="13" t="s">
        <v>732</v>
      </c>
      <c r="V429" s="13" t="s">
        <v>4095</v>
      </c>
      <c r="W429" s="13"/>
      <c r="X429" s="13" t="s">
        <v>4500</v>
      </c>
      <c r="Y429" s="13" t="s">
        <v>3980</v>
      </c>
      <c r="Z429" s="13" t="s">
        <v>3980</v>
      </c>
      <c r="AC429" s="18"/>
    </row>
    <row r="430" spans="1:29" x14ac:dyDescent="0.25">
      <c r="A430" s="18" t="s">
        <v>5098</v>
      </c>
      <c r="B430" s="30">
        <v>2004</v>
      </c>
      <c r="C430" s="13">
        <v>1226</v>
      </c>
      <c r="D430" s="14">
        <v>0.74299999999999999</v>
      </c>
      <c r="E430" s="14">
        <v>0.503</v>
      </c>
      <c r="F430" s="13">
        <v>15</v>
      </c>
      <c r="G430" s="14">
        <v>0.71</v>
      </c>
      <c r="H430" s="18" t="s">
        <v>3422</v>
      </c>
      <c r="I430" s="18" t="s">
        <v>161</v>
      </c>
      <c r="J430" s="18" t="s">
        <v>26</v>
      </c>
      <c r="L430" s="9">
        <v>2004</v>
      </c>
      <c r="N430" s="30" t="s">
        <v>94</v>
      </c>
      <c r="O430" s="13" t="s">
        <v>42</v>
      </c>
      <c r="P430" s="13">
        <f t="shared" si="15"/>
        <v>14</v>
      </c>
      <c r="Q430" s="15">
        <f t="shared" si="16"/>
        <v>87.571428571428569</v>
      </c>
      <c r="R430" s="13" t="s">
        <v>1079</v>
      </c>
      <c r="S430" s="13" t="s">
        <v>735</v>
      </c>
      <c r="T430" s="13" t="s">
        <v>1080</v>
      </c>
      <c r="U430" s="13" t="s">
        <v>1081</v>
      </c>
      <c r="V430" s="13" t="s">
        <v>4096</v>
      </c>
      <c r="W430" s="13"/>
      <c r="X430" s="13" t="s">
        <v>4501</v>
      </c>
      <c r="Y430" s="13" t="s">
        <v>3980</v>
      </c>
      <c r="Z430" s="13" t="s">
        <v>3980</v>
      </c>
      <c r="AC430" s="18"/>
    </row>
    <row r="431" spans="1:29" x14ac:dyDescent="0.25">
      <c r="A431" s="18" t="s">
        <v>2772</v>
      </c>
      <c r="B431" s="30">
        <v>1976</v>
      </c>
      <c r="C431" s="8">
        <v>13989</v>
      </c>
      <c r="D431" s="14">
        <v>0.99</v>
      </c>
      <c r="E431" s="14">
        <v>0.97699999999999998</v>
      </c>
      <c r="F431" s="8">
        <v>46</v>
      </c>
      <c r="G431" s="14">
        <v>0.98799999999999999</v>
      </c>
      <c r="H431" s="18" t="s">
        <v>3603</v>
      </c>
      <c r="I431" s="26" t="s">
        <v>25</v>
      </c>
      <c r="J431" s="18" t="s">
        <v>26</v>
      </c>
      <c r="L431" s="9">
        <f>B431</f>
        <v>1976</v>
      </c>
      <c r="N431" s="28" t="s">
        <v>369</v>
      </c>
      <c r="O431" s="13" t="s">
        <v>28</v>
      </c>
      <c r="P431" s="13">
        <f t="shared" si="15"/>
        <v>42</v>
      </c>
      <c r="Q431" s="15">
        <f t="shared" si="16"/>
        <v>333.07142857142856</v>
      </c>
      <c r="R431" s="18" t="s">
        <v>177</v>
      </c>
      <c r="T431" s="18" t="s">
        <v>3832</v>
      </c>
      <c r="V431" s="18" t="s">
        <v>3980</v>
      </c>
      <c r="X431" s="18" t="s">
        <v>3980</v>
      </c>
      <c r="Y431" s="18" t="s">
        <v>3980</v>
      </c>
      <c r="Z431" s="18" t="s">
        <v>3980</v>
      </c>
      <c r="AC431" s="18"/>
    </row>
    <row r="432" spans="1:29" x14ac:dyDescent="0.25">
      <c r="A432" s="18" t="s">
        <v>3640</v>
      </c>
      <c r="B432" s="30">
        <v>2011</v>
      </c>
      <c r="C432" s="13">
        <v>262</v>
      </c>
      <c r="D432" s="14">
        <v>0.42199999999999999</v>
      </c>
      <c r="E432" s="14">
        <v>0.72899999999999998</v>
      </c>
      <c r="F432" s="13">
        <v>4</v>
      </c>
      <c r="G432" s="14">
        <v>0.19600000000000001</v>
      </c>
      <c r="H432" s="18" t="s">
        <v>3641</v>
      </c>
      <c r="I432" s="26" t="s">
        <v>25</v>
      </c>
      <c r="J432" s="4" t="s">
        <v>105</v>
      </c>
      <c r="L432" s="9">
        <f>B432</f>
        <v>2011</v>
      </c>
      <c r="N432" s="30" t="s">
        <v>98</v>
      </c>
      <c r="O432" s="13" t="s">
        <v>28</v>
      </c>
      <c r="P432" s="13">
        <f t="shared" si="15"/>
        <v>7</v>
      </c>
      <c r="Q432" s="15">
        <f t="shared" si="16"/>
        <v>37.428571428571431</v>
      </c>
      <c r="R432" s="13" t="s">
        <v>1664</v>
      </c>
      <c r="S432" s="13"/>
      <c r="T432" s="13" t="s">
        <v>1665</v>
      </c>
      <c r="U432" s="13"/>
      <c r="V432" s="13" t="s">
        <v>3980</v>
      </c>
      <c r="W432" s="13"/>
      <c r="X432" s="13" t="s">
        <v>3980</v>
      </c>
      <c r="Y432" s="13" t="s">
        <v>3980</v>
      </c>
      <c r="Z432" s="13" t="s">
        <v>3980</v>
      </c>
      <c r="AC432" s="18"/>
    </row>
    <row r="433" spans="1:29" x14ac:dyDescent="0.25">
      <c r="A433" s="18" t="s">
        <v>2635</v>
      </c>
      <c r="B433" s="30">
        <v>1994</v>
      </c>
      <c r="C433" s="13">
        <v>265</v>
      </c>
      <c r="D433" s="14">
        <v>0.42399999999999999</v>
      </c>
      <c r="E433" s="14">
        <v>0.218</v>
      </c>
      <c r="F433" s="13">
        <v>8</v>
      </c>
      <c r="G433" s="14">
        <v>0.434</v>
      </c>
      <c r="I433" s="26" t="s">
        <v>25</v>
      </c>
      <c r="J433" s="18" t="s">
        <v>26</v>
      </c>
      <c r="L433" s="9">
        <v>1994</v>
      </c>
      <c r="N433" s="30" t="s">
        <v>140</v>
      </c>
      <c r="O433" s="13" t="s">
        <v>28</v>
      </c>
      <c r="P433" s="13">
        <f t="shared" si="15"/>
        <v>24</v>
      </c>
      <c r="Q433" s="15">
        <f t="shared" si="16"/>
        <v>11.041666666666666</v>
      </c>
      <c r="R433" s="13" t="s">
        <v>2636</v>
      </c>
      <c r="S433" s="13"/>
      <c r="T433" s="13" t="s">
        <v>2637</v>
      </c>
      <c r="U433" s="13" t="s">
        <v>2638</v>
      </c>
      <c r="V433" s="13" t="s">
        <v>3980</v>
      </c>
      <c r="W433" s="13"/>
      <c r="X433" s="13" t="s">
        <v>3980</v>
      </c>
      <c r="Y433" s="13" t="s">
        <v>3980</v>
      </c>
      <c r="Z433" s="13" t="s">
        <v>3980</v>
      </c>
      <c r="AC433" s="18"/>
    </row>
    <row r="434" spans="1:29" x14ac:dyDescent="0.25">
      <c r="A434" s="18" t="s">
        <v>4923</v>
      </c>
      <c r="B434" s="30">
        <v>1996</v>
      </c>
      <c r="C434" s="13">
        <v>2078</v>
      </c>
      <c r="D434" s="14">
        <v>0.84199999999999997</v>
      </c>
      <c r="E434" s="14">
        <v>0.65800000000000003</v>
      </c>
      <c r="F434" s="13">
        <v>16</v>
      </c>
      <c r="G434" s="14">
        <v>0.74099999999999999</v>
      </c>
      <c r="H434" s="18" t="s">
        <v>3162</v>
      </c>
      <c r="I434" s="26" t="s">
        <v>25</v>
      </c>
      <c r="J434" s="4" t="s">
        <v>26</v>
      </c>
      <c r="L434" s="9">
        <v>1996</v>
      </c>
      <c r="N434" s="30" t="s">
        <v>27</v>
      </c>
      <c r="O434" s="13" t="s">
        <v>28</v>
      </c>
      <c r="P434" s="13">
        <f t="shared" si="15"/>
        <v>22</v>
      </c>
      <c r="Q434" s="15">
        <f t="shared" si="16"/>
        <v>94.454545454545453</v>
      </c>
      <c r="R434" s="13" t="s">
        <v>29</v>
      </c>
      <c r="S434" s="13" t="s">
        <v>30</v>
      </c>
      <c r="T434" s="13" t="s">
        <v>31</v>
      </c>
      <c r="U434" s="13" t="s">
        <v>32</v>
      </c>
      <c r="V434" s="13" t="s">
        <v>4097</v>
      </c>
      <c r="W434" s="13"/>
      <c r="X434" s="13" t="s">
        <v>4502</v>
      </c>
      <c r="Y434" s="13" t="s">
        <v>3980</v>
      </c>
      <c r="Z434" s="13" t="s">
        <v>3980</v>
      </c>
      <c r="AC434" s="18"/>
    </row>
    <row r="435" spans="1:29" x14ac:dyDescent="0.25">
      <c r="A435" s="18" t="s">
        <v>345</v>
      </c>
      <c r="B435" s="30">
        <v>2010</v>
      </c>
      <c r="C435" s="13">
        <v>138</v>
      </c>
      <c r="D435" s="14">
        <v>0.32300000000000001</v>
      </c>
      <c r="E435" s="14">
        <v>0.309</v>
      </c>
      <c r="F435" s="13">
        <v>7</v>
      </c>
      <c r="G435" s="14">
        <v>0.39300000000000002</v>
      </c>
      <c r="H435" s="18" t="s">
        <v>3227</v>
      </c>
      <c r="I435" s="26" t="s">
        <v>25</v>
      </c>
      <c r="J435" s="4" t="s">
        <v>54</v>
      </c>
      <c r="K435" s="4"/>
      <c r="L435" s="9">
        <v>2010</v>
      </c>
      <c r="N435" s="30" t="s">
        <v>67</v>
      </c>
      <c r="O435" s="13" t="s">
        <v>28</v>
      </c>
      <c r="P435" s="13">
        <f t="shared" si="15"/>
        <v>8</v>
      </c>
      <c r="Q435" s="15">
        <f t="shared" si="16"/>
        <v>17.25</v>
      </c>
      <c r="R435" s="13" t="s">
        <v>346</v>
      </c>
      <c r="S435" s="13"/>
      <c r="T435" s="13" t="s">
        <v>347</v>
      </c>
      <c r="U435" s="13" t="s">
        <v>348</v>
      </c>
      <c r="V435" s="13" t="s">
        <v>3980</v>
      </c>
      <c r="W435" s="13"/>
      <c r="X435" s="13" t="s">
        <v>4503</v>
      </c>
      <c r="Y435" s="13" t="s">
        <v>3980</v>
      </c>
      <c r="Z435" s="13" t="s">
        <v>3980</v>
      </c>
      <c r="AC435" s="18"/>
    </row>
    <row r="436" spans="1:29" x14ac:dyDescent="0.25">
      <c r="A436" s="18" t="s">
        <v>308</v>
      </c>
      <c r="B436" s="30">
        <v>2004</v>
      </c>
      <c r="C436" s="13">
        <v>176</v>
      </c>
      <c r="D436" s="14">
        <v>0.36399999999999999</v>
      </c>
      <c r="E436" s="14">
        <v>0.35499999999999998</v>
      </c>
      <c r="F436" s="13">
        <v>5</v>
      </c>
      <c r="G436" s="14">
        <v>0.27400000000000002</v>
      </c>
      <c r="H436" s="18" t="s">
        <v>3219</v>
      </c>
      <c r="I436" s="26" t="s">
        <v>25</v>
      </c>
      <c r="J436" s="18" t="s">
        <v>54</v>
      </c>
      <c r="K436" s="4"/>
      <c r="L436" s="9">
        <v>2004</v>
      </c>
      <c r="N436" s="30" t="s">
        <v>135</v>
      </c>
      <c r="O436" s="13" t="s">
        <v>42</v>
      </c>
      <c r="P436" s="13">
        <f t="shared" si="15"/>
        <v>14</v>
      </c>
      <c r="Q436" s="15">
        <f t="shared" si="16"/>
        <v>12.571428571428571</v>
      </c>
      <c r="R436" s="13" t="s">
        <v>309</v>
      </c>
      <c r="S436" s="13"/>
      <c r="T436" s="13" t="s">
        <v>310</v>
      </c>
      <c r="U436" s="13" t="s">
        <v>311</v>
      </c>
      <c r="V436" s="13" t="s">
        <v>3980</v>
      </c>
      <c r="W436" s="13"/>
      <c r="X436" s="13" t="s">
        <v>4504</v>
      </c>
      <c r="Y436" s="13" t="s">
        <v>3980</v>
      </c>
      <c r="Z436" s="13" t="s">
        <v>3980</v>
      </c>
      <c r="AC436" s="18"/>
    </row>
    <row r="437" spans="1:29" x14ac:dyDescent="0.25">
      <c r="A437" s="18" t="s">
        <v>443</v>
      </c>
      <c r="B437" s="30">
        <v>2003</v>
      </c>
      <c r="C437" s="13">
        <v>456</v>
      </c>
      <c r="D437" s="14">
        <v>0.53700000000000003</v>
      </c>
      <c r="E437" s="14">
        <v>0.29099999999999998</v>
      </c>
      <c r="F437" s="13">
        <v>11</v>
      </c>
      <c r="G437" s="14">
        <v>0.56000000000000005</v>
      </c>
      <c r="H437" s="18" t="s">
        <v>3250</v>
      </c>
      <c r="I437" s="26" t="s">
        <v>25</v>
      </c>
      <c r="J437" s="18" t="s">
        <v>26</v>
      </c>
      <c r="L437" s="9">
        <v>2003</v>
      </c>
      <c r="M437" s="11"/>
      <c r="N437" s="30" t="s">
        <v>192</v>
      </c>
      <c r="O437" s="13" t="s">
        <v>28</v>
      </c>
      <c r="P437" s="13">
        <f t="shared" si="15"/>
        <v>15</v>
      </c>
      <c r="Q437" s="15">
        <f t="shared" si="16"/>
        <v>30.4</v>
      </c>
      <c r="R437" s="13" t="s">
        <v>444</v>
      </c>
      <c r="S437" s="13"/>
      <c r="T437" s="13" t="s">
        <v>445</v>
      </c>
      <c r="U437" s="13" t="s">
        <v>446</v>
      </c>
      <c r="V437" s="13" t="s">
        <v>4098</v>
      </c>
      <c r="W437" s="13"/>
      <c r="X437" s="13" t="s">
        <v>4505</v>
      </c>
      <c r="Y437" s="13" t="s">
        <v>3980</v>
      </c>
      <c r="Z437" s="13" t="s">
        <v>3980</v>
      </c>
      <c r="AC437" s="18"/>
    </row>
    <row r="438" spans="1:29" x14ac:dyDescent="0.25">
      <c r="A438" s="18" t="s">
        <v>2344</v>
      </c>
      <c r="B438" s="30">
        <v>1970</v>
      </c>
      <c r="C438" s="13">
        <v>120</v>
      </c>
      <c r="D438" s="14">
        <v>0.29299999999999998</v>
      </c>
      <c r="E438" s="14">
        <v>0.14099999999999999</v>
      </c>
      <c r="F438" s="13">
        <v>6</v>
      </c>
      <c r="G438" s="14">
        <v>0.32200000000000001</v>
      </c>
      <c r="I438" s="26" t="s">
        <v>25</v>
      </c>
      <c r="J438" s="18" t="s">
        <v>26</v>
      </c>
      <c r="L438" s="9">
        <v>1970</v>
      </c>
      <c r="N438" s="30" t="s">
        <v>272</v>
      </c>
      <c r="O438" s="13" t="s">
        <v>42</v>
      </c>
      <c r="P438" s="13">
        <f t="shared" si="15"/>
        <v>48</v>
      </c>
      <c r="Q438" s="15">
        <f t="shared" si="16"/>
        <v>2.5</v>
      </c>
      <c r="R438" s="13" t="s">
        <v>2345</v>
      </c>
      <c r="S438" s="13"/>
      <c r="T438" s="13" t="s">
        <v>2346</v>
      </c>
      <c r="U438" s="13" t="s">
        <v>2347</v>
      </c>
      <c r="V438" s="13" t="s">
        <v>4099</v>
      </c>
      <c r="W438" s="13"/>
      <c r="X438" s="13" t="s">
        <v>4506</v>
      </c>
      <c r="Y438" s="13" t="s">
        <v>3980</v>
      </c>
      <c r="Z438" s="13" t="s">
        <v>3980</v>
      </c>
      <c r="AC438" s="18"/>
    </row>
    <row r="439" spans="1:29" x14ac:dyDescent="0.25">
      <c r="A439" s="18" t="s">
        <v>2872</v>
      </c>
      <c r="B439" s="30">
        <v>2002</v>
      </c>
      <c r="C439" s="13">
        <v>55</v>
      </c>
      <c r="D439" s="14">
        <v>0.186</v>
      </c>
      <c r="E439" s="14">
        <v>0.154</v>
      </c>
      <c r="F439" s="13">
        <v>2</v>
      </c>
      <c r="G439" s="14">
        <v>7.0999999999999994E-2</v>
      </c>
      <c r="I439" s="26" t="s">
        <v>25</v>
      </c>
      <c r="J439" t="s">
        <v>54</v>
      </c>
      <c r="L439" s="9">
        <v>2002</v>
      </c>
      <c r="N439" s="30" t="s">
        <v>161</v>
      </c>
      <c r="O439" s="13" t="s">
        <v>42</v>
      </c>
      <c r="P439" s="13">
        <f t="shared" si="15"/>
        <v>16</v>
      </c>
      <c r="Q439" s="15">
        <f t="shared" si="16"/>
        <v>3.4375</v>
      </c>
      <c r="R439" s="13" t="s">
        <v>2870</v>
      </c>
      <c r="S439" s="13"/>
      <c r="T439" s="13" t="s">
        <v>1502</v>
      </c>
      <c r="U439" s="13" t="s">
        <v>2873</v>
      </c>
      <c r="V439" s="13" t="s">
        <v>3980</v>
      </c>
      <c r="W439" s="13"/>
      <c r="X439" s="13" t="s">
        <v>3980</v>
      </c>
      <c r="Y439" s="13" t="s">
        <v>3980</v>
      </c>
      <c r="Z439" s="13" t="s">
        <v>3980</v>
      </c>
      <c r="AC439" s="18"/>
    </row>
    <row r="440" spans="1:29" x14ac:dyDescent="0.25">
      <c r="A440" s="18" t="s">
        <v>2358</v>
      </c>
      <c r="B440" s="30">
        <v>2003</v>
      </c>
      <c r="C440" s="13">
        <v>371</v>
      </c>
      <c r="D440" s="14">
        <v>0.48499999999999999</v>
      </c>
      <c r="E440" s="14">
        <v>0.51</v>
      </c>
      <c r="F440" s="13">
        <v>7</v>
      </c>
      <c r="G440" s="14">
        <v>0.39300000000000002</v>
      </c>
      <c r="I440" s="26" t="s">
        <v>25</v>
      </c>
      <c r="J440" s="18" t="s">
        <v>54</v>
      </c>
      <c r="L440" s="9">
        <v>2003</v>
      </c>
      <c r="N440" s="30" t="s">
        <v>67</v>
      </c>
      <c r="O440" s="13" t="s">
        <v>42</v>
      </c>
      <c r="P440" s="13">
        <f t="shared" si="15"/>
        <v>15</v>
      </c>
      <c r="Q440" s="15">
        <f t="shared" si="16"/>
        <v>24.733333333333334</v>
      </c>
      <c r="R440" s="13" t="s">
        <v>766</v>
      </c>
      <c r="S440" s="13"/>
      <c r="T440" s="13" t="s">
        <v>2359</v>
      </c>
      <c r="U440" s="13" t="s">
        <v>2360</v>
      </c>
      <c r="V440" s="13" t="s">
        <v>4100</v>
      </c>
      <c r="W440" s="13"/>
      <c r="X440" s="13" t="s">
        <v>4507</v>
      </c>
      <c r="Y440" s="13" t="s">
        <v>3980</v>
      </c>
      <c r="Z440" s="13" t="s">
        <v>3980</v>
      </c>
      <c r="AC440" s="18"/>
    </row>
    <row r="441" spans="1:29" x14ac:dyDescent="0.25">
      <c r="A441" s="28" t="s">
        <v>4833</v>
      </c>
      <c r="B441" s="30">
        <v>1990</v>
      </c>
      <c r="C441" s="13">
        <v>1075</v>
      </c>
      <c r="D441" s="14">
        <v>0.71399999999999997</v>
      </c>
      <c r="E441" s="14">
        <v>0.81899999999999995</v>
      </c>
      <c r="F441" s="13">
        <v>16</v>
      </c>
      <c r="G441" s="14">
        <v>0.74099999999999999</v>
      </c>
      <c r="I441" s="26" t="s">
        <v>66</v>
      </c>
      <c r="J441" s="18" t="s">
        <v>54</v>
      </c>
      <c r="L441" s="9">
        <v>1990</v>
      </c>
      <c r="N441" s="30" t="s">
        <v>220</v>
      </c>
      <c r="O441" s="13" t="s">
        <v>28</v>
      </c>
      <c r="P441" s="13">
        <f t="shared" si="15"/>
        <v>28</v>
      </c>
      <c r="Q441" s="15">
        <f t="shared" si="16"/>
        <v>38.392857142857146</v>
      </c>
      <c r="R441" s="13" t="s">
        <v>848</v>
      </c>
      <c r="S441" s="13" t="s">
        <v>1417</v>
      </c>
      <c r="T441" s="13" t="s">
        <v>1484</v>
      </c>
      <c r="U441" s="13" t="s">
        <v>1485</v>
      </c>
      <c r="V441" s="13" t="s">
        <v>3980</v>
      </c>
      <c r="W441" s="13"/>
      <c r="X441" s="13" t="s">
        <v>3980</v>
      </c>
      <c r="Y441" s="13" t="s">
        <v>3980</v>
      </c>
      <c r="Z441" s="13" t="s">
        <v>3980</v>
      </c>
      <c r="AC441" s="18"/>
    </row>
    <row r="442" spans="1:29" x14ac:dyDescent="0.25">
      <c r="A442" s="18" t="s">
        <v>93</v>
      </c>
      <c r="B442" s="30">
        <v>1999</v>
      </c>
      <c r="C442" s="13">
        <v>1153</v>
      </c>
      <c r="D442" s="14">
        <v>0.72899999999999998</v>
      </c>
      <c r="E442" s="14">
        <v>0.84499999999999997</v>
      </c>
      <c r="F442" s="13">
        <v>18</v>
      </c>
      <c r="G442" s="14">
        <v>0.78700000000000003</v>
      </c>
      <c r="H442" s="18" t="s">
        <v>3173</v>
      </c>
      <c r="I442" s="26" t="s">
        <v>66</v>
      </c>
      <c r="J442" s="18" t="s">
        <v>54</v>
      </c>
      <c r="K442" s="4"/>
      <c r="L442" s="9">
        <v>1999</v>
      </c>
      <c r="N442" s="30" t="s">
        <v>94</v>
      </c>
      <c r="O442" s="13" t="s">
        <v>28</v>
      </c>
      <c r="P442" s="13">
        <f t="shared" si="15"/>
        <v>19</v>
      </c>
      <c r="Q442" s="15">
        <f t="shared" si="16"/>
        <v>60.684210526315788</v>
      </c>
      <c r="R442" s="13" t="s">
        <v>95</v>
      </c>
      <c r="S442" s="13"/>
      <c r="T442" s="13" t="s">
        <v>96</v>
      </c>
      <c r="U442" s="13" t="s">
        <v>97</v>
      </c>
      <c r="V442" s="13" t="s">
        <v>4101</v>
      </c>
      <c r="W442" s="13"/>
      <c r="X442" s="13" t="s">
        <v>4508</v>
      </c>
      <c r="Y442" s="13" t="s">
        <v>3980</v>
      </c>
      <c r="Z442" s="13" t="s">
        <v>3980</v>
      </c>
      <c r="AC442" s="18"/>
    </row>
    <row r="443" spans="1:29" x14ac:dyDescent="0.25">
      <c r="A443" s="18" t="s">
        <v>2230</v>
      </c>
      <c r="B443" s="30">
        <v>2001</v>
      </c>
      <c r="C443" s="13">
        <v>549</v>
      </c>
      <c r="D443" s="14">
        <v>0.57699999999999996</v>
      </c>
      <c r="E443" s="14">
        <v>0.65300000000000002</v>
      </c>
      <c r="F443" s="13">
        <v>11</v>
      </c>
      <c r="G443" s="14">
        <v>0.56000000000000005</v>
      </c>
      <c r="I443" s="26" t="s">
        <v>66</v>
      </c>
      <c r="J443" s="4" t="s">
        <v>54</v>
      </c>
      <c r="L443" s="9">
        <f>B443</f>
        <v>2001</v>
      </c>
      <c r="M443" s="11"/>
      <c r="N443" s="30" t="s">
        <v>3131</v>
      </c>
      <c r="O443" s="13" t="s">
        <v>28</v>
      </c>
      <c r="P443" s="13">
        <f t="shared" si="15"/>
        <v>17</v>
      </c>
      <c r="Q443" s="15">
        <f t="shared" si="16"/>
        <v>32.294117647058826</v>
      </c>
      <c r="R443" s="13" t="s">
        <v>1441</v>
      </c>
      <c r="S443" s="13"/>
      <c r="T443" s="13" t="s">
        <v>2231</v>
      </c>
      <c r="U443" s="13"/>
      <c r="V443" s="13" t="s">
        <v>3980</v>
      </c>
      <c r="W443" s="13"/>
      <c r="X443" s="13" t="s">
        <v>3980</v>
      </c>
      <c r="Y443" s="13" t="s">
        <v>3980</v>
      </c>
      <c r="Z443" s="13" t="s">
        <v>3980</v>
      </c>
      <c r="AC443" s="18"/>
    </row>
    <row r="444" spans="1:29" x14ac:dyDescent="0.25">
      <c r="A444" s="18" t="s">
        <v>4881</v>
      </c>
      <c r="B444" s="30">
        <v>1982</v>
      </c>
      <c r="C444" s="13">
        <v>2359</v>
      </c>
      <c r="D444" s="14">
        <v>0.86399999999999999</v>
      </c>
      <c r="E444" s="14">
        <v>0.70099999999999996</v>
      </c>
      <c r="F444" s="13">
        <v>21</v>
      </c>
      <c r="G444" s="14">
        <v>0.84199999999999997</v>
      </c>
      <c r="H444" s="18" t="s">
        <v>3587</v>
      </c>
      <c r="I444" s="26" t="s">
        <v>66</v>
      </c>
      <c r="J444" s="18" t="s">
        <v>26</v>
      </c>
      <c r="K444" s="4"/>
      <c r="L444" s="9">
        <v>1982</v>
      </c>
      <c r="N444" s="30" t="s">
        <v>1840</v>
      </c>
      <c r="O444" s="13" t="s">
        <v>28</v>
      </c>
      <c r="P444" s="13">
        <f t="shared" si="15"/>
        <v>36</v>
      </c>
      <c r="Q444" s="15">
        <f t="shared" si="16"/>
        <v>65.527777777777771</v>
      </c>
      <c r="R444" s="13" t="s">
        <v>173</v>
      </c>
      <c r="S444" s="13" t="s">
        <v>1636</v>
      </c>
      <c r="T444" s="13" t="s">
        <v>1123</v>
      </c>
      <c r="U444" s="13" t="s">
        <v>1841</v>
      </c>
      <c r="V444" s="13" t="s">
        <v>3980</v>
      </c>
      <c r="W444" s="13"/>
      <c r="X444" s="13" t="s">
        <v>3980</v>
      </c>
      <c r="Y444" s="13" t="s">
        <v>3980</v>
      </c>
      <c r="Z444" s="13" t="s">
        <v>3980</v>
      </c>
      <c r="AC444" s="18"/>
    </row>
    <row r="445" spans="1:29" x14ac:dyDescent="0.25">
      <c r="A445" s="18" t="s">
        <v>242</v>
      </c>
      <c r="B445" s="30">
        <v>2009</v>
      </c>
      <c r="C445" s="13">
        <v>422</v>
      </c>
      <c r="D445" s="14">
        <v>0.52</v>
      </c>
      <c r="E445" s="14">
        <v>0.83499999999999996</v>
      </c>
      <c r="F445" s="13">
        <v>10</v>
      </c>
      <c r="G445" s="14">
        <v>0.52200000000000002</v>
      </c>
      <c r="H445" s="18" t="s">
        <v>3202</v>
      </c>
      <c r="I445" s="26" t="s">
        <v>66</v>
      </c>
      <c r="J445" s="18" t="s">
        <v>105</v>
      </c>
      <c r="L445" s="9">
        <v>2009</v>
      </c>
      <c r="M445" s="11"/>
      <c r="N445" s="30" t="s">
        <v>243</v>
      </c>
      <c r="O445" s="13" t="s">
        <v>28</v>
      </c>
      <c r="P445" s="13">
        <f t="shared" si="15"/>
        <v>9</v>
      </c>
      <c r="Q445" s="15">
        <f t="shared" si="16"/>
        <v>46.888888888888886</v>
      </c>
      <c r="R445" s="13" t="s">
        <v>244</v>
      </c>
      <c r="S445" s="13"/>
      <c r="T445" s="13" t="s">
        <v>245</v>
      </c>
      <c r="U445" s="13" t="s">
        <v>246</v>
      </c>
      <c r="V445" s="13" t="s">
        <v>4102</v>
      </c>
      <c r="W445" s="13"/>
      <c r="X445" s="13" t="s">
        <v>3980</v>
      </c>
      <c r="Y445" s="13" t="s">
        <v>3980</v>
      </c>
      <c r="Z445" s="13" t="s">
        <v>3980</v>
      </c>
      <c r="AC445" s="18"/>
    </row>
    <row r="446" spans="1:29" x14ac:dyDescent="0.25">
      <c r="A446" s="18" t="s">
        <v>65</v>
      </c>
      <c r="B446" s="30">
        <v>1989</v>
      </c>
      <c r="C446" s="13">
        <v>2036</v>
      </c>
      <c r="D446" s="14">
        <v>0.83899999999999997</v>
      </c>
      <c r="E446" s="14">
        <v>0.65300000000000002</v>
      </c>
      <c r="F446" s="13">
        <v>19</v>
      </c>
      <c r="G446" s="14">
        <v>0.81299999999999994</v>
      </c>
      <c r="H446" s="18" t="s">
        <v>3168</v>
      </c>
      <c r="I446" s="26" t="s">
        <v>66</v>
      </c>
      <c r="J446" s="18" t="s">
        <v>26</v>
      </c>
      <c r="K446" s="4"/>
      <c r="L446" s="9">
        <v>1989</v>
      </c>
      <c r="N446" s="30" t="s">
        <v>67</v>
      </c>
      <c r="O446" s="13" t="s">
        <v>28</v>
      </c>
      <c r="P446" s="13">
        <f t="shared" si="15"/>
        <v>29</v>
      </c>
      <c r="Q446" s="15">
        <f t="shared" si="16"/>
        <v>70.206896551724142</v>
      </c>
      <c r="R446" s="13" t="s">
        <v>68</v>
      </c>
      <c r="S446" s="13"/>
      <c r="T446" s="13" t="s">
        <v>69</v>
      </c>
      <c r="U446" s="13" t="s">
        <v>70</v>
      </c>
      <c r="V446" s="13" t="s">
        <v>3980</v>
      </c>
      <c r="W446" s="13"/>
      <c r="X446" s="13" t="s">
        <v>4509</v>
      </c>
      <c r="Y446" s="13" t="s">
        <v>3980</v>
      </c>
      <c r="Z446" s="13" t="s">
        <v>3980</v>
      </c>
      <c r="AC446" s="18"/>
    </row>
    <row r="447" spans="1:29" x14ac:dyDescent="0.25">
      <c r="A447" s="18" t="s">
        <v>2516</v>
      </c>
      <c r="B447" s="30">
        <v>1989</v>
      </c>
      <c r="C447" s="8">
        <v>24</v>
      </c>
      <c r="D447" s="14">
        <v>0.107</v>
      </c>
      <c r="E447" s="14">
        <v>5.3999999999999999E-2</v>
      </c>
      <c r="F447" s="8">
        <v>3</v>
      </c>
      <c r="G447" s="14">
        <v>0.13100000000000001</v>
      </c>
      <c r="I447" s="26" t="s">
        <v>66</v>
      </c>
      <c r="J447" s="18" t="s">
        <v>26</v>
      </c>
      <c r="L447" s="9">
        <f>B447</f>
        <v>1989</v>
      </c>
      <c r="N447" s="28" t="s">
        <v>72</v>
      </c>
      <c r="O447" s="13" t="s">
        <v>42</v>
      </c>
      <c r="P447" s="13">
        <f t="shared" si="15"/>
        <v>29</v>
      </c>
      <c r="Q447" s="15">
        <f t="shared" si="16"/>
        <v>0.82758620689655171</v>
      </c>
      <c r="R447" s="18" t="s">
        <v>3858</v>
      </c>
      <c r="T447" s="18" t="s">
        <v>3859</v>
      </c>
      <c r="V447" s="18" t="s">
        <v>3980</v>
      </c>
      <c r="X447" s="18" t="s">
        <v>3980</v>
      </c>
      <c r="Y447" s="18" t="s">
        <v>3980</v>
      </c>
      <c r="Z447" s="18" t="s">
        <v>3980</v>
      </c>
      <c r="AC447" s="18"/>
    </row>
    <row r="448" spans="1:29" x14ac:dyDescent="0.25">
      <c r="A448" s="18" t="s">
        <v>330</v>
      </c>
      <c r="B448" s="30">
        <v>1996</v>
      </c>
      <c r="C448" s="13">
        <v>10494</v>
      </c>
      <c r="D448" s="14">
        <v>0.98599999999999999</v>
      </c>
      <c r="E448" s="14">
        <v>0.96499999999999997</v>
      </c>
      <c r="F448" s="13">
        <v>36</v>
      </c>
      <c r="G448" s="14">
        <v>0.96499999999999997</v>
      </c>
      <c r="H448" s="18" t="s">
        <v>3224</v>
      </c>
      <c r="I448" s="26" t="s">
        <v>331</v>
      </c>
      <c r="J448" s="18" t="s">
        <v>26</v>
      </c>
      <c r="K448" s="4"/>
      <c r="L448" s="9">
        <v>1996</v>
      </c>
      <c r="N448" s="30" t="s">
        <v>332</v>
      </c>
      <c r="O448" s="13" t="s">
        <v>28</v>
      </c>
      <c r="P448" s="13">
        <f t="shared" si="15"/>
        <v>22</v>
      </c>
      <c r="Q448" s="15">
        <f t="shared" si="16"/>
        <v>477</v>
      </c>
      <c r="R448" s="13" t="s">
        <v>333</v>
      </c>
      <c r="S448" s="13"/>
      <c r="T448" s="13" t="s">
        <v>334</v>
      </c>
      <c r="U448" s="13" t="s">
        <v>335</v>
      </c>
      <c r="V448" s="13" t="s">
        <v>3980</v>
      </c>
      <c r="W448" s="13"/>
      <c r="X448" s="13" t="s">
        <v>4510</v>
      </c>
      <c r="Y448" s="13" t="s">
        <v>3980</v>
      </c>
      <c r="Z448" s="13" t="s">
        <v>3980</v>
      </c>
      <c r="AC448" s="18"/>
    </row>
    <row r="449" spans="1:29" x14ac:dyDescent="0.25">
      <c r="A449" s="18" t="s">
        <v>5020</v>
      </c>
      <c r="B449" s="30">
        <v>2003</v>
      </c>
      <c r="C449" s="13">
        <v>851</v>
      </c>
      <c r="D449" s="14">
        <v>0.67100000000000004</v>
      </c>
      <c r="E449" s="14">
        <v>0.76200000000000001</v>
      </c>
      <c r="F449" s="13">
        <v>12</v>
      </c>
      <c r="G449" s="14">
        <v>0.60899999999999999</v>
      </c>
      <c r="I449" s="26" t="s">
        <v>331</v>
      </c>
      <c r="J449" s="18" t="s">
        <v>54</v>
      </c>
      <c r="K449" s="4"/>
      <c r="L449" s="9">
        <v>2003</v>
      </c>
      <c r="N449" s="30" t="s">
        <v>830</v>
      </c>
      <c r="O449" s="13" t="s">
        <v>42</v>
      </c>
      <c r="P449" s="13">
        <f t="shared" si="15"/>
        <v>15</v>
      </c>
      <c r="Q449" s="15">
        <f t="shared" si="16"/>
        <v>56.733333333333334</v>
      </c>
      <c r="R449" s="13" t="s">
        <v>238</v>
      </c>
      <c r="S449" s="13" t="s">
        <v>859</v>
      </c>
      <c r="T449" s="13" t="s">
        <v>216</v>
      </c>
      <c r="U449" s="13" t="s">
        <v>2495</v>
      </c>
      <c r="V449" s="13" t="s">
        <v>3980</v>
      </c>
      <c r="W449" s="13"/>
      <c r="X449" s="13" t="s">
        <v>4511</v>
      </c>
      <c r="Y449" s="13" t="s">
        <v>3980</v>
      </c>
      <c r="Z449" s="13" t="s">
        <v>3980</v>
      </c>
      <c r="AC449" s="18"/>
    </row>
    <row r="450" spans="1:29" x14ac:dyDescent="0.25">
      <c r="A450" s="18" t="s">
        <v>397</v>
      </c>
      <c r="B450" s="30">
        <v>2007</v>
      </c>
      <c r="C450" s="13">
        <v>1555</v>
      </c>
      <c r="D450" s="14">
        <v>0.79500000000000004</v>
      </c>
      <c r="E450" s="14">
        <v>0.90200000000000002</v>
      </c>
      <c r="F450" s="13">
        <v>17</v>
      </c>
      <c r="G450" s="14">
        <v>0.76400000000000001</v>
      </c>
      <c r="H450" s="18" t="s">
        <v>3238</v>
      </c>
      <c r="I450" s="26" t="s">
        <v>331</v>
      </c>
      <c r="J450" s="4" t="s">
        <v>54</v>
      </c>
      <c r="K450" s="4"/>
      <c r="L450" s="9">
        <v>2007</v>
      </c>
      <c r="N450" s="30" t="s">
        <v>67</v>
      </c>
      <c r="O450" s="13" t="s">
        <v>28</v>
      </c>
      <c r="P450" s="13">
        <f t="shared" ref="P450:P513" si="17">2018-L450</f>
        <v>11</v>
      </c>
      <c r="Q450" s="15">
        <f t="shared" ref="Q450:Q513" si="18">C450/P450</f>
        <v>141.36363636363637</v>
      </c>
      <c r="R450" s="13" t="s">
        <v>398</v>
      </c>
      <c r="S450" s="13"/>
      <c r="T450" s="13" t="s">
        <v>399</v>
      </c>
      <c r="U450" s="13" t="s">
        <v>400</v>
      </c>
      <c r="V450" s="13" t="s">
        <v>3980</v>
      </c>
      <c r="W450" s="13"/>
      <c r="X450" s="13" t="s">
        <v>4512</v>
      </c>
      <c r="Y450" s="13" t="s">
        <v>3980</v>
      </c>
      <c r="Z450" s="13" t="s">
        <v>3980</v>
      </c>
      <c r="AC450" s="18"/>
    </row>
    <row r="451" spans="1:29" x14ac:dyDescent="0.25">
      <c r="A451" s="18" t="s">
        <v>1952</v>
      </c>
      <c r="B451" s="30">
        <v>1979</v>
      </c>
      <c r="C451" s="13">
        <v>3</v>
      </c>
      <c r="D451" s="14">
        <v>3.2000000000000001E-2</v>
      </c>
      <c r="E451" s="14">
        <v>2.8000000000000001E-2</v>
      </c>
      <c r="F451" s="13">
        <v>1</v>
      </c>
      <c r="G451" s="14">
        <v>0</v>
      </c>
      <c r="I451" s="26" t="s">
        <v>331</v>
      </c>
      <c r="J451" s="4" t="s">
        <v>54</v>
      </c>
      <c r="K451" s="4"/>
      <c r="L451" s="9">
        <f>B451</f>
        <v>1979</v>
      </c>
      <c r="N451" s="30" t="s">
        <v>34</v>
      </c>
      <c r="O451" s="13" t="s">
        <v>42</v>
      </c>
      <c r="P451" s="13">
        <f t="shared" si="17"/>
        <v>39</v>
      </c>
      <c r="Q451" s="15">
        <f t="shared" si="18"/>
        <v>7.6923076923076927E-2</v>
      </c>
      <c r="R451" s="13" t="s">
        <v>1953</v>
      </c>
      <c r="S451" s="13"/>
      <c r="T451" s="13" t="s">
        <v>752</v>
      </c>
      <c r="U451" s="13"/>
      <c r="V451" s="13" t="s">
        <v>3980</v>
      </c>
      <c r="W451" s="13"/>
      <c r="X451" s="13" t="s">
        <v>3980</v>
      </c>
      <c r="Y451" s="13" t="s">
        <v>3980</v>
      </c>
      <c r="Z451" s="13" t="s">
        <v>3980</v>
      </c>
      <c r="AC451" s="18"/>
    </row>
    <row r="452" spans="1:29" x14ac:dyDescent="0.25">
      <c r="A452" s="18" t="s">
        <v>1249</v>
      </c>
      <c r="B452" s="30">
        <v>1970</v>
      </c>
      <c r="C452" s="13">
        <v>7673</v>
      </c>
      <c r="D452" s="14">
        <v>0.97399999999999998</v>
      </c>
      <c r="E452" s="14">
        <v>0.93799999999999994</v>
      </c>
      <c r="F452" s="13">
        <v>35</v>
      </c>
      <c r="G452" s="14">
        <v>0.96</v>
      </c>
      <c r="H452" s="18" t="s">
        <v>3471</v>
      </c>
      <c r="I452" s="26" t="s">
        <v>331</v>
      </c>
      <c r="J452" s="18" t="s">
        <v>26</v>
      </c>
      <c r="L452" s="9">
        <v>1970</v>
      </c>
      <c r="N452" s="30" t="s">
        <v>1186</v>
      </c>
      <c r="O452" s="13" t="s">
        <v>28</v>
      </c>
      <c r="P452" s="13">
        <f t="shared" si="17"/>
        <v>48</v>
      </c>
      <c r="Q452" s="15">
        <f t="shared" si="18"/>
        <v>159.85416666666666</v>
      </c>
      <c r="R452" s="13" t="s">
        <v>1250</v>
      </c>
      <c r="S452" s="13"/>
      <c r="T452" s="13" t="s">
        <v>1251</v>
      </c>
      <c r="U452" s="13" t="s">
        <v>1252</v>
      </c>
      <c r="V452" s="13" t="s">
        <v>4103</v>
      </c>
      <c r="W452" s="13"/>
      <c r="X452" s="13" t="s">
        <v>4513</v>
      </c>
      <c r="Y452" s="13" t="s">
        <v>3980</v>
      </c>
      <c r="Z452" s="13" t="s">
        <v>3980</v>
      </c>
      <c r="AC452" s="18"/>
    </row>
    <row r="453" spans="1:29" x14ac:dyDescent="0.25">
      <c r="A453" s="18" t="s">
        <v>920</v>
      </c>
      <c r="B453" s="30">
        <v>2013</v>
      </c>
      <c r="C453" s="13">
        <v>52</v>
      </c>
      <c r="D453" s="14">
        <v>0.182</v>
      </c>
      <c r="E453" s="14">
        <v>0.35699999999999998</v>
      </c>
      <c r="F453" s="13">
        <v>4</v>
      </c>
      <c r="G453" s="14">
        <v>0.19600000000000001</v>
      </c>
      <c r="H453" s="18" t="s">
        <v>3375</v>
      </c>
      <c r="I453" s="26" t="s">
        <v>331</v>
      </c>
      <c r="J453" s="18" t="s">
        <v>105</v>
      </c>
      <c r="K453" s="4"/>
      <c r="L453" s="9">
        <f>B453</f>
        <v>2013</v>
      </c>
      <c r="N453" s="30" t="s">
        <v>123</v>
      </c>
      <c r="O453" s="13" t="s">
        <v>28</v>
      </c>
      <c r="P453" s="13">
        <f t="shared" si="17"/>
        <v>5</v>
      </c>
      <c r="Q453" s="15">
        <f t="shared" si="18"/>
        <v>10.4</v>
      </c>
      <c r="R453" s="13" t="s">
        <v>921</v>
      </c>
      <c r="S453" s="13"/>
      <c r="T453" s="13" t="s">
        <v>922</v>
      </c>
      <c r="U453" s="13"/>
      <c r="V453" s="13" t="s">
        <v>3980</v>
      </c>
      <c r="W453" s="13"/>
      <c r="X453" s="13" t="s">
        <v>3980</v>
      </c>
      <c r="Y453" s="13" t="s">
        <v>3980</v>
      </c>
      <c r="Z453" s="13" t="s">
        <v>3980</v>
      </c>
      <c r="AC453" s="18"/>
    </row>
    <row r="454" spans="1:29" x14ac:dyDescent="0.25">
      <c r="A454" s="18" t="s">
        <v>605</v>
      </c>
      <c r="B454" s="30">
        <v>2009</v>
      </c>
      <c r="C454" s="13">
        <v>69</v>
      </c>
      <c r="D454" s="14">
        <v>0.21299999999999999</v>
      </c>
      <c r="E454" s="14">
        <v>0.40699999999999997</v>
      </c>
      <c r="F454" s="13">
        <v>5</v>
      </c>
      <c r="G454" s="14">
        <v>0.27400000000000002</v>
      </c>
      <c r="H454" s="18" t="s">
        <v>3291</v>
      </c>
      <c r="I454" s="26" t="s">
        <v>41</v>
      </c>
      <c r="J454" s="18" t="s">
        <v>105</v>
      </c>
      <c r="L454" s="9">
        <v>2009</v>
      </c>
      <c r="N454" s="30" t="s">
        <v>88</v>
      </c>
      <c r="O454" s="13" t="s">
        <v>42</v>
      </c>
      <c r="P454" s="13">
        <f t="shared" si="17"/>
        <v>9</v>
      </c>
      <c r="Q454" s="15">
        <f t="shared" si="18"/>
        <v>7.666666666666667</v>
      </c>
      <c r="R454" s="13" t="s">
        <v>606</v>
      </c>
      <c r="S454" s="13"/>
      <c r="T454" s="13" t="s">
        <v>607</v>
      </c>
      <c r="U454" s="13" t="s">
        <v>608</v>
      </c>
      <c r="V454" s="13" t="s">
        <v>4104</v>
      </c>
      <c r="W454" s="13"/>
      <c r="X454" s="13" t="s">
        <v>4514</v>
      </c>
      <c r="Y454" s="13" t="s">
        <v>3980</v>
      </c>
      <c r="Z454" s="13" t="s">
        <v>3980</v>
      </c>
      <c r="AC454" s="18"/>
    </row>
    <row r="455" spans="1:29" x14ac:dyDescent="0.25">
      <c r="A455" s="18" t="s">
        <v>2604</v>
      </c>
      <c r="B455" s="30">
        <v>1988</v>
      </c>
      <c r="C455" s="8">
        <v>3245</v>
      </c>
      <c r="D455" s="14">
        <v>0.90500000000000003</v>
      </c>
      <c r="E455" s="14">
        <v>0.78500000000000003</v>
      </c>
      <c r="F455" s="8">
        <v>23</v>
      </c>
      <c r="G455" s="14">
        <v>0.874</v>
      </c>
      <c r="I455" s="26" t="s">
        <v>41</v>
      </c>
      <c r="J455" s="18" t="s">
        <v>26</v>
      </c>
      <c r="L455" s="9">
        <f>B455</f>
        <v>1988</v>
      </c>
      <c r="N455" s="28" t="s">
        <v>765</v>
      </c>
      <c r="O455" s="13" t="s">
        <v>28</v>
      </c>
      <c r="P455" s="13">
        <f t="shared" si="17"/>
        <v>30</v>
      </c>
      <c r="Q455" s="15">
        <f t="shared" si="18"/>
        <v>108.16666666666667</v>
      </c>
      <c r="R455" s="18" t="s">
        <v>3862</v>
      </c>
      <c r="T455" s="18" t="s">
        <v>3863</v>
      </c>
      <c r="V455" s="18" t="s">
        <v>3980</v>
      </c>
      <c r="X455" s="18" t="s">
        <v>3980</v>
      </c>
      <c r="Y455" s="18" t="s">
        <v>3980</v>
      </c>
      <c r="Z455" s="18" t="s">
        <v>3980</v>
      </c>
      <c r="AC455" s="18"/>
    </row>
    <row r="456" spans="1:29" x14ac:dyDescent="0.25">
      <c r="A456" s="18" t="s">
        <v>534</v>
      </c>
      <c r="B456" s="30">
        <v>1980</v>
      </c>
      <c r="C456" s="13">
        <v>9020</v>
      </c>
      <c r="D456" s="14">
        <v>0.98</v>
      </c>
      <c r="E456" s="14">
        <v>0.95199999999999996</v>
      </c>
      <c r="F456" s="13">
        <v>29</v>
      </c>
      <c r="G456" s="14">
        <v>0.92400000000000004</v>
      </c>
      <c r="H456" s="18" t="s">
        <v>3272</v>
      </c>
      <c r="I456" s="26" t="s">
        <v>41</v>
      </c>
      <c r="J456" s="4" t="s">
        <v>26</v>
      </c>
      <c r="L456" s="9">
        <v>1980</v>
      </c>
      <c r="N456" s="30" t="s">
        <v>41</v>
      </c>
      <c r="O456" s="13" t="s">
        <v>42</v>
      </c>
      <c r="P456" s="13">
        <f t="shared" si="17"/>
        <v>38</v>
      </c>
      <c r="Q456" s="15">
        <f t="shared" si="18"/>
        <v>237.36842105263159</v>
      </c>
      <c r="R456" s="13" t="s">
        <v>535</v>
      </c>
      <c r="S456" s="13"/>
      <c r="T456" s="13" t="s">
        <v>536</v>
      </c>
      <c r="U456" s="13"/>
      <c r="V456" s="13" t="s">
        <v>3980</v>
      </c>
      <c r="W456" s="13"/>
      <c r="X456" s="13" t="s">
        <v>3980</v>
      </c>
      <c r="Y456" s="13" t="s">
        <v>3980</v>
      </c>
      <c r="Z456" s="13" t="s">
        <v>3980</v>
      </c>
      <c r="AC456" s="18"/>
    </row>
    <row r="457" spans="1:29" x14ac:dyDescent="0.25">
      <c r="A457" s="18" t="s">
        <v>2259</v>
      </c>
      <c r="B457" s="30">
        <v>2000</v>
      </c>
      <c r="C457" s="13">
        <v>1464</v>
      </c>
      <c r="D457" s="14">
        <v>0.77700000000000002</v>
      </c>
      <c r="E457" s="14">
        <v>0.55800000000000005</v>
      </c>
      <c r="F457" s="13">
        <v>20</v>
      </c>
      <c r="G457" s="14">
        <v>0.82599999999999996</v>
      </c>
      <c r="I457" s="26" t="s">
        <v>41</v>
      </c>
      <c r="J457" s="18" t="s">
        <v>26</v>
      </c>
      <c r="L457" s="9">
        <v>2000</v>
      </c>
      <c r="N457" s="30" t="s">
        <v>41</v>
      </c>
      <c r="O457" s="13" t="s">
        <v>42</v>
      </c>
      <c r="P457" s="13">
        <f t="shared" si="17"/>
        <v>18</v>
      </c>
      <c r="Q457" s="15">
        <f t="shared" si="18"/>
        <v>81.333333333333329</v>
      </c>
      <c r="R457" s="13" t="s">
        <v>582</v>
      </c>
      <c r="S457" s="13"/>
      <c r="T457" s="13" t="s">
        <v>2260</v>
      </c>
      <c r="U457" s="13" t="s">
        <v>2261</v>
      </c>
      <c r="V457" s="13" t="s">
        <v>4105</v>
      </c>
      <c r="W457" s="13"/>
      <c r="X457" s="13" t="s">
        <v>4515</v>
      </c>
      <c r="Y457" s="13" t="s">
        <v>3980</v>
      </c>
      <c r="Z457" s="13" t="s">
        <v>3980</v>
      </c>
      <c r="AC457" s="18"/>
    </row>
    <row r="458" spans="1:29" x14ac:dyDescent="0.25">
      <c r="A458" s="18" t="s">
        <v>4874</v>
      </c>
      <c r="B458" s="30">
        <v>2005</v>
      </c>
      <c r="C458" s="13">
        <v>1184</v>
      </c>
      <c r="D458" s="14">
        <v>0.73699999999999999</v>
      </c>
      <c r="E458" s="14">
        <v>0.85099999999999998</v>
      </c>
      <c r="F458" s="13">
        <v>17</v>
      </c>
      <c r="G458" s="14">
        <v>0.76400000000000001</v>
      </c>
      <c r="H458" s="18" t="s">
        <v>3213</v>
      </c>
      <c r="I458" s="26" t="s">
        <v>41</v>
      </c>
      <c r="J458" s="18" t="s">
        <v>54</v>
      </c>
      <c r="K458" s="4"/>
      <c r="L458" s="9">
        <v>2005</v>
      </c>
      <c r="N458" s="30" t="s">
        <v>88</v>
      </c>
      <c r="O458" s="13" t="s">
        <v>28</v>
      </c>
      <c r="P458" s="13">
        <f t="shared" si="17"/>
        <v>13</v>
      </c>
      <c r="Q458" s="15">
        <f t="shared" si="18"/>
        <v>91.07692307692308</v>
      </c>
      <c r="R458" s="13" t="s">
        <v>89</v>
      </c>
      <c r="S458" s="13" t="s">
        <v>164</v>
      </c>
      <c r="T458" s="13" t="s">
        <v>287</v>
      </c>
      <c r="U458" s="13" t="s">
        <v>288</v>
      </c>
      <c r="V458" s="13" t="s">
        <v>4106</v>
      </c>
      <c r="W458" s="13"/>
      <c r="X458" s="13" t="s">
        <v>4516</v>
      </c>
      <c r="Y458" s="13" t="s">
        <v>3980</v>
      </c>
      <c r="Z458" s="13" t="s">
        <v>3980</v>
      </c>
      <c r="AC458" s="18"/>
    </row>
    <row r="459" spans="1:29" x14ac:dyDescent="0.25">
      <c r="A459" s="18" t="s">
        <v>432</v>
      </c>
      <c r="B459" s="30">
        <v>2002</v>
      </c>
      <c r="C459" s="13">
        <v>2983</v>
      </c>
      <c r="D459" s="14">
        <v>0.88900000000000001</v>
      </c>
      <c r="E459" s="14">
        <v>0.753</v>
      </c>
      <c r="F459" s="13">
        <v>22</v>
      </c>
      <c r="G459" s="14">
        <v>0.85699999999999998</v>
      </c>
      <c r="H459" s="18" t="s">
        <v>3247</v>
      </c>
      <c r="I459" s="26" t="s">
        <v>41</v>
      </c>
      <c r="J459" s="18" t="s">
        <v>26</v>
      </c>
      <c r="L459" s="9">
        <v>2002</v>
      </c>
      <c r="M459" s="11"/>
      <c r="N459" s="30" t="s">
        <v>123</v>
      </c>
      <c r="O459" s="13" t="s">
        <v>28</v>
      </c>
      <c r="P459" s="13">
        <f t="shared" si="17"/>
        <v>16</v>
      </c>
      <c r="Q459" s="15">
        <f t="shared" si="18"/>
        <v>186.4375</v>
      </c>
      <c r="R459" s="13" t="s">
        <v>433</v>
      </c>
      <c r="S459" s="13"/>
      <c r="T459" s="13" t="s">
        <v>434</v>
      </c>
      <c r="U459" s="13" t="s">
        <v>435</v>
      </c>
      <c r="V459" s="13" t="s">
        <v>4107</v>
      </c>
      <c r="W459" s="13"/>
      <c r="X459" s="13" t="s">
        <v>4517</v>
      </c>
      <c r="Y459" s="13" t="s">
        <v>3980</v>
      </c>
      <c r="Z459" s="13" t="s">
        <v>3980</v>
      </c>
      <c r="AC459" s="18"/>
    </row>
    <row r="460" spans="1:29" x14ac:dyDescent="0.25">
      <c r="A460" s="18" t="s">
        <v>1691</v>
      </c>
      <c r="B460" s="30">
        <v>1978</v>
      </c>
      <c r="C460" s="8">
        <v>6</v>
      </c>
      <c r="D460" s="14">
        <v>4.8000000000000001E-2</v>
      </c>
      <c r="E460" s="14">
        <v>0.02</v>
      </c>
      <c r="F460" s="8">
        <v>2</v>
      </c>
      <c r="G460" s="14">
        <v>7.0999999999999994E-2</v>
      </c>
      <c r="I460" s="26" t="s">
        <v>41</v>
      </c>
      <c r="J460" s="18" t="s">
        <v>26</v>
      </c>
      <c r="L460" s="9">
        <f>B460</f>
        <v>1978</v>
      </c>
      <c r="M460" s="20" t="s">
        <v>3132</v>
      </c>
      <c r="N460" s="28" t="s">
        <v>765</v>
      </c>
      <c r="O460" s="13" t="s">
        <v>42</v>
      </c>
      <c r="P460" s="13">
        <f t="shared" si="17"/>
        <v>40</v>
      </c>
      <c r="Q460" s="15">
        <f t="shared" si="18"/>
        <v>0.15</v>
      </c>
      <c r="R460" s="18" t="s">
        <v>3836</v>
      </c>
      <c r="T460" s="18" t="s">
        <v>3837</v>
      </c>
      <c r="V460" s="18" t="s">
        <v>3980</v>
      </c>
      <c r="X460" s="18" t="s">
        <v>3980</v>
      </c>
      <c r="Y460" s="18" t="s">
        <v>3980</v>
      </c>
      <c r="Z460" s="18" t="s">
        <v>3980</v>
      </c>
      <c r="AC460" s="18"/>
    </row>
    <row r="461" spans="1:29" x14ac:dyDescent="0.25">
      <c r="A461" s="18" t="s">
        <v>2722</v>
      </c>
      <c r="B461" s="30">
        <v>1988</v>
      </c>
      <c r="C461" s="13">
        <v>420</v>
      </c>
      <c r="D461" s="14">
        <v>0.51700000000000002</v>
      </c>
      <c r="E461" s="14">
        <v>0.27500000000000002</v>
      </c>
      <c r="F461" s="13">
        <v>7</v>
      </c>
      <c r="G461" s="14">
        <v>0.39300000000000002</v>
      </c>
      <c r="I461" s="26" t="s">
        <v>41</v>
      </c>
      <c r="J461" s="4" t="s">
        <v>26</v>
      </c>
      <c r="K461" s="4"/>
      <c r="L461" s="9">
        <v>1988</v>
      </c>
      <c r="N461" s="30" t="s">
        <v>72</v>
      </c>
      <c r="O461" s="13" t="s">
        <v>28</v>
      </c>
      <c r="P461" s="13">
        <f t="shared" si="17"/>
        <v>30</v>
      </c>
      <c r="Q461" s="15">
        <f t="shared" si="18"/>
        <v>14</v>
      </c>
      <c r="R461" s="13" t="s">
        <v>1410</v>
      </c>
      <c r="S461" s="13"/>
      <c r="T461" s="13" t="s">
        <v>2723</v>
      </c>
      <c r="U461" s="13" t="s">
        <v>2724</v>
      </c>
      <c r="V461" s="13" t="s">
        <v>3980</v>
      </c>
      <c r="W461" s="13"/>
      <c r="X461" s="13" t="s">
        <v>4518</v>
      </c>
      <c r="Y461" s="13" t="s">
        <v>3980</v>
      </c>
      <c r="Z461" s="13" t="s">
        <v>3980</v>
      </c>
      <c r="AC461" s="18"/>
    </row>
    <row r="462" spans="1:29" x14ac:dyDescent="0.25">
      <c r="A462" s="18" t="s">
        <v>463</v>
      </c>
      <c r="B462" s="30">
        <v>1999</v>
      </c>
      <c r="C462" s="13">
        <v>1166</v>
      </c>
      <c r="D462" s="14">
        <v>0.73299999999999998</v>
      </c>
      <c r="E462" s="14">
        <v>0.48499999999999999</v>
      </c>
      <c r="F462" s="13">
        <v>14</v>
      </c>
      <c r="G462" s="14">
        <v>0.67900000000000005</v>
      </c>
      <c r="H462" s="18" t="s">
        <v>3255</v>
      </c>
      <c r="I462" s="26" t="s">
        <v>41</v>
      </c>
      <c r="J462" s="18" t="s">
        <v>26</v>
      </c>
      <c r="L462" s="9">
        <v>1999</v>
      </c>
      <c r="N462" s="30" t="s">
        <v>41</v>
      </c>
      <c r="O462" s="13" t="s">
        <v>42</v>
      </c>
      <c r="P462" s="13">
        <f t="shared" si="17"/>
        <v>19</v>
      </c>
      <c r="Q462" s="15">
        <f t="shared" si="18"/>
        <v>61.368421052631582</v>
      </c>
      <c r="R462" s="13" t="s">
        <v>294</v>
      </c>
      <c r="S462" s="13"/>
      <c r="T462" s="13" t="s">
        <v>464</v>
      </c>
      <c r="U462" s="13" t="s">
        <v>465</v>
      </c>
      <c r="V462" s="13" t="s">
        <v>3980</v>
      </c>
      <c r="W462" s="13"/>
      <c r="X462" s="13" t="s">
        <v>4519</v>
      </c>
      <c r="Y462" s="13" t="s">
        <v>3980</v>
      </c>
      <c r="Z462" s="13" t="s">
        <v>3980</v>
      </c>
      <c r="AC462" s="18"/>
    </row>
    <row r="463" spans="1:29" x14ac:dyDescent="0.25">
      <c r="A463" s="18" t="s">
        <v>2194</v>
      </c>
      <c r="B463" s="30">
        <v>1983</v>
      </c>
      <c r="C463" s="13">
        <v>1005</v>
      </c>
      <c r="D463" s="14">
        <v>0.70099999999999996</v>
      </c>
      <c r="E463" s="14">
        <v>0.79300000000000004</v>
      </c>
      <c r="F463" s="13">
        <v>14</v>
      </c>
      <c r="G463" s="14">
        <v>0.67900000000000005</v>
      </c>
      <c r="I463" s="26" t="s">
        <v>41</v>
      </c>
      <c r="J463" s="18" t="s">
        <v>54</v>
      </c>
      <c r="L463" s="9">
        <v>1983</v>
      </c>
      <c r="N463" s="30" t="s">
        <v>277</v>
      </c>
      <c r="O463" s="13" t="s">
        <v>28</v>
      </c>
      <c r="P463" s="13">
        <f t="shared" si="17"/>
        <v>35</v>
      </c>
      <c r="Q463" s="15">
        <f t="shared" si="18"/>
        <v>28.714285714285715</v>
      </c>
      <c r="R463" s="13" t="s">
        <v>808</v>
      </c>
      <c r="S463" s="13"/>
      <c r="T463" s="13" t="s">
        <v>2195</v>
      </c>
      <c r="U463" s="13" t="s">
        <v>2196</v>
      </c>
      <c r="V463" s="13" t="s">
        <v>4108</v>
      </c>
      <c r="W463" s="13"/>
      <c r="X463" s="13" t="s">
        <v>4520</v>
      </c>
      <c r="Y463" s="13" t="s">
        <v>3980</v>
      </c>
      <c r="Z463" s="13" t="s">
        <v>3980</v>
      </c>
      <c r="AC463" s="18"/>
    </row>
    <row r="464" spans="1:29" x14ac:dyDescent="0.25">
      <c r="A464" s="18" t="s">
        <v>4860</v>
      </c>
      <c r="B464" s="30">
        <v>2004</v>
      </c>
      <c r="C464" s="13">
        <v>604</v>
      </c>
      <c r="D464" s="14">
        <v>0.60199999999999998</v>
      </c>
      <c r="E464" s="14">
        <v>0.90500000000000003</v>
      </c>
      <c r="F464" s="13">
        <v>13</v>
      </c>
      <c r="G464" s="14">
        <v>0.64500000000000002</v>
      </c>
      <c r="H464" s="18" t="s">
        <v>3274</v>
      </c>
      <c r="I464" s="26" t="s">
        <v>41</v>
      </c>
      <c r="J464" s="4" t="s">
        <v>105</v>
      </c>
      <c r="L464" s="9">
        <v>2004</v>
      </c>
      <c r="N464" s="30" t="s">
        <v>168</v>
      </c>
      <c r="O464" s="13" t="s">
        <v>42</v>
      </c>
      <c r="P464" s="13">
        <f t="shared" si="17"/>
        <v>14</v>
      </c>
      <c r="Q464" s="15">
        <f t="shared" si="18"/>
        <v>43.142857142857146</v>
      </c>
      <c r="R464" s="13" t="s">
        <v>540</v>
      </c>
      <c r="S464" s="13" t="s">
        <v>541</v>
      </c>
      <c r="T464" s="13" t="s">
        <v>291</v>
      </c>
      <c r="U464" s="13" t="s">
        <v>542</v>
      </c>
      <c r="V464" s="13" t="s">
        <v>3980</v>
      </c>
      <c r="W464" s="13"/>
      <c r="X464" s="13" t="s">
        <v>4521</v>
      </c>
      <c r="Y464" s="13" t="s">
        <v>3980</v>
      </c>
      <c r="Z464" s="13" t="s">
        <v>3980</v>
      </c>
      <c r="AC464" s="18"/>
    </row>
    <row r="465" spans="1:29" x14ac:dyDescent="0.25">
      <c r="A465" s="18" t="s">
        <v>1418</v>
      </c>
      <c r="B465" s="30">
        <v>2000</v>
      </c>
      <c r="C465" s="13">
        <v>8426</v>
      </c>
      <c r="D465" s="14">
        <v>0.97699999999999998</v>
      </c>
      <c r="E465" s="14">
        <v>0.94499999999999995</v>
      </c>
      <c r="F465" s="13">
        <v>47</v>
      </c>
      <c r="G465" s="14">
        <v>0.98899999999999999</v>
      </c>
      <c r="H465" s="18" t="s">
        <v>3632</v>
      </c>
      <c r="I465" s="26" t="s">
        <v>41</v>
      </c>
      <c r="J465" s="18" t="s">
        <v>26</v>
      </c>
      <c r="K465" s="4"/>
      <c r="L465" s="9">
        <v>2000</v>
      </c>
      <c r="N465" s="30" t="s">
        <v>77</v>
      </c>
      <c r="O465" s="13" t="s">
        <v>28</v>
      </c>
      <c r="P465" s="13">
        <f t="shared" si="17"/>
        <v>18</v>
      </c>
      <c r="Q465" s="15">
        <f t="shared" si="18"/>
        <v>468.11111111111109</v>
      </c>
      <c r="R465" s="13" t="s">
        <v>89</v>
      </c>
      <c r="S465" s="13"/>
      <c r="T465" s="13" t="s">
        <v>1071</v>
      </c>
      <c r="U465" s="13" t="s">
        <v>1419</v>
      </c>
      <c r="V465" s="13" t="s">
        <v>4109</v>
      </c>
      <c r="W465" s="13"/>
      <c r="X465" s="13" t="s">
        <v>4522</v>
      </c>
      <c r="Y465" s="13" t="s">
        <v>3980</v>
      </c>
      <c r="Z465" s="13" t="s">
        <v>3980</v>
      </c>
      <c r="AC465" s="18"/>
    </row>
    <row r="466" spans="1:29" x14ac:dyDescent="0.25">
      <c r="A466" s="18" t="s">
        <v>1544</v>
      </c>
      <c r="B466" s="30">
        <v>1989</v>
      </c>
      <c r="C466" s="8">
        <v>26687</v>
      </c>
      <c r="D466" s="14">
        <v>0.998</v>
      </c>
      <c r="E466" s="14">
        <v>0.995</v>
      </c>
      <c r="F466" s="8">
        <v>48</v>
      </c>
      <c r="G466" s="14">
        <v>0.99</v>
      </c>
      <c r="H466" s="18" t="s">
        <v>3559</v>
      </c>
      <c r="I466" s="26" t="s">
        <v>41</v>
      </c>
      <c r="J466" s="18" t="s">
        <v>26</v>
      </c>
      <c r="L466" s="9">
        <f>B466</f>
        <v>1989</v>
      </c>
      <c r="N466" s="28" t="s">
        <v>123</v>
      </c>
      <c r="O466" s="13" t="s">
        <v>42</v>
      </c>
      <c r="P466" s="13">
        <f t="shared" si="17"/>
        <v>29</v>
      </c>
      <c r="Q466" s="15">
        <f t="shared" si="18"/>
        <v>920.24137931034488</v>
      </c>
      <c r="R466" s="18" t="s">
        <v>3824</v>
      </c>
      <c r="T466" s="18" t="s">
        <v>3825</v>
      </c>
      <c r="V466" s="18" t="s">
        <v>3980</v>
      </c>
      <c r="X466" s="18" t="s">
        <v>3980</v>
      </c>
      <c r="Y466" s="18" t="s">
        <v>3980</v>
      </c>
      <c r="Z466" s="18" t="s">
        <v>3980</v>
      </c>
      <c r="AC466" s="18"/>
    </row>
    <row r="467" spans="1:29" x14ac:dyDescent="0.25">
      <c r="A467" s="18" t="s">
        <v>664</v>
      </c>
      <c r="B467" s="30">
        <v>1989</v>
      </c>
      <c r="C467" s="13">
        <v>6898</v>
      </c>
      <c r="D467" s="14">
        <v>0.96799999999999997</v>
      </c>
      <c r="E467" s="14">
        <v>0.92200000000000004</v>
      </c>
      <c r="F467" s="13">
        <v>43</v>
      </c>
      <c r="G467" s="14">
        <v>0.98299999999999998</v>
      </c>
      <c r="H467" s="18" t="s">
        <v>3307</v>
      </c>
      <c r="I467" s="26" t="s">
        <v>41</v>
      </c>
      <c r="J467" s="18" t="s">
        <v>26</v>
      </c>
      <c r="L467" s="9">
        <v>1989</v>
      </c>
      <c r="N467" s="30" t="s">
        <v>665</v>
      </c>
      <c r="O467" s="13" t="s">
        <v>28</v>
      </c>
      <c r="P467" s="13">
        <f t="shared" si="17"/>
        <v>29</v>
      </c>
      <c r="Q467" s="15">
        <f t="shared" si="18"/>
        <v>237.86206896551724</v>
      </c>
      <c r="R467" s="13" t="s">
        <v>260</v>
      </c>
      <c r="S467" s="13"/>
      <c r="T467" s="13" t="s">
        <v>666</v>
      </c>
      <c r="U467" s="13" t="s">
        <v>667</v>
      </c>
      <c r="V467" s="13" t="s">
        <v>4110</v>
      </c>
      <c r="W467" s="13"/>
      <c r="X467" s="13" t="s">
        <v>4523</v>
      </c>
      <c r="Y467" s="13" t="s">
        <v>3980</v>
      </c>
      <c r="Z467" s="13" t="s">
        <v>3980</v>
      </c>
      <c r="AC467" s="18"/>
    </row>
    <row r="468" spans="1:29" x14ac:dyDescent="0.25">
      <c r="A468" s="18" t="s">
        <v>2129</v>
      </c>
      <c r="B468" s="30">
        <v>1978</v>
      </c>
      <c r="C468" s="8">
        <v>11284</v>
      </c>
      <c r="D468" s="14">
        <v>0.98599999999999999</v>
      </c>
      <c r="E468" s="14">
        <v>0.96799999999999997</v>
      </c>
      <c r="F468" s="8">
        <v>53</v>
      </c>
      <c r="G468" s="14">
        <v>0.99399999999999999</v>
      </c>
      <c r="H468" s="18" t="s">
        <v>3593</v>
      </c>
      <c r="I468" s="26" t="s">
        <v>41</v>
      </c>
      <c r="J468" s="18" t="s">
        <v>26</v>
      </c>
      <c r="L468" s="9">
        <f>B468</f>
        <v>1978</v>
      </c>
      <c r="N468" s="28" t="s">
        <v>377</v>
      </c>
      <c r="O468" s="13" t="s">
        <v>42</v>
      </c>
      <c r="P468" s="13">
        <f t="shared" si="17"/>
        <v>40</v>
      </c>
      <c r="Q468" s="15">
        <f t="shared" si="18"/>
        <v>282.10000000000002</v>
      </c>
      <c r="R468" s="18" t="s">
        <v>338</v>
      </c>
      <c r="T468" s="18" t="s">
        <v>3829</v>
      </c>
      <c r="V468" s="18" t="s">
        <v>3980</v>
      </c>
      <c r="X468" s="18" t="s">
        <v>3980</v>
      </c>
      <c r="Y468" s="18" t="s">
        <v>3980</v>
      </c>
      <c r="Z468" s="18" t="s">
        <v>3980</v>
      </c>
      <c r="AC468" s="18"/>
    </row>
    <row r="469" spans="1:29" x14ac:dyDescent="0.25">
      <c r="A469" s="18" t="s">
        <v>2510</v>
      </c>
      <c r="B469" s="30">
        <v>2015</v>
      </c>
      <c r="C469" s="8">
        <v>135</v>
      </c>
      <c r="D469" s="14">
        <v>0.318</v>
      </c>
      <c r="E469" s="14">
        <v>0.58899999999999997</v>
      </c>
      <c r="F469" s="8">
        <v>9</v>
      </c>
      <c r="G469" s="14">
        <v>0.48799999999999999</v>
      </c>
      <c r="H469" s="18" t="s">
        <v>3585</v>
      </c>
      <c r="I469" s="26" t="s">
        <v>134</v>
      </c>
      <c r="J469" s="18" t="s">
        <v>105</v>
      </c>
      <c r="L469" s="9">
        <f>B469</f>
        <v>2015</v>
      </c>
      <c r="N469" s="28" t="s">
        <v>268</v>
      </c>
      <c r="O469" s="13" t="s">
        <v>42</v>
      </c>
      <c r="P469" s="13">
        <f t="shared" si="17"/>
        <v>3</v>
      </c>
      <c r="Q469" s="15">
        <f t="shared" si="18"/>
        <v>45</v>
      </c>
      <c r="R469" s="18" t="s">
        <v>3732</v>
      </c>
      <c r="T469" s="18" t="s">
        <v>3733</v>
      </c>
      <c r="V469" s="18" t="s">
        <v>3980</v>
      </c>
      <c r="X469" s="18" t="s">
        <v>3980</v>
      </c>
      <c r="Y469" s="18" t="s">
        <v>3980</v>
      </c>
      <c r="Z469" s="18" t="s">
        <v>3980</v>
      </c>
      <c r="AC469" s="18"/>
    </row>
    <row r="470" spans="1:29" x14ac:dyDescent="0.25">
      <c r="A470" s="18" t="s">
        <v>2993</v>
      </c>
      <c r="B470" s="30">
        <v>1998</v>
      </c>
      <c r="C470" s="13">
        <v>1525</v>
      </c>
      <c r="D470" s="14">
        <v>0.79</v>
      </c>
      <c r="E470" s="14">
        <v>0.57799999999999996</v>
      </c>
      <c r="F470" s="13">
        <v>18</v>
      </c>
      <c r="G470" s="14">
        <v>0.78700000000000003</v>
      </c>
      <c r="I470" s="26" t="s">
        <v>134</v>
      </c>
      <c r="J470" s="18" t="s">
        <v>26</v>
      </c>
      <c r="L470" s="9">
        <v>1998</v>
      </c>
      <c r="N470" s="30" t="s">
        <v>94</v>
      </c>
      <c r="O470" s="13" t="s">
        <v>42</v>
      </c>
      <c r="P470" s="13">
        <f t="shared" si="17"/>
        <v>20</v>
      </c>
      <c r="Q470" s="15">
        <f t="shared" si="18"/>
        <v>76.25</v>
      </c>
      <c r="R470" s="13" t="s">
        <v>2991</v>
      </c>
      <c r="S470" s="13"/>
      <c r="T470" s="13" t="s">
        <v>2994</v>
      </c>
      <c r="U470" s="13" t="s">
        <v>2995</v>
      </c>
      <c r="V470" s="13" t="s">
        <v>4111</v>
      </c>
      <c r="W470" s="13"/>
      <c r="X470" s="13" t="s">
        <v>4524</v>
      </c>
      <c r="Y470" s="13" t="s">
        <v>3980</v>
      </c>
      <c r="Z470" s="13" t="s">
        <v>3980</v>
      </c>
      <c r="AC470" s="18"/>
    </row>
    <row r="471" spans="1:29" x14ac:dyDescent="0.25">
      <c r="A471" s="18" t="s">
        <v>5094</v>
      </c>
      <c r="B471" s="30">
        <v>1987</v>
      </c>
      <c r="C471" s="13">
        <v>1959</v>
      </c>
      <c r="D471" s="14">
        <v>0.82599999999999996</v>
      </c>
      <c r="E471" s="14">
        <v>0.628</v>
      </c>
      <c r="F471" s="13">
        <v>23</v>
      </c>
      <c r="G471" s="14">
        <v>0.874</v>
      </c>
      <c r="I471" s="26" t="s">
        <v>134</v>
      </c>
      <c r="J471" s="18" t="s">
        <v>26</v>
      </c>
      <c r="L471" s="9">
        <v>1987</v>
      </c>
      <c r="N471" s="30" t="s">
        <v>94</v>
      </c>
      <c r="O471" s="13" t="s">
        <v>28</v>
      </c>
      <c r="P471" s="13">
        <f t="shared" si="17"/>
        <v>31</v>
      </c>
      <c r="Q471" s="15">
        <f t="shared" si="18"/>
        <v>63.193548387096776</v>
      </c>
      <c r="R471" s="13" t="s">
        <v>718</v>
      </c>
      <c r="S471" s="13" t="s">
        <v>206</v>
      </c>
      <c r="T471" s="13" t="s">
        <v>2855</v>
      </c>
      <c r="U471" s="13"/>
      <c r="V471" s="13" t="s">
        <v>3980</v>
      </c>
      <c r="W471" s="13"/>
      <c r="X471" s="13" t="s">
        <v>4525</v>
      </c>
      <c r="Y471" s="13" t="s">
        <v>3980</v>
      </c>
      <c r="Z471" s="13" t="s">
        <v>3980</v>
      </c>
      <c r="AC471" s="18"/>
    </row>
    <row r="472" spans="1:29" x14ac:dyDescent="0.25">
      <c r="A472" s="18" t="s">
        <v>4984</v>
      </c>
      <c r="B472" s="30">
        <v>1983</v>
      </c>
      <c r="C472" s="13">
        <v>615</v>
      </c>
      <c r="D472" s="14">
        <v>0.60699999999999998</v>
      </c>
      <c r="E472" s="14">
        <v>0.33900000000000002</v>
      </c>
      <c r="F472" s="13">
        <v>13</v>
      </c>
      <c r="G472" s="14">
        <v>0.64500000000000002</v>
      </c>
      <c r="I472" s="26" t="s">
        <v>134</v>
      </c>
      <c r="J472" s="18" t="s">
        <v>26</v>
      </c>
      <c r="L472" s="9">
        <f>B472</f>
        <v>1983</v>
      </c>
      <c r="N472" s="30" t="s">
        <v>765</v>
      </c>
      <c r="O472" s="13" t="s">
        <v>28</v>
      </c>
      <c r="P472" s="13">
        <f t="shared" si="17"/>
        <v>35</v>
      </c>
      <c r="Q472" s="15">
        <f t="shared" si="18"/>
        <v>17.571428571428573</v>
      </c>
      <c r="R472" s="13" t="s">
        <v>2292</v>
      </c>
      <c r="S472" s="13" t="s">
        <v>30</v>
      </c>
      <c r="T472" s="13" t="s">
        <v>2295</v>
      </c>
      <c r="U472" s="13"/>
      <c r="V472" s="13" t="s">
        <v>3980</v>
      </c>
      <c r="W472" s="13"/>
      <c r="X472" s="13" t="s">
        <v>3980</v>
      </c>
      <c r="Y472" s="13" t="s">
        <v>3980</v>
      </c>
      <c r="Z472" s="13" t="s">
        <v>3980</v>
      </c>
      <c r="AC472" s="18"/>
    </row>
    <row r="473" spans="1:29" x14ac:dyDescent="0.25">
      <c r="A473" s="18" t="s">
        <v>133</v>
      </c>
      <c r="B473" s="30">
        <v>1983</v>
      </c>
      <c r="C473" s="13">
        <v>18927</v>
      </c>
      <c r="D473" s="14">
        <v>0.99399999999999999</v>
      </c>
      <c r="E473" s="14">
        <v>0.98599999999999999</v>
      </c>
      <c r="F473" s="13">
        <v>41</v>
      </c>
      <c r="G473" s="14">
        <v>0.97799999999999998</v>
      </c>
      <c r="H473" s="18" t="s">
        <v>3180</v>
      </c>
      <c r="I473" s="26" t="s">
        <v>134</v>
      </c>
      <c r="J473" s="18" t="s">
        <v>26</v>
      </c>
      <c r="L473" s="9">
        <v>1983</v>
      </c>
      <c r="N473" s="30" t="s">
        <v>135</v>
      </c>
      <c r="O473" s="13" t="s">
        <v>42</v>
      </c>
      <c r="P473" s="13">
        <f t="shared" si="17"/>
        <v>35</v>
      </c>
      <c r="Q473" s="15">
        <f t="shared" si="18"/>
        <v>540.7714285714286</v>
      </c>
      <c r="R473" s="13" t="s">
        <v>136</v>
      </c>
      <c r="S473" s="13"/>
      <c r="T473" s="13" t="s">
        <v>137</v>
      </c>
      <c r="U473" s="13" t="s">
        <v>138</v>
      </c>
      <c r="V473" s="13" t="s">
        <v>4112</v>
      </c>
      <c r="W473" s="13"/>
      <c r="X473" s="13" t="s">
        <v>4526</v>
      </c>
      <c r="Y473" s="13" t="s">
        <v>3980</v>
      </c>
      <c r="Z473" s="13" t="s">
        <v>3980</v>
      </c>
      <c r="AC473" s="18"/>
    </row>
    <row r="474" spans="1:29" x14ac:dyDescent="0.25">
      <c r="A474" s="18" t="s">
        <v>4879</v>
      </c>
      <c r="B474" s="30">
        <v>1979</v>
      </c>
      <c r="C474" s="13">
        <v>1334</v>
      </c>
      <c r="D474" s="14">
        <v>0.75800000000000001</v>
      </c>
      <c r="E474" s="14">
        <v>0.52100000000000002</v>
      </c>
      <c r="F474" s="13">
        <v>18</v>
      </c>
      <c r="G474" s="14">
        <v>0.78700000000000003</v>
      </c>
      <c r="H474" s="18" t="s">
        <v>3529</v>
      </c>
      <c r="I474" s="26" t="s">
        <v>134</v>
      </c>
      <c r="J474" s="18" t="s">
        <v>26</v>
      </c>
      <c r="L474" s="9">
        <v>1979</v>
      </c>
      <c r="N474" s="30" t="s">
        <v>1444</v>
      </c>
      <c r="O474" s="13" t="s">
        <v>28</v>
      </c>
      <c r="P474" s="13">
        <f t="shared" si="17"/>
        <v>39</v>
      </c>
      <c r="Q474" s="15">
        <f t="shared" si="18"/>
        <v>34.205128205128204</v>
      </c>
      <c r="R474" s="13" t="s">
        <v>173</v>
      </c>
      <c r="S474" s="13" t="s">
        <v>669</v>
      </c>
      <c r="T474" s="13" t="s">
        <v>137</v>
      </c>
      <c r="U474" s="13" t="s">
        <v>1445</v>
      </c>
      <c r="V474" s="13" t="s">
        <v>3980</v>
      </c>
      <c r="W474" s="13"/>
      <c r="X474" s="13" t="s">
        <v>4527</v>
      </c>
      <c r="Y474" s="13" t="s">
        <v>3980</v>
      </c>
      <c r="Z474" s="13" t="s">
        <v>3980</v>
      </c>
      <c r="AC474" s="18"/>
    </row>
    <row r="475" spans="1:29" x14ac:dyDescent="0.25">
      <c r="A475" s="18" t="s">
        <v>4830</v>
      </c>
      <c r="B475" s="30">
        <v>2003</v>
      </c>
      <c r="C475" s="13">
        <v>313</v>
      </c>
      <c r="D475" s="14">
        <v>0.45300000000000001</v>
      </c>
      <c r="E475" s="14">
        <v>0.46100000000000002</v>
      </c>
      <c r="F475" s="13">
        <v>7</v>
      </c>
      <c r="G475" s="14">
        <v>0.39300000000000002</v>
      </c>
      <c r="H475" s="18" t="s">
        <v>3691</v>
      </c>
      <c r="I475" s="26" t="s">
        <v>134</v>
      </c>
      <c r="J475" s="18" t="s">
        <v>54</v>
      </c>
      <c r="L475" s="9">
        <v>2003</v>
      </c>
      <c r="M475" s="11"/>
      <c r="N475" s="30" t="s">
        <v>192</v>
      </c>
      <c r="O475" s="13" t="s">
        <v>28</v>
      </c>
      <c r="P475" s="13">
        <f t="shared" si="17"/>
        <v>15</v>
      </c>
      <c r="Q475" s="15">
        <f t="shared" si="18"/>
        <v>20.866666666666667</v>
      </c>
      <c r="R475" s="13" t="s">
        <v>1471</v>
      </c>
      <c r="S475" s="13" t="s">
        <v>239</v>
      </c>
      <c r="T475" s="13" t="s">
        <v>1473</v>
      </c>
      <c r="U475" s="13" t="s">
        <v>1474</v>
      </c>
      <c r="V475" s="13" t="s">
        <v>3980</v>
      </c>
      <c r="W475" s="13"/>
      <c r="X475" s="13" t="s">
        <v>3980</v>
      </c>
      <c r="Y475" s="13" t="s">
        <v>3980</v>
      </c>
      <c r="Z475" s="13" t="s">
        <v>3980</v>
      </c>
      <c r="AC475" s="18"/>
    </row>
    <row r="476" spans="1:29" x14ac:dyDescent="0.25">
      <c r="A476" s="18" t="s">
        <v>1885</v>
      </c>
      <c r="B476" s="30">
        <v>2005</v>
      </c>
      <c r="C476" s="13">
        <v>532</v>
      </c>
      <c r="D476" s="14">
        <v>0.56699999999999995</v>
      </c>
      <c r="E476" s="14">
        <v>0.63600000000000001</v>
      </c>
      <c r="F476" s="13">
        <v>12</v>
      </c>
      <c r="G476" s="14">
        <v>0.60899999999999999</v>
      </c>
      <c r="I476" s="26" t="s">
        <v>134</v>
      </c>
      <c r="J476" s="18" t="s">
        <v>54</v>
      </c>
      <c r="L476" s="9">
        <v>2005</v>
      </c>
      <c r="N476" s="30" t="s">
        <v>88</v>
      </c>
      <c r="O476" s="13" t="s">
        <v>28</v>
      </c>
      <c r="P476" s="13">
        <f t="shared" si="17"/>
        <v>13</v>
      </c>
      <c r="Q476" s="15">
        <f t="shared" si="18"/>
        <v>40.92307692307692</v>
      </c>
      <c r="R476" s="13" t="s">
        <v>899</v>
      </c>
      <c r="S476" s="13"/>
      <c r="T476" s="13" t="s">
        <v>1886</v>
      </c>
      <c r="U476" s="13" t="s">
        <v>1887</v>
      </c>
      <c r="V476" s="13" t="s">
        <v>3980</v>
      </c>
      <c r="W476" s="13"/>
      <c r="X476" s="13" t="s">
        <v>3980</v>
      </c>
      <c r="Y476" s="13" t="s">
        <v>3980</v>
      </c>
      <c r="Z476" s="13" t="s">
        <v>3980</v>
      </c>
      <c r="AC476" s="18"/>
    </row>
    <row r="477" spans="1:29" x14ac:dyDescent="0.25">
      <c r="A477" s="18" t="s">
        <v>4935</v>
      </c>
      <c r="B477" s="30">
        <v>2010</v>
      </c>
      <c r="C477" s="13">
        <v>249</v>
      </c>
      <c r="D477" s="14">
        <v>0.41399999999999998</v>
      </c>
      <c r="E477" s="14">
        <v>0.42099999999999999</v>
      </c>
      <c r="F477" s="13">
        <v>7</v>
      </c>
      <c r="G477" s="14">
        <v>0.39300000000000002</v>
      </c>
      <c r="I477" s="26" t="s">
        <v>134</v>
      </c>
      <c r="J477" s="4" t="s">
        <v>54</v>
      </c>
      <c r="K477" s="4"/>
      <c r="L477" s="9">
        <v>2010</v>
      </c>
      <c r="M477" s="11"/>
      <c r="N477" s="30" t="s">
        <v>2073</v>
      </c>
      <c r="O477" s="13" t="s">
        <v>28</v>
      </c>
      <c r="P477" s="13">
        <f t="shared" si="17"/>
        <v>8</v>
      </c>
      <c r="Q477" s="15">
        <f t="shared" si="18"/>
        <v>31.125</v>
      </c>
      <c r="R477" s="13" t="s">
        <v>2074</v>
      </c>
      <c r="S477" s="13" t="s">
        <v>2075</v>
      </c>
      <c r="T477" s="13" t="s">
        <v>320</v>
      </c>
      <c r="U477" s="13" t="s">
        <v>2076</v>
      </c>
      <c r="V477" s="13" t="s">
        <v>3980</v>
      </c>
      <c r="W477" s="13"/>
      <c r="X477" s="13" t="s">
        <v>4528</v>
      </c>
      <c r="Y477" s="13" t="s">
        <v>3980</v>
      </c>
      <c r="Z477" s="13" t="s">
        <v>3980</v>
      </c>
      <c r="AC477" s="18"/>
    </row>
    <row r="478" spans="1:29" x14ac:dyDescent="0.25">
      <c r="A478" s="18" t="s">
        <v>5036</v>
      </c>
      <c r="B478" s="30">
        <v>2014</v>
      </c>
      <c r="C478" s="13">
        <v>22</v>
      </c>
      <c r="D478" s="14">
        <v>0.10199999999999999</v>
      </c>
      <c r="E478" s="14">
        <v>0.2</v>
      </c>
      <c r="F478" s="13">
        <v>2</v>
      </c>
      <c r="G478" s="14">
        <v>7.0999999999999994E-2</v>
      </c>
      <c r="H478" s="18" t="s">
        <v>3652</v>
      </c>
      <c r="I478" s="26" t="s">
        <v>134</v>
      </c>
      <c r="J478" s="4" t="s">
        <v>105</v>
      </c>
      <c r="K478" s="4"/>
      <c r="L478" s="9">
        <f>B478</f>
        <v>2014</v>
      </c>
      <c r="N478" s="30" t="s">
        <v>123</v>
      </c>
      <c r="O478" s="13" t="s">
        <v>28</v>
      </c>
      <c r="P478" s="13">
        <f t="shared" si="17"/>
        <v>4</v>
      </c>
      <c r="Q478" s="15">
        <f t="shared" si="18"/>
        <v>5.5</v>
      </c>
      <c r="R478" s="13" t="s">
        <v>2607</v>
      </c>
      <c r="S478" s="13" t="s">
        <v>62</v>
      </c>
      <c r="T478" s="13" t="s">
        <v>2608</v>
      </c>
      <c r="U478" s="13"/>
      <c r="V478" s="13" t="s">
        <v>3980</v>
      </c>
      <c r="W478" s="13"/>
      <c r="X478" s="13" t="s">
        <v>3980</v>
      </c>
      <c r="Y478" s="13" t="s">
        <v>3980</v>
      </c>
      <c r="Z478" s="13" t="s">
        <v>3980</v>
      </c>
      <c r="AC478" s="18"/>
    </row>
    <row r="479" spans="1:29" x14ac:dyDescent="0.25">
      <c r="A479" s="18" t="s">
        <v>5064</v>
      </c>
      <c r="B479" s="30">
        <v>1993</v>
      </c>
      <c r="C479" s="13">
        <v>1565</v>
      </c>
      <c r="D479" s="14">
        <v>0.79700000000000004</v>
      </c>
      <c r="E479" s="14">
        <v>0.58899999999999997</v>
      </c>
      <c r="F479" s="13">
        <v>19</v>
      </c>
      <c r="G479" s="14">
        <v>0.81299999999999994</v>
      </c>
      <c r="I479" s="26" t="s">
        <v>134</v>
      </c>
      <c r="J479" s="18" t="s">
        <v>26</v>
      </c>
      <c r="L479" s="9">
        <v>1993</v>
      </c>
      <c r="N479" s="30" t="s">
        <v>377</v>
      </c>
      <c r="O479" s="13" t="s">
        <v>28</v>
      </c>
      <c r="P479" s="13">
        <f t="shared" si="17"/>
        <v>25</v>
      </c>
      <c r="Q479" s="15">
        <f t="shared" si="18"/>
        <v>62.6</v>
      </c>
      <c r="R479" s="13" t="s">
        <v>130</v>
      </c>
      <c r="S479" s="13" t="s">
        <v>206</v>
      </c>
      <c r="T479" s="13" t="s">
        <v>2501</v>
      </c>
      <c r="U479" s="13" t="s">
        <v>2745</v>
      </c>
      <c r="V479" s="13" t="s">
        <v>3980</v>
      </c>
      <c r="W479" s="13"/>
      <c r="X479" s="13" t="s">
        <v>4529</v>
      </c>
      <c r="Y479" s="13" t="s">
        <v>3980</v>
      </c>
      <c r="Z479" s="13" t="s">
        <v>3980</v>
      </c>
      <c r="AC479" s="18"/>
    </row>
    <row r="480" spans="1:29" x14ac:dyDescent="0.25">
      <c r="A480" s="18" t="s">
        <v>2840</v>
      </c>
      <c r="B480" s="30">
        <v>1986</v>
      </c>
      <c r="C480" s="13">
        <v>1472</v>
      </c>
      <c r="D480" s="14">
        <v>0.77900000000000003</v>
      </c>
      <c r="E480" s="14">
        <v>0.56000000000000005</v>
      </c>
      <c r="F480" s="13">
        <v>18</v>
      </c>
      <c r="G480" s="14">
        <v>0.78700000000000003</v>
      </c>
      <c r="I480" s="26" t="s">
        <v>134</v>
      </c>
      <c r="J480" s="18" t="s">
        <v>26</v>
      </c>
      <c r="L480" s="9">
        <v>1986</v>
      </c>
      <c r="N480" s="30" t="s">
        <v>123</v>
      </c>
      <c r="O480" s="13" t="s">
        <v>28</v>
      </c>
      <c r="P480" s="13">
        <f t="shared" si="17"/>
        <v>32</v>
      </c>
      <c r="Q480" s="15">
        <f t="shared" si="18"/>
        <v>46</v>
      </c>
      <c r="R480" s="13" t="s">
        <v>2841</v>
      </c>
      <c r="S480" s="13"/>
      <c r="T480" s="13" t="s">
        <v>2842</v>
      </c>
      <c r="U480" s="13" t="s">
        <v>2843</v>
      </c>
      <c r="V480" s="13" t="s">
        <v>3980</v>
      </c>
      <c r="W480" s="13"/>
      <c r="X480" s="13" t="s">
        <v>3980</v>
      </c>
      <c r="Y480" s="13" t="s">
        <v>3980</v>
      </c>
      <c r="Z480" s="13" t="s">
        <v>3980</v>
      </c>
      <c r="AC480" s="18"/>
    </row>
    <row r="481" spans="1:29" x14ac:dyDescent="0.25">
      <c r="A481" s="18" t="s">
        <v>1206</v>
      </c>
      <c r="B481" s="30">
        <v>2004</v>
      </c>
      <c r="C481" s="13">
        <v>1770</v>
      </c>
      <c r="D481" s="14">
        <v>0.81200000000000006</v>
      </c>
      <c r="E481" s="14">
        <v>0.92200000000000004</v>
      </c>
      <c r="F481" s="13">
        <v>22</v>
      </c>
      <c r="G481" s="14">
        <v>0.85699999999999998</v>
      </c>
      <c r="H481" s="18" t="s">
        <v>3459</v>
      </c>
      <c r="I481" s="26" t="s">
        <v>134</v>
      </c>
      <c r="J481" s="4" t="s">
        <v>54</v>
      </c>
      <c r="L481" s="9">
        <f>B481</f>
        <v>2004</v>
      </c>
      <c r="N481" s="30" t="s">
        <v>88</v>
      </c>
      <c r="O481" s="13" t="s">
        <v>28</v>
      </c>
      <c r="P481" s="13">
        <f t="shared" si="17"/>
        <v>14</v>
      </c>
      <c r="Q481" s="15">
        <f t="shared" si="18"/>
        <v>126.42857142857143</v>
      </c>
      <c r="R481" s="13" t="s">
        <v>163</v>
      </c>
      <c r="S481" s="13"/>
      <c r="T481" s="13" t="s">
        <v>1207</v>
      </c>
      <c r="U481" s="13"/>
      <c r="V481" s="13" t="s">
        <v>3980</v>
      </c>
      <c r="W481" s="13"/>
      <c r="X481" s="13" t="s">
        <v>3980</v>
      </c>
      <c r="Y481" s="13" t="s">
        <v>3980</v>
      </c>
      <c r="Z481" s="13" t="s">
        <v>3980</v>
      </c>
      <c r="AC481" s="18"/>
    </row>
    <row r="482" spans="1:29" x14ac:dyDescent="0.25">
      <c r="A482" s="18" t="s">
        <v>2864</v>
      </c>
      <c r="B482" s="30">
        <v>2012</v>
      </c>
      <c r="C482" s="13">
        <v>71</v>
      </c>
      <c r="D482" s="14">
        <v>0.217</v>
      </c>
      <c r="E482" s="14">
        <v>0.41399999999999998</v>
      </c>
      <c r="F482" s="13">
        <v>4</v>
      </c>
      <c r="G482" s="14">
        <v>0.19600000000000001</v>
      </c>
      <c r="I482" s="26" t="s">
        <v>134</v>
      </c>
      <c r="J482" s="4" t="s">
        <v>105</v>
      </c>
      <c r="K482" s="4"/>
      <c r="L482" s="9">
        <v>2012</v>
      </c>
      <c r="N482" s="30" t="s">
        <v>123</v>
      </c>
      <c r="O482" s="13" t="s">
        <v>28</v>
      </c>
      <c r="P482" s="13">
        <f t="shared" si="17"/>
        <v>6</v>
      </c>
      <c r="Q482" s="15">
        <f t="shared" si="18"/>
        <v>11.833333333333334</v>
      </c>
      <c r="R482" s="13" t="s">
        <v>2865</v>
      </c>
      <c r="S482" s="13"/>
      <c r="T482" s="13" t="s">
        <v>2197</v>
      </c>
      <c r="U482" s="13"/>
      <c r="V482" s="13" t="s">
        <v>4113</v>
      </c>
      <c r="W482" s="13"/>
      <c r="X482" s="13" t="s">
        <v>4530</v>
      </c>
      <c r="Y482" s="13" t="s">
        <v>3980</v>
      </c>
      <c r="Z482" s="13" t="s">
        <v>3980</v>
      </c>
      <c r="AC482" s="18"/>
    </row>
    <row r="483" spans="1:29" x14ac:dyDescent="0.25">
      <c r="A483" s="18" t="s">
        <v>640</v>
      </c>
      <c r="B483" s="30">
        <v>2009</v>
      </c>
      <c r="C483" s="13">
        <v>198</v>
      </c>
      <c r="D483" s="14">
        <v>0.379</v>
      </c>
      <c r="E483" s="14">
        <v>0.68400000000000005</v>
      </c>
      <c r="F483" s="13">
        <v>4</v>
      </c>
      <c r="G483" s="14">
        <v>0.19600000000000001</v>
      </c>
      <c r="H483" s="18" t="s">
        <v>3300</v>
      </c>
      <c r="I483" s="26" t="s">
        <v>134</v>
      </c>
      <c r="J483" s="18" t="s">
        <v>105</v>
      </c>
      <c r="L483" s="9">
        <v>2009</v>
      </c>
      <c r="N483" s="30" t="s">
        <v>34</v>
      </c>
      <c r="O483" s="13" t="s">
        <v>42</v>
      </c>
      <c r="P483" s="13">
        <f t="shared" si="17"/>
        <v>9</v>
      </c>
      <c r="Q483" s="15">
        <f t="shared" si="18"/>
        <v>22</v>
      </c>
      <c r="R483" s="13" t="s">
        <v>99</v>
      </c>
      <c r="S483" s="13"/>
      <c r="T483" s="13" t="s">
        <v>641</v>
      </c>
      <c r="U483" s="13" t="s">
        <v>642</v>
      </c>
      <c r="V483" s="13" t="s">
        <v>3980</v>
      </c>
      <c r="W483" s="13"/>
      <c r="X483" s="13" t="s">
        <v>4531</v>
      </c>
      <c r="Y483" s="13" t="s">
        <v>3980</v>
      </c>
      <c r="Z483" s="13" t="s">
        <v>3980</v>
      </c>
      <c r="AC483" s="18"/>
    </row>
    <row r="484" spans="1:29" x14ac:dyDescent="0.25">
      <c r="A484" s="18" t="s">
        <v>5082</v>
      </c>
      <c r="B484" s="30">
        <v>1983</v>
      </c>
      <c r="C484" s="13">
        <v>3530</v>
      </c>
      <c r="D484" s="14">
        <v>0.91600000000000004</v>
      </c>
      <c r="E484" s="14">
        <v>0.80800000000000005</v>
      </c>
      <c r="F484" s="13">
        <v>24</v>
      </c>
      <c r="G484" s="14">
        <v>0.88300000000000001</v>
      </c>
      <c r="H484" s="18" t="s">
        <v>3501</v>
      </c>
      <c r="I484" s="26" t="s">
        <v>134</v>
      </c>
      <c r="J484" s="18" t="s">
        <v>26</v>
      </c>
      <c r="K484" s="4"/>
      <c r="L484" s="9">
        <v>1983</v>
      </c>
      <c r="M484" s="11"/>
      <c r="N484" s="30" t="s">
        <v>1353</v>
      </c>
      <c r="O484" s="13" t="s">
        <v>28</v>
      </c>
      <c r="P484" s="13">
        <f t="shared" si="17"/>
        <v>35</v>
      </c>
      <c r="Q484" s="15">
        <f t="shared" si="18"/>
        <v>100.85714285714286</v>
      </c>
      <c r="R484" s="13" t="s">
        <v>1354</v>
      </c>
      <c r="S484" s="13" t="s">
        <v>680</v>
      </c>
      <c r="T484" s="13" t="s">
        <v>1355</v>
      </c>
      <c r="U484" s="13"/>
      <c r="V484" s="13" t="s">
        <v>3980</v>
      </c>
      <c r="W484" s="13"/>
      <c r="X484" s="13" t="s">
        <v>4532</v>
      </c>
      <c r="Y484" s="13" t="s">
        <v>3980</v>
      </c>
      <c r="Z484" s="13" t="s">
        <v>3980</v>
      </c>
      <c r="AC484" s="18"/>
    </row>
    <row r="485" spans="1:29" x14ac:dyDescent="0.25">
      <c r="A485" s="18" t="s">
        <v>1135</v>
      </c>
      <c r="B485" s="30">
        <v>2015</v>
      </c>
      <c r="C485" s="13">
        <v>91</v>
      </c>
      <c r="D485" s="14">
        <v>0.247</v>
      </c>
      <c r="E485" s="14">
        <v>0.47299999999999998</v>
      </c>
      <c r="F485" s="13">
        <v>5</v>
      </c>
      <c r="G485" s="14">
        <v>0.27400000000000002</v>
      </c>
      <c r="H485" s="18" t="s">
        <v>3439</v>
      </c>
      <c r="I485" s="26" t="s">
        <v>134</v>
      </c>
      <c r="J485" s="18" t="s">
        <v>105</v>
      </c>
      <c r="K485" s="4"/>
      <c r="L485" s="9">
        <f>B485</f>
        <v>2015</v>
      </c>
      <c r="N485" s="30" t="s">
        <v>135</v>
      </c>
      <c r="O485" s="13" t="s">
        <v>42</v>
      </c>
      <c r="P485" s="13">
        <f t="shared" si="17"/>
        <v>3</v>
      </c>
      <c r="Q485" s="15">
        <f t="shared" si="18"/>
        <v>30.333333333333332</v>
      </c>
      <c r="R485" s="13" t="s">
        <v>1136</v>
      </c>
      <c r="S485" s="13"/>
      <c r="T485" s="13" t="s">
        <v>1137</v>
      </c>
      <c r="U485" s="13"/>
      <c r="V485" s="13" t="s">
        <v>3980</v>
      </c>
      <c r="W485" s="13"/>
      <c r="X485" s="13" t="s">
        <v>3980</v>
      </c>
      <c r="Y485" s="13" t="s">
        <v>3980</v>
      </c>
      <c r="Z485" s="13" t="s">
        <v>3980</v>
      </c>
      <c r="AC485" s="18"/>
    </row>
    <row r="486" spans="1:29" x14ac:dyDescent="0.25">
      <c r="A486" s="18" t="s">
        <v>1926</v>
      </c>
      <c r="B486" s="30">
        <v>1997</v>
      </c>
      <c r="C486" s="13">
        <v>828</v>
      </c>
      <c r="D486" s="14">
        <v>0.66200000000000003</v>
      </c>
      <c r="E486" s="14">
        <v>0.40699999999999997</v>
      </c>
      <c r="F486" s="13">
        <v>11</v>
      </c>
      <c r="G486" s="14">
        <v>0.56000000000000005</v>
      </c>
      <c r="I486" s="26" t="s">
        <v>88</v>
      </c>
      <c r="J486" s="18" t="s">
        <v>26</v>
      </c>
      <c r="L486" s="9">
        <f>B486</f>
        <v>1997</v>
      </c>
      <c r="N486" s="30" t="s">
        <v>765</v>
      </c>
      <c r="O486" s="13" t="s">
        <v>28</v>
      </c>
      <c r="P486" s="13">
        <f t="shared" si="17"/>
        <v>21</v>
      </c>
      <c r="Q486" s="15">
        <f t="shared" si="18"/>
        <v>39.428571428571431</v>
      </c>
      <c r="R486" s="13" t="s">
        <v>305</v>
      </c>
      <c r="S486" s="13"/>
      <c r="T486" s="13" t="s">
        <v>1927</v>
      </c>
      <c r="U486" s="13"/>
      <c r="V486" s="13" t="s">
        <v>3980</v>
      </c>
      <c r="W486" s="13"/>
      <c r="X486" s="13" t="s">
        <v>3980</v>
      </c>
      <c r="Y486" s="13" t="s">
        <v>3980</v>
      </c>
      <c r="Z486" s="13" t="s">
        <v>3980</v>
      </c>
      <c r="AC486" s="18"/>
    </row>
    <row r="487" spans="1:29" x14ac:dyDescent="0.25">
      <c r="A487" s="18" t="s">
        <v>326</v>
      </c>
      <c r="B487" s="30">
        <v>1995</v>
      </c>
      <c r="C487" s="13">
        <v>2181</v>
      </c>
      <c r="D487" s="14">
        <v>0.85099999999999998</v>
      </c>
      <c r="E487" s="14">
        <v>0.67600000000000005</v>
      </c>
      <c r="F487" s="13">
        <v>27</v>
      </c>
      <c r="G487" s="14">
        <v>0.90700000000000003</v>
      </c>
      <c r="H487" s="18" t="s">
        <v>3223</v>
      </c>
      <c r="I487" s="26" t="s">
        <v>88</v>
      </c>
      <c r="J487" s="18" t="s">
        <v>26</v>
      </c>
      <c r="K487" s="4"/>
      <c r="L487" s="9">
        <v>1995</v>
      </c>
      <c r="N487" s="30" t="s">
        <v>88</v>
      </c>
      <c r="O487" s="13" t="s">
        <v>42</v>
      </c>
      <c r="P487" s="13">
        <f t="shared" si="17"/>
        <v>23</v>
      </c>
      <c r="Q487" s="15">
        <f t="shared" si="18"/>
        <v>94.826086956521735</v>
      </c>
      <c r="R487" s="13" t="s">
        <v>327</v>
      </c>
      <c r="S487" s="13"/>
      <c r="T487" s="13" t="s">
        <v>328</v>
      </c>
      <c r="U487" s="13" t="s">
        <v>329</v>
      </c>
      <c r="V487" s="13" t="s">
        <v>4114</v>
      </c>
      <c r="W487" s="13"/>
      <c r="X487" s="13" t="s">
        <v>4533</v>
      </c>
      <c r="Y487" s="13" t="s">
        <v>3980</v>
      </c>
      <c r="Z487" s="13" t="s">
        <v>3980</v>
      </c>
      <c r="AC487" s="18"/>
    </row>
    <row r="488" spans="1:29" x14ac:dyDescent="0.25">
      <c r="A488" s="18" t="s">
        <v>122</v>
      </c>
      <c r="B488" s="30">
        <v>1987</v>
      </c>
      <c r="C488" s="13">
        <v>4166</v>
      </c>
      <c r="D488" s="14">
        <v>0.93100000000000005</v>
      </c>
      <c r="E488" s="14">
        <v>0.84</v>
      </c>
      <c r="F488" s="13">
        <v>24</v>
      </c>
      <c r="G488" s="14">
        <v>0.88300000000000001</v>
      </c>
      <c r="H488" s="18" t="s">
        <v>3178</v>
      </c>
      <c r="I488" s="26" t="s">
        <v>88</v>
      </c>
      <c r="J488" s="18" t="s">
        <v>26</v>
      </c>
      <c r="K488" s="4"/>
      <c r="L488" s="9">
        <v>1987</v>
      </c>
      <c r="N488" s="30" t="s">
        <v>123</v>
      </c>
      <c r="O488" s="13" t="s">
        <v>28</v>
      </c>
      <c r="P488" s="13">
        <f t="shared" si="17"/>
        <v>31</v>
      </c>
      <c r="Q488" s="15">
        <f t="shared" si="18"/>
        <v>134.38709677419354</v>
      </c>
      <c r="R488" s="13" t="s">
        <v>124</v>
      </c>
      <c r="S488" s="13"/>
      <c r="T488" s="13" t="s">
        <v>125</v>
      </c>
      <c r="U488" s="13" t="s">
        <v>126</v>
      </c>
      <c r="V488" s="13" t="s">
        <v>3980</v>
      </c>
      <c r="W488" s="13"/>
      <c r="X488" s="13" t="s">
        <v>4534</v>
      </c>
      <c r="Y488" s="13" t="s">
        <v>3980</v>
      </c>
      <c r="Z488" s="13" t="s">
        <v>3980</v>
      </c>
      <c r="AC488" s="18"/>
    </row>
    <row r="489" spans="1:29" x14ac:dyDescent="0.25">
      <c r="A489" s="18" t="s">
        <v>1783</v>
      </c>
      <c r="B489" s="30">
        <v>1982</v>
      </c>
      <c r="C489" s="13">
        <v>2008</v>
      </c>
      <c r="D489" s="14">
        <v>0.83399999999999996</v>
      </c>
      <c r="E489" s="14">
        <v>0.64200000000000002</v>
      </c>
      <c r="F489" s="13">
        <v>16</v>
      </c>
      <c r="G489" s="14">
        <v>0.74099999999999999</v>
      </c>
      <c r="I489" s="26" t="s">
        <v>88</v>
      </c>
      <c r="J489" s="18" t="s">
        <v>26</v>
      </c>
      <c r="L489" s="9">
        <f>B489</f>
        <v>1982</v>
      </c>
      <c r="M489" s="11"/>
      <c r="N489" s="30" t="s">
        <v>765</v>
      </c>
      <c r="O489" s="13" t="s">
        <v>42</v>
      </c>
      <c r="P489" s="13">
        <f t="shared" si="17"/>
        <v>36</v>
      </c>
      <c r="Q489" s="15">
        <f t="shared" si="18"/>
        <v>55.777777777777779</v>
      </c>
      <c r="R489" s="13" t="s">
        <v>1784</v>
      </c>
      <c r="S489" s="13"/>
      <c r="T489" s="13" t="s">
        <v>1785</v>
      </c>
      <c r="U489" s="13"/>
      <c r="V489" s="13" t="s">
        <v>3980</v>
      </c>
      <c r="W489" s="13"/>
      <c r="X489" s="13" t="s">
        <v>3980</v>
      </c>
      <c r="Y489" s="13" t="s">
        <v>3980</v>
      </c>
      <c r="Z489" s="13" t="s">
        <v>3980</v>
      </c>
      <c r="AC489" s="18"/>
    </row>
    <row r="490" spans="1:29" x14ac:dyDescent="0.25">
      <c r="A490" s="18" t="s">
        <v>2058</v>
      </c>
      <c r="B490" s="30">
        <v>1997</v>
      </c>
      <c r="C490" s="13">
        <v>2547</v>
      </c>
      <c r="D490" s="14">
        <v>0.873</v>
      </c>
      <c r="E490" s="14">
        <v>0.71899999999999997</v>
      </c>
      <c r="F490" s="13">
        <v>22</v>
      </c>
      <c r="G490" s="14">
        <v>0.85699999999999998</v>
      </c>
      <c r="H490" s="18" t="s">
        <v>3535</v>
      </c>
      <c r="I490" s="26" t="s">
        <v>88</v>
      </c>
      <c r="J490" s="18" t="s">
        <v>26</v>
      </c>
      <c r="L490" s="9">
        <f>B490</f>
        <v>1997</v>
      </c>
      <c r="N490" s="30" t="s">
        <v>34</v>
      </c>
      <c r="O490" s="13" t="s">
        <v>28</v>
      </c>
      <c r="P490" s="13">
        <f t="shared" si="17"/>
        <v>21</v>
      </c>
      <c r="Q490" s="15">
        <f t="shared" si="18"/>
        <v>121.28571428571429</v>
      </c>
      <c r="R490" s="13" t="s">
        <v>2059</v>
      </c>
      <c r="S490" s="13"/>
      <c r="T490" s="13" t="s">
        <v>2060</v>
      </c>
      <c r="U490" s="13"/>
      <c r="V490" s="13" t="s">
        <v>3980</v>
      </c>
      <c r="W490" s="13"/>
      <c r="X490" s="13" t="s">
        <v>3980</v>
      </c>
      <c r="Y490" s="13" t="s">
        <v>3980</v>
      </c>
      <c r="Z490" s="13" t="s">
        <v>3980</v>
      </c>
      <c r="AC490" s="18"/>
    </row>
    <row r="491" spans="1:29" x14ac:dyDescent="0.25">
      <c r="A491" s="18" t="s">
        <v>5001</v>
      </c>
      <c r="B491" s="30">
        <v>1970</v>
      </c>
      <c r="C491" s="13">
        <v>366</v>
      </c>
      <c r="D491" s="14">
        <v>0.48099999999999998</v>
      </c>
      <c r="E491" s="14">
        <v>0.504</v>
      </c>
      <c r="F491" s="13">
        <v>11</v>
      </c>
      <c r="G491" s="14">
        <v>0.56000000000000005</v>
      </c>
      <c r="I491" s="26" t="s">
        <v>88</v>
      </c>
      <c r="J491" s="18" t="s">
        <v>54</v>
      </c>
      <c r="L491" s="9">
        <v>1970</v>
      </c>
      <c r="N491" s="30" t="s">
        <v>83</v>
      </c>
      <c r="O491" s="13" t="s">
        <v>28</v>
      </c>
      <c r="P491" s="13">
        <f t="shared" si="17"/>
        <v>48</v>
      </c>
      <c r="Q491" s="15">
        <f t="shared" si="18"/>
        <v>7.625</v>
      </c>
      <c r="R491" s="13" t="s">
        <v>2373</v>
      </c>
      <c r="S491" s="13" t="s">
        <v>418</v>
      </c>
      <c r="T491" s="13" t="s">
        <v>2374</v>
      </c>
      <c r="U491" s="13" t="s">
        <v>2375</v>
      </c>
      <c r="V491" s="13" t="s">
        <v>3980</v>
      </c>
      <c r="W491" s="13"/>
      <c r="X491" s="13" t="s">
        <v>4535</v>
      </c>
      <c r="Y491" s="13" t="s">
        <v>3980</v>
      </c>
      <c r="Z491" s="13" t="s">
        <v>3980</v>
      </c>
      <c r="AC491" s="18"/>
    </row>
    <row r="492" spans="1:29" x14ac:dyDescent="0.25">
      <c r="A492" s="18" t="s">
        <v>1039</v>
      </c>
      <c r="B492" s="30">
        <v>2015</v>
      </c>
      <c r="C492" s="13">
        <v>117</v>
      </c>
      <c r="D492" s="14">
        <v>0.29099999999999998</v>
      </c>
      <c r="E492" s="14">
        <v>0.55000000000000004</v>
      </c>
      <c r="F492" s="13">
        <v>3</v>
      </c>
      <c r="G492" s="14">
        <v>0.13100000000000001</v>
      </c>
      <c r="H492" s="18" t="s">
        <v>3412</v>
      </c>
      <c r="I492" s="26" t="s">
        <v>88</v>
      </c>
      <c r="J492" s="18" t="s">
        <v>105</v>
      </c>
      <c r="K492" s="4"/>
      <c r="L492" s="9">
        <f>B492</f>
        <v>2015</v>
      </c>
      <c r="M492" s="11"/>
      <c r="N492" s="30" t="s">
        <v>123</v>
      </c>
      <c r="O492" s="13" t="s">
        <v>42</v>
      </c>
      <c r="P492" s="13">
        <f t="shared" si="17"/>
        <v>3</v>
      </c>
      <c r="Q492" s="15">
        <f t="shared" si="18"/>
        <v>39</v>
      </c>
      <c r="R492" s="13" t="s">
        <v>1040</v>
      </c>
      <c r="S492" s="13"/>
      <c r="T492" s="13" t="s">
        <v>1041</v>
      </c>
      <c r="U492" s="13"/>
      <c r="V492" s="13" t="s">
        <v>3980</v>
      </c>
      <c r="W492" s="13"/>
      <c r="X492" s="13" t="s">
        <v>3980</v>
      </c>
      <c r="Y492" s="13" t="s">
        <v>3980</v>
      </c>
      <c r="Z492" s="13" t="s">
        <v>3980</v>
      </c>
      <c r="AC492" s="18"/>
    </row>
    <row r="493" spans="1:29" x14ac:dyDescent="0.25">
      <c r="A493" s="18" t="s">
        <v>5112</v>
      </c>
      <c r="B493" s="30">
        <v>1982</v>
      </c>
      <c r="C493" s="13">
        <v>8787</v>
      </c>
      <c r="D493" s="14">
        <v>0.97899999999999998</v>
      </c>
      <c r="E493" s="14">
        <v>0.94899999999999995</v>
      </c>
      <c r="F493" s="13">
        <v>41</v>
      </c>
      <c r="G493" s="14">
        <v>0.97799999999999998</v>
      </c>
      <c r="H493" s="18" t="s">
        <v>3523</v>
      </c>
      <c r="I493" s="26" t="s">
        <v>88</v>
      </c>
      <c r="J493" s="18" t="s">
        <v>26</v>
      </c>
      <c r="L493" s="9">
        <v>1982</v>
      </c>
      <c r="M493" s="11"/>
      <c r="N493" s="30" t="s">
        <v>41</v>
      </c>
      <c r="O493" s="13" t="s">
        <v>42</v>
      </c>
      <c r="P493" s="13">
        <f t="shared" si="17"/>
        <v>36</v>
      </c>
      <c r="Q493" s="15">
        <f t="shared" si="18"/>
        <v>244.08333333333334</v>
      </c>
      <c r="R493" s="13" t="s">
        <v>1424</v>
      </c>
      <c r="S493" s="13" t="s">
        <v>90</v>
      </c>
      <c r="T493" s="13" t="s">
        <v>1425</v>
      </c>
      <c r="U493" s="13"/>
      <c r="V493" s="13" t="s">
        <v>4115</v>
      </c>
      <c r="W493" s="13"/>
      <c r="X493" s="13" t="s">
        <v>4536</v>
      </c>
      <c r="Y493" s="13" t="s">
        <v>3980</v>
      </c>
      <c r="Z493" s="13" t="s">
        <v>3980</v>
      </c>
      <c r="AC493" s="18"/>
    </row>
    <row r="494" spans="1:29" x14ac:dyDescent="0.25">
      <c r="A494" s="18" t="s">
        <v>5061</v>
      </c>
      <c r="B494" s="30">
        <v>1973</v>
      </c>
      <c r="C494" s="8">
        <v>6182</v>
      </c>
      <c r="D494" s="14">
        <v>0.96299999999999997</v>
      </c>
      <c r="E494" s="14">
        <v>0.91300000000000003</v>
      </c>
      <c r="F494" s="8">
        <v>31</v>
      </c>
      <c r="G494" s="14">
        <v>0.94</v>
      </c>
      <c r="H494" s="18" t="s">
        <v>3654</v>
      </c>
      <c r="I494" s="26" t="s">
        <v>88</v>
      </c>
      <c r="J494" s="18" t="s">
        <v>26</v>
      </c>
      <c r="L494" s="9">
        <f>B494</f>
        <v>1973</v>
      </c>
      <c r="N494" s="28" t="s">
        <v>3150</v>
      </c>
      <c r="O494" s="13" t="s">
        <v>28</v>
      </c>
      <c r="P494" s="13">
        <f t="shared" si="17"/>
        <v>45</v>
      </c>
      <c r="Q494" s="15">
        <f t="shared" si="18"/>
        <v>137.37777777777777</v>
      </c>
      <c r="R494" s="18" t="s">
        <v>130</v>
      </c>
      <c r="T494" s="18" t="s">
        <v>1559</v>
      </c>
      <c r="V494" s="18" t="s">
        <v>3980</v>
      </c>
      <c r="X494" s="18" t="s">
        <v>3980</v>
      </c>
      <c r="Y494" s="18" t="s">
        <v>3980</v>
      </c>
      <c r="Z494" s="18" t="s">
        <v>3980</v>
      </c>
      <c r="AC494" s="18"/>
    </row>
    <row r="495" spans="1:29" x14ac:dyDescent="0.25">
      <c r="A495" s="18" t="s">
        <v>959</v>
      </c>
      <c r="B495" s="30">
        <v>2011</v>
      </c>
      <c r="C495" s="13">
        <v>222</v>
      </c>
      <c r="D495" s="14">
        <v>0.39400000000000002</v>
      </c>
      <c r="E495" s="14">
        <v>0.70799999999999996</v>
      </c>
      <c r="F495" s="13">
        <v>9</v>
      </c>
      <c r="G495" s="14">
        <v>0.48799999999999999</v>
      </c>
      <c r="H495" s="18" t="s">
        <v>3617</v>
      </c>
      <c r="I495" s="26" t="s">
        <v>88</v>
      </c>
      <c r="J495" s="18" t="s">
        <v>105</v>
      </c>
      <c r="K495" s="4"/>
      <c r="L495" s="9">
        <v>2011</v>
      </c>
      <c r="N495" s="30" t="s">
        <v>243</v>
      </c>
      <c r="O495" s="13" t="s">
        <v>28</v>
      </c>
      <c r="P495" s="13">
        <f t="shared" si="17"/>
        <v>7</v>
      </c>
      <c r="Q495" s="15">
        <f t="shared" si="18"/>
        <v>31.714285714285715</v>
      </c>
      <c r="R495" s="13" t="s">
        <v>84</v>
      </c>
      <c r="S495" s="13"/>
      <c r="T495" s="13" t="s">
        <v>960</v>
      </c>
      <c r="U495" s="13" t="s">
        <v>961</v>
      </c>
      <c r="V495" s="13" t="s">
        <v>4116</v>
      </c>
      <c r="W495" s="13"/>
      <c r="X495" s="13" t="s">
        <v>4537</v>
      </c>
      <c r="Y495" s="13" t="s">
        <v>3980</v>
      </c>
      <c r="Z495" s="13" t="s">
        <v>3980</v>
      </c>
      <c r="AC495" s="18"/>
    </row>
    <row r="496" spans="1:29" x14ac:dyDescent="0.25">
      <c r="A496" s="18" t="s">
        <v>1269</v>
      </c>
      <c r="B496" s="30">
        <v>1988</v>
      </c>
      <c r="C496" s="13">
        <v>3866</v>
      </c>
      <c r="D496" s="14">
        <v>0.92500000000000004</v>
      </c>
      <c r="E496" s="14">
        <v>0.82599999999999996</v>
      </c>
      <c r="F496" s="13">
        <v>33</v>
      </c>
      <c r="G496" s="14">
        <v>0.94899999999999995</v>
      </c>
      <c r="H496" s="18" t="s">
        <v>3477</v>
      </c>
      <c r="I496" s="26" t="s">
        <v>88</v>
      </c>
      <c r="J496" s="18" t="s">
        <v>26</v>
      </c>
      <c r="K496" s="4"/>
      <c r="L496" s="9">
        <v>1988</v>
      </c>
      <c r="N496" s="30" t="s">
        <v>192</v>
      </c>
      <c r="O496" s="13" t="s">
        <v>42</v>
      </c>
      <c r="P496" s="13">
        <f t="shared" si="17"/>
        <v>30</v>
      </c>
      <c r="Q496" s="15">
        <f t="shared" si="18"/>
        <v>128.86666666666667</v>
      </c>
      <c r="R496" s="13" t="s">
        <v>1270</v>
      </c>
      <c r="S496" s="13"/>
      <c r="T496" s="13" t="s">
        <v>1271</v>
      </c>
      <c r="U496" s="13" t="s">
        <v>1272</v>
      </c>
      <c r="V496" s="13" t="s">
        <v>3980</v>
      </c>
      <c r="W496" s="13"/>
      <c r="X496" s="13" t="s">
        <v>3980</v>
      </c>
      <c r="Y496" s="13" t="s">
        <v>3980</v>
      </c>
      <c r="Z496" s="13" t="s">
        <v>3980</v>
      </c>
      <c r="AC496" s="18"/>
    </row>
    <row r="497" spans="1:29" x14ac:dyDescent="0.25">
      <c r="A497" s="18" t="s">
        <v>209</v>
      </c>
      <c r="B497" s="30">
        <v>2009</v>
      </c>
      <c r="C497" s="13">
        <v>1159</v>
      </c>
      <c r="D497" s="14">
        <v>0.73</v>
      </c>
      <c r="E497" s="14">
        <v>0.97499999999999998</v>
      </c>
      <c r="F497" s="13">
        <v>14</v>
      </c>
      <c r="G497" s="14">
        <v>0.67900000000000005</v>
      </c>
      <c r="H497" s="18" t="s">
        <v>3195</v>
      </c>
      <c r="I497" s="26" t="s">
        <v>88</v>
      </c>
      <c r="J497" s="18" t="s">
        <v>105</v>
      </c>
      <c r="L497" s="9">
        <v>2009</v>
      </c>
      <c r="N497" s="30" t="s">
        <v>88</v>
      </c>
      <c r="O497" s="13" t="s">
        <v>28</v>
      </c>
      <c r="P497" s="13">
        <f t="shared" si="17"/>
        <v>9</v>
      </c>
      <c r="Q497" s="15">
        <f t="shared" si="18"/>
        <v>128.77777777777777</v>
      </c>
      <c r="R497" s="13" t="s">
        <v>84</v>
      </c>
      <c r="S497" s="13"/>
      <c r="T497" s="13" t="s">
        <v>210</v>
      </c>
      <c r="U497" s="13" t="s">
        <v>211</v>
      </c>
      <c r="V497" s="13" t="s">
        <v>4117</v>
      </c>
      <c r="W497" s="13"/>
      <c r="X497" s="13" t="s">
        <v>3980</v>
      </c>
      <c r="Y497" s="13" t="s">
        <v>3980</v>
      </c>
      <c r="Z497" s="13" t="s">
        <v>3980</v>
      </c>
      <c r="AC497" s="18"/>
    </row>
    <row r="498" spans="1:29" x14ac:dyDescent="0.25">
      <c r="A498" s="18" t="s">
        <v>530</v>
      </c>
      <c r="B498" s="30">
        <v>2009</v>
      </c>
      <c r="C498" s="13">
        <v>643</v>
      </c>
      <c r="D498" s="14">
        <v>0.61499999999999999</v>
      </c>
      <c r="E498" s="14">
        <v>0.70699999999999996</v>
      </c>
      <c r="F498" s="13">
        <v>15</v>
      </c>
      <c r="G498" s="14">
        <v>0.71</v>
      </c>
      <c r="H498" s="18" t="s">
        <v>3271</v>
      </c>
      <c r="I498" s="26" t="s">
        <v>88</v>
      </c>
      <c r="J498" s="4" t="s">
        <v>54</v>
      </c>
      <c r="K498" s="4"/>
      <c r="L498" s="9">
        <v>2009</v>
      </c>
      <c r="N498" s="30" t="s">
        <v>41</v>
      </c>
      <c r="O498" s="13" t="s">
        <v>28</v>
      </c>
      <c r="P498" s="13">
        <f t="shared" si="17"/>
        <v>9</v>
      </c>
      <c r="Q498" s="15">
        <f t="shared" si="18"/>
        <v>71.444444444444443</v>
      </c>
      <c r="R498" s="13" t="s">
        <v>531</v>
      </c>
      <c r="S498" s="13"/>
      <c r="T498" s="13" t="s">
        <v>532</v>
      </c>
      <c r="U498" s="13" t="s">
        <v>533</v>
      </c>
      <c r="V498" s="13" t="s">
        <v>4118</v>
      </c>
      <c r="W498" s="13"/>
      <c r="X498" s="13" t="s">
        <v>4538</v>
      </c>
      <c r="Y498" s="13" t="s">
        <v>3980</v>
      </c>
      <c r="Z498" s="13" t="s">
        <v>3980</v>
      </c>
      <c r="AC498" s="18"/>
    </row>
    <row r="499" spans="1:29" x14ac:dyDescent="0.25">
      <c r="A499" s="18" t="s">
        <v>2996</v>
      </c>
      <c r="B499" s="30">
        <v>2000</v>
      </c>
      <c r="C499" s="13">
        <v>987</v>
      </c>
      <c r="D499" s="14">
        <v>0.69699999999999995</v>
      </c>
      <c r="E499" s="14">
        <v>0.44600000000000001</v>
      </c>
      <c r="F499" s="13">
        <v>15</v>
      </c>
      <c r="G499" s="14">
        <v>0.71</v>
      </c>
      <c r="I499" s="26" t="s">
        <v>88</v>
      </c>
      <c r="J499" s="18" t="s">
        <v>26</v>
      </c>
      <c r="L499" s="9">
        <v>2000</v>
      </c>
      <c r="N499" s="30" t="s">
        <v>123</v>
      </c>
      <c r="O499" s="13" t="s">
        <v>28</v>
      </c>
      <c r="P499" s="13">
        <f t="shared" si="17"/>
        <v>18</v>
      </c>
      <c r="Q499" s="15">
        <f t="shared" si="18"/>
        <v>54.833333333333336</v>
      </c>
      <c r="R499" s="13" t="s">
        <v>2997</v>
      </c>
      <c r="S499" s="13"/>
      <c r="T499" s="13" t="s">
        <v>2998</v>
      </c>
      <c r="U499" s="13" t="s">
        <v>2999</v>
      </c>
      <c r="V499" s="13" t="s">
        <v>3980</v>
      </c>
      <c r="W499" s="13"/>
      <c r="X499" s="13" t="s">
        <v>3980</v>
      </c>
      <c r="Y499" s="13" t="s">
        <v>3980</v>
      </c>
      <c r="Z499" s="13" t="s">
        <v>3980</v>
      </c>
      <c r="AC499" s="18"/>
    </row>
    <row r="500" spans="1:29" x14ac:dyDescent="0.25">
      <c r="A500" s="18" t="s">
        <v>672</v>
      </c>
      <c r="B500" s="30">
        <v>1983</v>
      </c>
      <c r="C500" s="13">
        <v>4702</v>
      </c>
      <c r="D500" s="14">
        <v>0.93899999999999995</v>
      </c>
      <c r="E500" s="14">
        <v>0.86099999999999999</v>
      </c>
      <c r="F500" s="13">
        <v>36</v>
      </c>
      <c r="G500" s="14">
        <v>0.96499999999999997</v>
      </c>
      <c r="H500" s="18" t="s">
        <v>3309</v>
      </c>
      <c r="I500" s="26" t="s">
        <v>88</v>
      </c>
      <c r="J500" s="18" t="s">
        <v>26</v>
      </c>
      <c r="K500" s="4"/>
      <c r="L500" s="9">
        <v>1983</v>
      </c>
      <c r="N500" s="30" t="s">
        <v>41</v>
      </c>
      <c r="O500" s="13" t="s">
        <v>28</v>
      </c>
      <c r="P500" s="13">
        <f t="shared" si="17"/>
        <v>35</v>
      </c>
      <c r="Q500" s="15">
        <f t="shared" si="18"/>
        <v>134.34285714285716</v>
      </c>
      <c r="R500" s="13" t="s">
        <v>260</v>
      </c>
      <c r="S500" s="13"/>
      <c r="T500" s="13" t="s">
        <v>673</v>
      </c>
      <c r="U500" s="13" t="s">
        <v>674</v>
      </c>
      <c r="V500" s="13" t="s">
        <v>3980</v>
      </c>
      <c r="W500" s="13"/>
      <c r="X500" s="13" t="s">
        <v>4539</v>
      </c>
      <c r="Y500" s="13" t="s">
        <v>3980</v>
      </c>
      <c r="Z500" s="13" t="s">
        <v>3980</v>
      </c>
      <c r="AC500" s="18"/>
    </row>
    <row r="501" spans="1:29" x14ac:dyDescent="0.25">
      <c r="A501" s="18" t="s">
        <v>943</v>
      </c>
      <c r="B501" s="30">
        <v>2009</v>
      </c>
      <c r="C501" s="13">
        <v>2038</v>
      </c>
      <c r="D501" s="14">
        <v>0.84</v>
      </c>
      <c r="E501" s="14">
        <v>0.996</v>
      </c>
      <c r="F501" s="13">
        <v>20</v>
      </c>
      <c r="G501" s="14">
        <v>0.82599999999999996</v>
      </c>
      <c r="H501" s="18" t="s">
        <v>3384</v>
      </c>
      <c r="I501" s="26" t="s">
        <v>88</v>
      </c>
      <c r="J501" s="18" t="s">
        <v>105</v>
      </c>
      <c r="L501" s="9">
        <f>B501</f>
        <v>2009</v>
      </c>
      <c r="N501" s="30" t="s">
        <v>765</v>
      </c>
      <c r="O501" s="13" t="s">
        <v>28</v>
      </c>
      <c r="P501" s="13">
        <f t="shared" si="17"/>
        <v>9</v>
      </c>
      <c r="Q501" s="15">
        <f t="shared" si="18"/>
        <v>226.44444444444446</v>
      </c>
      <c r="R501" s="13" t="s">
        <v>944</v>
      </c>
      <c r="S501" s="13"/>
      <c r="T501" s="13" t="s">
        <v>945</v>
      </c>
      <c r="U501" s="13"/>
      <c r="V501" s="13" t="s">
        <v>3980</v>
      </c>
      <c r="W501" s="13"/>
      <c r="X501" s="13" t="s">
        <v>3980</v>
      </c>
      <c r="Y501" s="13" t="s">
        <v>3980</v>
      </c>
      <c r="Z501" s="13" t="s">
        <v>3980</v>
      </c>
      <c r="AC501" s="18"/>
    </row>
    <row r="502" spans="1:29" x14ac:dyDescent="0.25">
      <c r="A502" s="18" t="s">
        <v>1515</v>
      </c>
      <c r="B502" s="30">
        <v>1999</v>
      </c>
      <c r="C502" s="13">
        <v>7625</v>
      </c>
      <c r="D502" s="14">
        <v>0.97299999999999998</v>
      </c>
      <c r="E502" s="14">
        <v>0.93600000000000005</v>
      </c>
      <c r="F502" s="13">
        <v>33</v>
      </c>
      <c r="G502" s="14">
        <v>0.94899999999999995</v>
      </c>
      <c r="I502" s="26" t="s">
        <v>88</v>
      </c>
      <c r="J502" s="18" t="s">
        <v>26</v>
      </c>
      <c r="L502" s="9">
        <v>1999</v>
      </c>
      <c r="N502" s="30" t="s">
        <v>41</v>
      </c>
      <c r="O502" s="13" t="s">
        <v>42</v>
      </c>
      <c r="P502" s="13">
        <f t="shared" si="17"/>
        <v>19</v>
      </c>
      <c r="Q502" s="15">
        <f t="shared" si="18"/>
        <v>401.31578947368422</v>
      </c>
      <c r="R502" s="13" t="s">
        <v>1516</v>
      </c>
      <c r="S502" s="13"/>
      <c r="T502" s="13" t="s">
        <v>1517</v>
      </c>
      <c r="U502" s="13" t="s">
        <v>1518</v>
      </c>
      <c r="V502" s="13" t="s">
        <v>3980</v>
      </c>
      <c r="W502" s="13"/>
      <c r="X502" s="13" t="s">
        <v>3980</v>
      </c>
      <c r="Y502" s="13" t="s">
        <v>3980</v>
      </c>
      <c r="Z502" s="13" t="s">
        <v>3980</v>
      </c>
      <c r="AC502" s="18"/>
    </row>
    <row r="503" spans="1:29" x14ac:dyDescent="0.25">
      <c r="A503" s="18" t="s">
        <v>2543</v>
      </c>
      <c r="B503" s="30">
        <v>1995</v>
      </c>
      <c r="C503" s="13">
        <v>4252</v>
      </c>
      <c r="D503" s="14">
        <v>0.93200000000000005</v>
      </c>
      <c r="E503" s="14">
        <v>0.84199999999999997</v>
      </c>
      <c r="F503" s="13">
        <v>37</v>
      </c>
      <c r="G503" s="14">
        <v>0.96899999999999997</v>
      </c>
      <c r="I503" s="26" t="s">
        <v>88</v>
      </c>
      <c r="J503" s="18" t="s">
        <v>26</v>
      </c>
      <c r="K503" s="4"/>
      <c r="L503" s="9">
        <v>1995</v>
      </c>
      <c r="N503" s="30" t="s">
        <v>123</v>
      </c>
      <c r="O503" s="13" t="s">
        <v>28</v>
      </c>
      <c r="P503" s="13">
        <f t="shared" si="17"/>
        <v>23</v>
      </c>
      <c r="Q503" s="15">
        <f t="shared" si="18"/>
        <v>184.86956521739131</v>
      </c>
      <c r="R503" s="13" t="s">
        <v>84</v>
      </c>
      <c r="S503" s="13"/>
      <c r="T503" s="13" t="s">
        <v>2544</v>
      </c>
      <c r="U503" s="13"/>
      <c r="V503" s="13" t="s">
        <v>3980</v>
      </c>
      <c r="W503" s="13"/>
      <c r="X503" s="13" t="s">
        <v>3980</v>
      </c>
      <c r="Y503" s="13" t="s">
        <v>3980</v>
      </c>
      <c r="Z503" s="13" t="s">
        <v>3980</v>
      </c>
      <c r="AC503" s="18"/>
    </row>
    <row r="504" spans="1:29" x14ac:dyDescent="0.25">
      <c r="A504" s="18" t="s">
        <v>389</v>
      </c>
      <c r="B504" s="30">
        <v>1982</v>
      </c>
      <c r="C504" s="13">
        <v>39048</v>
      </c>
      <c r="D504" s="14">
        <v>1</v>
      </c>
      <c r="E504" s="14">
        <v>1</v>
      </c>
      <c r="F504" s="13">
        <v>73</v>
      </c>
      <c r="G504" s="14">
        <v>1</v>
      </c>
      <c r="H504" s="18" t="s">
        <v>3236</v>
      </c>
      <c r="I504" s="26" t="s">
        <v>88</v>
      </c>
      <c r="J504" s="18" t="s">
        <v>26</v>
      </c>
      <c r="L504" s="9">
        <v>1982</v>
      </c>
      <c r="N504" s="30" t="s">
        <v>41</v>
      </c>
      <c r="O504" s="13" t="s">
        <v>28</v>
      </c>
      <c r="P504" s="13">
        <f t="shared" si="17"/>
        <v>36</v>
      </c>
      <c r="Q504" s="15">
        <f t="shared" si="18"/>
        <v>1084.6666666666667</v>
      </c>
      <c r="R504" s="13" t="s">
        <v>84</v>
      </c>
      <c r="S504" s="13"/>
      <c r="T504" s="13" t="s">
        <v>390</v>
      </c>
      <c r="U504" s="13" t="s">
        <v>391</v>
      </c>
      <c r="V504" s="13" t="s">
        <v>4119</v>
      </c>
      <c r="W504" s="13"/>
      <c r="X504" s="13" t="s">
        <v>4540</v>
      </c>
      <c r="Y504" s="13" t="s">
        <v>3980</v>
      </c>
      <c r="Z504" s="13" t="s">
        <v>3980</v>
      </c>
      <c r="AC504" s="18"/>
    </row>
    <row r="505" spans="1:29" x14ac:dyDescent="0.25">
      <c r="A505" s="18" t="s">
        <v>2408</v>
      </c>
      <c r="B505" s="30">
        <v>1992</v>
      </c>
      <c r="C505" s="13">
        <v>2258</v>
      </c>
      <c r="D505" s="14">
        <v>0.85399999999999998</v>
      </c>
      <c r="E505" s="14">
        <v>0.68500000000000005</v>
      </c>
      <c r="F505" s="13">
        <v>25</v>
      </c>
      <c r="G505" s="14">
        <v>0.89500000000000002</v>
      </c>
      <c r="H505" s="18" t="s">
        <v>3533</v>
      </c>
      <c r="I505" s="26" t="s">
        <v>88</v>
      </c>
      <c r="J505" s="18" t="s">
        <v>26</v>
      </c>
      <c r="K505" s="4"/>
      <c r="L505" s="9">
        <v>1992</v>
      </c>
      <c r="N505" s="30" t="s">
        <v>192</v>
      </c>
      <c r="O505" s="13" t="s">
        <v>42</v>
      </c>
      <c r="P505" s="13">
        <f t="shared" si="17"/>
        <v>26</v>
      </c>
      <c r="Q505" s="15">
        <f t="shared" si="18"/>
        <v>86.84615384615384</v>
      </c>
      <c r="R505" s="13" t="s">
        <v>2409</v>
      </c>
      <c r="S505" s="13"/>
      <c r="T505" s="13" t="s">
        <v>2410</v>
      </c>
      <c r="U505" s="13" t="s">
        <v>2411</v>
      </c>
      <c r="V505" s="13" t="s">
        <v>4120</v>
      </c>
      <c r="W505" s="13"/>
      <c r="X505" s="13" t="s">
        <v>4541</v>
      </c>
      <c r="Y505" s="13" t="s">
        <v>3980</v>
      </c>
      <c r="Z505" s="13" t="s">
        <v>3980</v>
      </c>
      <c r="AC505" s="18"/>
    </row>
    <row r="506" spans="1:29" x14ac:dyDescent="0.25">
      <c r="A506" s="18" t="s">
        <v>574</v>
      </c>
      <c r="B506" s="30">
        <v>1992</v>
      </c>
      <c r="C506" s="13">
        <v>3556</v>
      </c>
      <c r="D506" s="14">
        <v>0.91700000000000004</v>
      </c>
      <c r="E506" s="14">
        <v>0.81</v>
      </c>
      <c r="F506" s="13">
        <v>29</v>
      </c>
      <c r="G506" s="14">
        <v>0.92400000000000004</v>
      </c>
      <c r="H506" s="18" t="s">
        <v>3283</v>
      </c>
      <c r="I506" s="26" t="s">
        <v>88</v>
      </c>
      <c r="J506" s="18" t="s">
        <v>26</v>
      </c>
      <c r="L506" s="9">
        <v>1992</v>
      </c>
      <c r="N506" s="30" t="s">
        <v>88</v>
      </c>
      <c r="O506" s="13" t="s">
        <v>28</v>
      </c>
      <c r="P506" s="13">
        <f t="shared" si="17"/>
        <v>26</v>
      </c>
      <c r="Q506" s="15">
        <f t="shared" si="18"/>
        <v>136.76923076923077</v>
      </c>
      <c r="R506" s="13" t="s">
        <v>575</v>
      </c>
      <c r="S506" s="13"/>
      <c r="T506" s="13" t="s">
        <v>576</v>
      </c>
      <c r="U506" s="13" t="s">
        <v>577</v>
      </c>
      <c r="V506" s="13" t="s">
        <v>4121</v>
      </c>
      <c r="W506" s="13"/>
      <c r="X506" s="13" t="s">
        <v>4542</v>
      </c>
      <c r="Y506" s="13" t="s">
        <v>3980</v>
      </c>
      <c r="Z506" s="13" t="s">
        <v>3980</v>
      </c>
      <c r="AC506" s="18"/>
    </row>
    <row r="507" spans="1:29" x14ac:dyDescent="0.25">
      <c r="A507" s="18" t="s">
        <v>1278</v>
      </c>
      <c r="B507" s="30">
        <v>1989</v>
      </c>
      <c r="C507" s="13">
        <v>5396</v>
      </c>
      <c r="D507" s="14">
        <v>0.95</v>
      </c>
      <c r="E507" s="14">
        <v>0.88600000000000001</v>
      </c>
      <c r="F507" s="13">
        <v>31</v>
      </c>
      <c r="G507" s="14">
        <v>0.94</v>
      </c>
      <c r="H507" s="18" t="s">
        <v>3480</v>
      </c>
      <c r="I507" s="26" t="s">
        <v>88</v>
      </c>
      <c r="J507" s="18" t="s">
        <v>26</v>
      </c>
      <c r="L507" s="9">
        <v>1989</v>
      </c>
      <c r="N507" s="30" t="s">
        <v>123</v>
      </c>
      <c r="O507" s="13" t="s">
        <v>28</v>
      </c>
      <c r="P507" s="13">
        <f t="shared" si="17"/>
        <v>29</v>
      </c>
      <c r="Q507" s="15">
        <f t="shared" si="18"/>
        <v>186.06896551724137</v>
      </c>
      <c r="R507" s="13" t="s">
        <v>1279</v>
      </c>
      <c r="S507" s="13"/>
      <c r="T507" s="13" t="s">
        <v>1280</v>
      </c>
      <c r="U507" s="13" t="s">
        <v>1281</v>
      </c>
      <c r="V507" s="13" t="s">
        <v>4122</v>
      </c>
      <c r="W507" s="13"/>
      <c r="X507" s="13" t="s">
        <v>3980</v>
      </c>
      <c r="Y507" s="13" t="s">
        <v>3980</v>
      </c>
      <c r="Z507" s="13" t="s">
        <v>3980</v>
      </c>
      <c r="AC507" s="18"/>
    </row>
    <row r="508" spans="1:29" x14ac:dyDescent="0.25">
      <c r="A508" s="18" t="s">
        <v>1451</v>
      </c>
      <c r="B508" s="30">
        <v>1993</v>
      </c>
      <c r="C508" s="13">
        <v>3174</v>
      </c>
      <c r="D508" s="14">
        <v>0.90100000000000002</v>
      </c>
      <c r="E508" s="14">
        <v>0.77600000000000002</v>
      </c>
      <c r="F508" s="13">
        <v>25</v>
      </c>
      <c r="G508" s="14">
        <v>0.89500000000000002</v>
      </c>
      <c r="I508" s="26" t="s">
        <v>88</v>
      </c>
      <c r="J508" t="s">
        <v>26</v>
      </c>
      <c r="L508" s="9">
        <v>1993</v>
      </c>
      <c r="N508" s="30" t="s">
        <v>123</v>
      </c>
      <c r="O508" s="13" t="s">
        <v>28</v>
      </c>
      <c r="P508" s="13">
        <f t="shared" si="17"/>
        <v>25</v>
      </c>
      <c r="Q508" s="15">
        <f t="shared" si="18"/>
        <v>126.96</v>
      </c>
      <c r="R508" s="13" t="s">
        <v>1452</v>
      </c>
      <c r="S508" s="13"/>
      <c r="T508" s="13" t="s">
        <v>1453</v>
      </c>
      <c r="U508" s="13"/>
      <c r="V508" s="13" t="s">
        <v>3980</v>
      </c>
      <c r="W508" s="13"/>
      <c r="X508" s="13" t="s">
        <v>3980</v>
      </c>
      <c r="Y508" s="13" t="s">
        <v>3980</v>
      </c>
      <c r="Z508" s="13" t="s">
        <v>3980</v>
      </c>
      <c r="AC508" s="18"/>
    </row>
    <row r="509" spans="1:29" x14ac:dyDescent="0.25">
      <c r="A509" s="18" t="s">
        <v>2813</v>
      </c>
      <c r="B509" s="30">
        <v>2008</v>
      </c>
      <c r="C509" s="13">
        <v>290</v>
      </c>
      <c r="D509" s="14">
        <v>0.441</v>
      </c>
      <c r="E509" s="14">
        <v>0.754</v>
      </c>
      <c r="F509" s="13">
        <v>6</v>
      </c>
      <c r="G509" s="14">
        <v>0.32200000000000001</v>
      </c>
      <c r="I509" s="26" t="s">
        <v>88</v>
      </c>
      <c r="J509" s="18" t="s">
        <v>105</v>
      </c>
      <c r="K509" s="4"/>
      <c r="L509" s="9">
        <v>2008</v>
      </c>
      <c r="N509" s="30" t="s">
        <v>34</v>
      </c>
      <c r="O509" s="13" t="s">
        <v>28</v>
      </c>
      <c r="P509" s="13">
        <f t="shared" si="17"/>
        <v>10</v>
      </c>
      <c r="Q509" s="15">
        <f t="shared" si="18"/>
        <v>29</v>
      </c>
      <c r="R509" s="13" t="s">
        <v>2812</v>
      </c>
      <c r="S509" s="13"/>
      <c r="T509" s="13" t="s">
        <v>957</v>
      </c>
      <c r="U509" s="13" t="s">
        <v>2814</v>
      </c>
      <c r="V509" s="13" t="s">
        <v>3980</v>
      </c>
      <c r="W509" s="13"/>
      <c r="X509" s="13" t="s">
        <v>4543</v>
      </c>
      <c r="Y509" s="13" t="s">
        <v>3980</v>
      </c>
      <c r="Z509" s="13" t="s">
        <v>3980</v>
      </c>
      <c r="AC509" s="18"/>
    </row>
    <row r="510" spans="1:29" x14ac:dyDescent="0.25">
      <c r="A510" s="18" t="s">
        <v>250</v>
      </c>
      <c r="B510" s="30">
        <v>2007</v>
      </c>
      <c r="C510" s="13">
        <v>1143</v>
      </c>
      <c r="D510" s="14">
        <v>0.72699999999999998</v>
      </c>
      <c r="E510" s="14">
        <v>0.83899999999999997</v>
      </c>
      <c r="F510" s="13">
        <v>20</v>
      </c>
      <c r="G510" s="14">
        <v>0.82599999999999996</v>
      </c>
      <c r="H510" s="18" t="s">
        <v>3204</v>
      </c>
      <c r="I510" s="26" t="s">
        <v>94</v>
      </c>
      <c r="J510" s="4" t="s">
        <v>54</v>
      </c>
      <c r="L510" s="9">
        <v>2007</v>
      </c>
      <c r="N510" s="30" t="s">
        <v>40</v>
      </c>
      <c r="O510" s="13" t="s">
        <v>28</v>
      </c>
      <c r="P510" s="13">
        <f t="shared" si="17"/>
        <v>11</v>
      </c>
      <c r="Q510" s="15">
        <f t="shared" si="18"/>
        <v>103.90909090909091</v>
      </c>
      <c r="R510" s="13" t="s">
        <v>251</v>
      </c>
      <c r="S510" s="13"/>
      <c r="T510" s="13" t="s">
        <v>252</v>
      </c>
      <c r="U510" s="13" t="s">
        <v>253</v>
      </c>
      <c r="V510" s="13" t="s">
        <v>4123</v>
      </c>
      <c r="W510" s="13"/>
      <c r="X510" s="13" t="s">
        <v>4544</v>
      </c>
      <c r="Y510" s="13" t="s">
        <v>3980</v>
      </c>
      <c r="Z510" s="13" t="s">
        <v>3980</v>
      </c>
      <c r="AC510" s="18"/>
    </row>
    <row r="511" spans="1:29" x14ac:dyDescent="0.25">
      <c r="A511" s="18" t="s">
        <v>300</v>
      </c>
      <c r="B511" s="30">
        <v>2008</v>
      </c>
      <c r="C511" s="13">
        <v>585</v>
      </c>
      <c r="D511" s="14">
        <v>0.59599999999999997</v>
      </c>
      <c r="E511" s="14">
        <v>0.67900000000000005</v>
      </c>
      <c r="F511" s="13">
        <v>12</v>
      </c>
      <c r="G511" s="14">
        <v>0.60899999999999999</v>
      </c>
      <c r="H511" s="18" t="s">
        <v>3217</v>
      </c>
      <c r="I511" s="26" t="s">
        <v>94</v>
      </c>
      <c r="J511" s="18" t="s">
        <v>54</v>
      </c>
      <c r="L511" s="9">
        <v>2008</v>
      </c>
      <c r="N511" s="30" t="s">
        <v>40</v>
      </c>
      <c r="O511" s="13" t="s">
        <v>28</v>
      </c>
      <c r="P511" s="13">
        <f t="shared" si="17"/>
        <v>10</v>
      </c>
      <c r="Q511" s="15">
        <f t="shared" si="18"/>
        <v>58.5</v>
      </c>
      <c r="R511" s="13" t="s">
        <v>301</v>
      </c>
      <c r="S511" s="13"/>
      <c r="T511" s="13" t="s">
        <v>302</v>
      </c>
      <c r="U511" s="13" t="s">
        <v>303</v>
      </c>
      <c r="V511" s="13" t="s">
        <v>3980</v>
      </c>
      <c r="W511" s="13"/>
      <c r="X511" s="13" t="s">
        <v>4545</v>
      </c>
      <c r="Y511" s="13" t="s">
        <v>3980</v>
      </c>
      <c r="Z511" s="13" t="s">
        <v>3980</v>
      </c>
      <c r="AC511" s="18"/>
    </row>
    <row r="512" spans="1:29" x14ac:dyDescent="0.25">
      <c r="A512" s="18" t="s">
        <v>262</v>
      </c>
      <c r="B512" s="30">
        <v>2009</v>
      </c>
      <c r="C512" s="13">
        <v>1539</v>
      </c>
      <c r="D512" s="14">
        <v>0.79200000000000004</v>
      </c>
      <c r="E512" s="14">
        <v>0.89900000000000002</v>
      </c>
      <c r="F512" s="13">
        <v>14</v>
      </c>
      <c r="G512" s="14">
        <v>0.67900000000000005</v>
      </c>
      <c r="H512" s="18" t="s">
        <v>3207</v>
      </c>
      <c r="I512" s="26" t="s">
        <v>94</v>
      </c>
      <c r="J512" s="18" t="s">
        <v>54</v>
      </c>
      <c r="L512" s="9">
        <v>2009</v>
      </c>
      <c r="N512" s="30" t="s">
        <v>41</v>
      </c>
      <c r="O512" s="13" t="s">
        <v>28</v>
      </c>
      <c r="P512" s="13">
        <f t="shared" si="17"/>
        <v>9</v>
      </c>
      <c r="Q512" s="15">
        <f t="shared" si="18"/>
        <v>171</v>
      </c>
      <c r="R512" s="13" t="s">
        <v>263</v>
      </c>
      <c r="S512" s="13"/>
      <c r="T512" s="13" t="s">
        <v>264</v>
      </c>
      <c r="U512" s="13" t="s">
        <v>265</v>
      </c>
      <c r="V512" s="13" t="s">
        <v>4124</v>
      </c>
      <c r="W512" s="13"/>
      <c r="X512" s="13" t="s">
        <v>4546</v>
      </c>
      <c r="Y512" s="13" t="s">
        <v>3980</v>
      </c>
      <c r="Z512" s="13" t="s">
        <v>3980</v>
      </c>
      <c r="AC512" s="18"/>
    </row>
    <row r="513" spans="1:29" x14ac:dyDescent="0.25">
      <c r="A513" s="18" t="s">
        <v>5035</v>
      </c>
      <c r="B513" s="30">
        <v>2003</v>
      </c>
      <c r="C513" s="13">
        <v>771</v>
      </c>
      <c r="D513" s="14">
        <v>0.64900000000000002</v>
      </c>
      <c r="E513" s="14">
        <v>0.74199999999999999</v>
      </c>
      <c r="F513" s="13">
        <v>14</v>
      </c>
      <c r="G513" s="14">
        <v>0.67900000000000005</v>
      </c>
      <c r="H513" s="18" t="s">
        <v>3693</v>
      </c>
      <c r="I513" s="26" t="s">
        <v>94</v>
      </c>
      <c r="J513" s="18" t="s">
        <v>54</v>
      </c>
      <c r="L513" s="9">
        <v>2003</v>
      </c>
      <c r="N513" s="30" t="s">
        <v>123</v>
      </c>
      <c r="O513" s="13" t="s">
        <v>42</v>
      </c>
      <c r="P513" s="13">
        <f t="shared" si="17"/>
        <v>15</v>
      </c>
      <c r="Q513" s="15">
        <f t="shared" si="18"/>
        <v>51.4</v>
      </c>
      <c r="R513" s="13" t="s">
        <v>2605</v>
      </c>
      <c r="S513" s="13" t="s">
        <v>62</v>
      </c>
      <c r="T513" s="13" t="s">
        <v>347</v>
      </c>
      <c r="U513" s="13"/>
      <c r="V513" s="13" t="s">
        <v>3980</v>
      </c>
      <c r="W513" s="13"/>
      <c r="X513" s="13" t="s">
        <v>4547</v>
      </c>
      <c r="Y513" s="13" t="s">
        <v>3980</v>
      </c>
      <c r="Z513" s="13" t="s">
        <v>3980</v>
      </c>
      <c r="AC513" s="18"/>
    </row>
    <row r="514" spans="1:29" x14ac:dyDescent="0.25">
      <c r="A514" s="18" t="s">
        <v>1349</v>
      </c>
      <c r="B514" s="30">
        <v>1969</v>
      </c>
      <c r="C514" s="13">
        <v>1818</v>
      </c>
      <c r="D514" s="14">
        <v>0.81299999999999994</v>
      </c>
      <c r="E514" s="14">
        <v>0.61</v>
      </c>
      <c r="F514" s="13">
        <v>17</v>
      </c>
      <c r="G514" s="14">
        <v>0.76400000000000001</v>
      </c>
      <c r="H514" s="18" t="s">
        <v>3500</v>
      </c>
      <c r="I514" s="26" t="s">
        <v>94</v>
      </c>
      <c r="J514" s="18" t="s">
        <v>26</v>
      </c>
      <c r="K514" s="4"/>
      <c r="L514" s="9">
        <v>1969</v>
      </c>
      <c r="N514" s="30" t="s">
        <v>152</v>
      </c>
      <c r="O514" s="13" t="s">
        <v>42</v>
      </c>
      <c r="P514" s="13">
        <f t="shared" ref="P514:P577" si="19">2018-L514</f>
        <v>49</v>
      </c>
      <c r="Q514" s="15">
        <f t="shared" ref="Q514:Q577" si="20">C514/P514</f>
        <v>37.102040816326529</v>
      </c>
      <c r="R514" s="13" t="s">
        <v>1350</v>
      </c>
      <c r="S514" s="13"/>
      <c r="T514" s="13" t="s">
        <v>1351</v>
      </c>
      <c r="U514" s="13" t="s">
        <v>1352</v>
      </c>
      <c r="V514" s="13" t="s">
        <v>3980</v>
      </c>
      <c r="W514" s="13"/>
      <c r="X514" s="13" t="s">
        <v>4548</v>
      </c>
      <c r="Y514" s="13" t="s">
        <v>3980</v>
      </c>
      <c r="Z514" s="13" t="s">
        <v>3980</v>
      </c>
      <c r="AC514" s="18"/>
    </row>
    <row r="515" spans="1:29" x14ac:dyDescent="0.25">
      <c r="A515" s="18" t="s">
        <v>341</v>
      </c>
      <c r="B515" s="30">
        <v>2005</v>
      </c>
      <c r="C515" s="13">
        <v>2668</v>
      </c>
      <c r="D515" s="14">
        <v>0.877</v>
      </c>
      <c r="E515" s="14">
        <v>0.96799999999999997</v>
      </c>
      <c r="F515" s="13">
        <v>23</v>
      </c>
      <c r="G515" s="14">
        <v>0.874</v>
      </c>
      <c r="H515" s="18" t="s">
        <v>3226</v>
      </c>
      <c r="I515" s="26" t="s">
        <v>94</v>
      </c>
      <c r="J515" s="18" t="s">
        <v>54</v>
      </c>
      <c r="K515" s="4"/>
      <c r="L515" s="9">
        <v>2005</v>
      </c>
      <c r="N515" s="30" t="s">
        <v>41</v>
      </c>
      <c r="O515" s="13" t="s">
        <v>42</v>
      </c>
      <c r="P515" s="13">
        <f t="shared" si="19"/>
        <v>13</v>
      </c>
      <c r="Q515" s="15">
        <f t="shared" si="20"/>
        <v>205.23076923076923</v>
      </c>
      <c r="R515" s="13" t="s">
        <v>342</v>
      </c>
      <c r="S515" s="13"/>
      <c r="T515" s="13" t="s">
        <v>343</v>
      </c>
      <c r="U515" s="13" t="s">
        <v>344</v>
      </c>
      <c r="V515" s="13" t="s">
        <v>3980</v>
      </c>
      <c r="W515" s="13"/>
      <c r="X515" s="13" t="s">
        <v>4549</v>
      </c>
      <c r="Y515" s="13" t="s">
        <v>3980</v>
      </c>
      <c r="Z515" s="13" t="s">
        <v>3980</v>
      </c>
      <c r="AC515" s="18"/>
    </row>
    <row r="516" spans="1:29" x14ac:dyDescent="0.25">
      <c r="A516" s="18" t="s">
        <v>754</v>
      </c>
      <c r="B516" s="30">
        <v>2005</v>
      </c>
      <c r="C516" s="13">
        <v>1361</v>
      </c>
      <c r="D516" s="14">
        <v>0.76100000000000001</v>
      </c>
      <c r="E516" s="14">
        <v>0.879</v>
      </c>
      <c r="F516" s="13">
        <v>14</v>
      </c>
      <c r="G516" s="14">
        <v>0.67900000000000005</v>
      </c>
      <c r="H516" s="18" t="s">
        <v>3329</v>
      </c>
      <c r="I516" s="26" t="s">
        <v>94</v>
      </c>
      <c r="J516" s="18" t="s">
        <v>54</v>
      </c>
      <c r="K516" s="4"/>
      <c r="L516" s="9">
        <v>2005</v>
      </c>
      <c r="N516" s="30" t="s">
        <v>134</v>
      </c>
      <c r="O516" s="13" t="s">
        <v>42</v>
      </c>
      <c r="P516" s="13">
        <f t="shared" si="19"/>
        <v>13</v>
      </c>
      <c r="Q516" s="15">
        <f t="shared" si="20"/>
        <v>104.69230769230769</v>
      </c>
      <c r="R516" s="13" t="s">
        <v>755</v>
      </c>
      <c r="S516" s="13"/>
      <c r="T516" s="13" t="s">
        <v>756</v>
      </c>
      <c r="U516" s="13" t="s">
        <v>757</v>
      </c>
      <c r="V516" s="13" t="s">
        <v>4125</v>
      </c>
      <c r="W516" s="13"/>
      <c r="X516" s="13" t="s">
        <v>4550</v>
      </c>
      <c r="Y516" s="13" t="s">
        <v>3980</v>
      </c>
      <c r="Z516" s="13" t="s">
        <v>3980</v>
      </c>
      <c r="AC516" s="18"/>
    </row>
    <row r="517" spans="1:29" x14ac:dyDescent="0.25">
      <c r="A517" s="18" t="s">
        <v>5081</v>
      </c>
      <c r="B517" s="30">
        <v>1991</v>
      </c>
      <c r="C517" s="13">
        <v>3283</v>
      </c>
      <c r="D517" s="14">
        <v>0.90800000000000003</v>
      </c>
      <c r="E517" s="14">
        <v>0.79400000000000004</v>
      </c>
      <c r="F517" s="13">
        <v>32</v>
      </c>
      <c r="G517" s="14">
        <v>0.94399999999999995</v>
      </c>
      <c r="H517" s="18" t="s">
        <v>3581</v>
      </c>
      <c r="I517" s="26" t="s">
        <v>94</v>
      </c>
      <c r="J517" s="18" t="s">
        <v>26</v>
      </c>
      <c r="L517" s="9">
        <v>1991</v>
      </c>
      <c r="M517" s="11"/>
      <c r="N517" s="30" t="s">
        <v>94</v>
      </c>
      <c r="O517" s="13" t="s">
        <v>28</v>
      </c>
      <c r="P517" s="13">
        <f t="shared" si="19"/>
        <v>27</v>
      </c>
      <c r="Q517" s="15">
        <f t="shared" si="20"/>
        <v>121.5925925925926</v>
      </c>
      <c r="R517" s="13" t="s">
        <v>2789</v>
      </c>
      <c r="S517" s="13" t="s">
        <v>164</v>
      </c>
      <c r="T517" s="13" t="s">
        <v>2790</v>
      </c>
      <c r="U517" s="13"/>
      <c r="V517" s="13" t="s">
        <v>3980</v>
      </c>
      <c r="W517" s="13"/>
      <c r="X517" s="13" t="s">
        <v>4551</v>
      </c>
      <c r="Y517" s="13" t="s">
        <v>3980</v>
      </c>
      <c r="Z517" s="13" t="s">
        <v>3980</v>
      </c>
      <c r="AC517" s="18"/>
    </row>
    <row r="518" spans="1:29" x14ac:dyDescent="0.25">
      <c r="A518" s="18" t="s">
        <v>3012</v>
      </c>
      <c r="B518" s="30">
        <v>1978</v>
      </c>
      <c r="C518" s="13">
        <v>5586</v>
      </c>
      <c r="D518" s="14">
        <v>0.95199999999999996</v>
      </c>
      <c r="E518" s="14">
        <v>0.89</v>
      </c>
      <c r="F518" s="13">
        <v>34</v>
      </c>
      <c r="G518" s="14">
        <v>0.95499999999999996</v>
      </c>
      <c r="H518" s="18" t="s">
        <v>3579</v>
      </c>
      <c r="I518" s="26" t="s">
        <v>94</v>
      </c>
      <c r="J518" s="18" t="s">
        <v>26</v>
      </c>
      <c r="L518" s="9">
        <v>1978</v>
      </c>
      <c r="N518" s="30" t="s">
        <v>519</v>
      </c>
      <c r="O518" s="13" t="s">
        <v>28</v>
      </c>
      <c r="P518" s="13">
        <f t="shared" si="19"/>
        <v>40</v>
      </c>
      <c r="Q518" s="15">
        <f t="shared" si="20"/>
        <v>139.65</v>
      </c>
      <c r="R518" s="13" t="s">
        <v>1432</v>
      </c>
      <c r="S518" s="13"/>
      <c r="T518" s="13" t="s">
        <v>3013</v>
      </c>
      <c r="U518" s="13" t="s">
        <v>3014</v>
      </c>
      <c r="V518" s="13" t="s">
        <v>3980</v>
      </c>
      <c r="W518" s="13"/>
      <c r="X518" s="13" t="s">
        <v>4552</v>
      </c>
      <c r="Y518" s="13" t="s">
        <v>3980</v>
      </c>
      <c r="Z518" s="13" t="s">
        <v>3980</v>
      </c>
      <c r="AC518" s="18"/>
    </row>
    <row r="519" spans="1:29" x14ac:dyDescent="0.25">
      <c r="A519" s="18" t="s">
        <v>424</v>
      </c>
      <c r="B519" s="30">
        <v>2002</v>
      </c>
      <c r="C519" s="13">
        <v>6769</v>
      </c>
      <c r="D519" s="14">
        <v>0.96599999999999997</v>
      </c>
      <c r="E519" s="14">
        <v>0.91700000000000004</v>
      </c>
      <c r="F519" s="13">
        <v>34</v>
      </c>
      <c r="G519" s="14">
        <v>0.95499999999999996</v>
      </c>
      <c r="H519" s="18" t="s">
        <v>3245</v>
      </c>
      <c r="I519" s="26" t="s">
        <v>94</v>
      </c>
      <c r="J519" s="18" t="s">
        <v>26</v>
      </c>
      <c r="L519" s="9">
        <v>2002</v>
      </c>
      <c r="N519" s="30" t="s">
        <v>40</v>
      </c>
      <c r="O519" s="13" t="s">
        <v>42</v>
      </c>
      <c r="P519" s="13">
        <f t="shared" si="19"/>
        <v>16</v>
      </c>
      <c r="Q519" s="15">
        <f t="shared" si="20"/>
        <v>423.0625</v>
      </c>
      <c r="R519" s="13" t="s">
        <v>425</v>
      </c>
      <c r="S519" s="13"/>
      <c r="T519" s="13" t="s">
        <v>426</v>
      </c>
      <c r="U519" s="13" t="s">
        <v>427</v>
      </c>
      <c r="V519" s="13" t="s">
        <v>3980</v>
      </c>
      <c r="W519" s="13"/>
      <c r="X519" s="13" t="s">
        <v>4553</v>
      </c>
      <c r="Y519" s="13" t="s">
        <v>3980</v>
      </c>
      <c r="Z519" s="13" t="s">
        <v>3980</v>
      </c>
      <c r="AC519" s="18"/>
    </row>
    <row r="520" spans="1:29" x14ac:dyDescent="0.25">
      <c r="A520" s="18" t="s">
        <v>1804</v>
      </c>
      <c r="B520" s="30">
        <v>2015</v>
      </c>
      <c r="C520" s="13">
        <v>83</v>
      </c>
      <c r="D520" s="14">
        <v>0.23300000000000001</v>
      </c>
      <c r="E520" s="14">
        <v>0.44500000000000001</v>
      </c>
      <c r="F520" s="13">
        <v>4</v>
      </c>
      <c r="G520" s="14">
        <v>0.19600000000000001</v>
      </c>
      <c r="I520" s="26" t="s">
        <v>94</v>
      </c>
      <c r="J520" s="18" t="s">
        <v>105</v>
      </c>
      <c r="K520" s="4"/>
      <c r="L520" s="9">
        <v>2015</v>
      </c>
      <c r="N520" s="30" t="s">
        <v>268</v>
      </c>
      <c r="O520" s="13" t="s">
        <v>42</v>
      </c>
      <c r="P520" s="13">
        <f t="shared" si="19"/>
        <v>3</v>
      </c>
      <c r="Q520" s="15">
        <f t="shared" si="20"/>
        <v>27.666666666666668</v>
      </c>
      <c r="R520" s="13" t="s">
        <v>1802</v>
      </c>
      <c r="S520" s="13"/>
      <c r="T520" s="13" t="s">
        <v>1805</v>
      </c>
      <c r="U520" s="13" t="s">
        <v>1806</v>
      </c>
      <c r="V520" s="13" t="s">
        <v>4126</v>
      </c>
      <c r="W520" s="13"/>
      <c r="X520" s="13" t="s">
        <v>4554</v>
      </c>
      <c r="Y520" s="13" t="s">
        <v>3980</v>
      </c>
      <c r="Z520" s="13" t="s">
        <v>3980</v>
      </c>
      <c r="AC520" s="18"/>
    </row>
    <row r="521" spans="1:29" x14ac:dyDescent="0.25">
      <c r="A521" s="18" t="s">
        <v>1027</v>
      </c>
      <c r="B521" s="30">
        <v>1996</v>
      </c>
      <c r="C521" s="13">
        <v>1080</v>
      </c>
      <c r="D521" s="14">
        <v>0.71599999999999997</v>
      </c>
      <c r="E521" s="14">
        <v>0.82499999999999996</v>
      </c>
      <c r="F521" s="13">
        <v>18</v>
      </c>
      <c r="G521" s="14">
        <v>0.78700000000000003</v>
      </c>
      <c r="H521" s="18" t="s">
        <v>3408</v>
      </c>
      <c r="I521" s="26" t="s">
        <v>94</v>
      </c>
      <c r="J521" s="18" t="s">
        <v>54</v>
      </c>
      <c r="K521" s="4"/>
      <c r="L521" s="9">
        <v>1996</v>
      </c>
      <c r="N521" s="30" t="s">
        <v>123</v>
      </c>
      <c r="O521" s="13" t="s">
        <v>42</v>
      </c>
      <c r="P521" s="13">
        <f t="shared" si="19"/>
        <v>22</v>
      </c>
      <c r="Q521" s="15">
        <f t="shared" si="20"/>
        <v>49.090909090909093</v>
      </c>
      <c r="R521" s="13" t="s">
        <v>1028</v>
      </c>
      <c r="S521" s="13"/>
      <c r="T521" s="13" t="s">
        <v>1029</v>
      </c>
      <c r="U521" s="13" t="s">
        <v>1030</v>
      </c>
      <c r="V521" s="13" t="s">
        <v>4127</v>
      </c>
      <c r="W521" s="13"/>
      <c r="X521" s="13" t="s">
        <v>4555</v>
      </c>
      <c r="Y521" s="13" t="s">
        <v>3980</v>
      </c>
      <c r="Z521" s="13" t="s">
        <v>3980</v>
      </c>
      <c r="AC521" s="18"/>
    </row>
    <row r="522" spans="1:29" x14ac:dyDescent="0.25">
      <c r="A522" s="28" t="s">
        <v>1505</v>
      </c>
      <c r="B522" s="30">
        <v>2014</v>
      </c>
      <c r="C522" s="8">
        <v>1</v>
      </c>
      <c r="D522" s="14">
        <v>0</v>
      </c>
      <c r="E522" s="14">
        <v>0</v>
      </c>
      <c r="F522" s="8">
        <v>1</v>
      </c>
      <c r="G522" s="14">
        <v>0</v>
      </c>
      <c r="I522" s="26" t="s">
        <v>94</v>
      </c>
      <c r="J522" s="18" t="s">
        <v>105</v>
      </c>
      <c r="L522" s="9">
        <f>B522</f>
        <v>2014</v>
      </c>
      <c r="N522" s="28" t="s">
        <v>765</v>
      </c>
      <c r="O522" s="13" t="s">
        <v>42</v>
      </c>
      <c r="P522" s="13">
        <f t="shared" si="19"/>
        <v>4</v>
      </c>
      <c r="Q522" s="15">
        <f t="shared" si="20"/>
        <v>0.25</v>
      </c>
      <c r="R522" s="18" t="s">
        <v>3743</v>
      </c>
      <c r="T522" s="18" t="s">
        <v>285</v>
      </c>
      <c r="V522" s="18" t="s">
        <v>3980</v>
      </c>
      <c r="X522" s="18" t="s">
        <v>3980</v>
      </c>
      <c r="Y522" s="18" t="s">
        <v>3980</v>
      </c>
      <c r="Z522" s="18" t="s">
        <v>3980</v>
      </c>
      <c r="AC522" s="18"/>
    </row>
    <row r="523" spans="1:29" x14ac:dyDescent="0.25">
      <c r="A523" s="18" t="s">
        <v>1359</v>
      </c>
      <c r="B523" s="30">
        <v>2010</v>
      </c>
      <c r="C523" s="13">
        <v>128</v>
      </c>
      <c r="D523" s="14">
        <v>0.30599999999999999</v>
      </c>
      <c r="E523" s="14">
        <v>0.57499999999999996</v>
      </c>
      <c r="F523" s="13">
        <v>7</v>
      </c>
      <c r="G523" s="14">
        <v>0.39300000000000002</v>
      </c>
      <c r="H523" s="18" t="s">
        <v>3503</v>
      </c>
      <c r="I523" s="26" t="s">
        <v>94</v>
      </c>
      <c r="J523" s="18" t="s">
        <v>105</v>
      </c>
      <c r="L523" s="9">
        <v>2010</v>
      </c>
      <c r="N523" s="30" t="s">
        <v>88</v>
      </c>
      <c r="O523" s="13" t="s">
        <v>28</v>
      </c>
      <c r="P523" s="13">
        <f t="shared" si="19"/>
        <v>8</v>
      </c>
      <c r="Q523" s="15">
        <f t="shared" si="20"/>
        <v>16</v>
      </c>
      <c r="R523" s="13" t="s">
        <v>153</v>
      </c>
      <c r="S523" s="13"/>
      <c r="T523" s="13" t="s">
        <v>1360</v>
      </c>
      <c r="U523" s="13" t="s">
        <v>1361</v>
      </c>
      <c r="V523" s="13" t="s">
        <v>3980</v>
      </c>
      <c r="W523" s="13"/>
      <c r="X523" s="13" t="s">
        <v>4556</v>
      </c>
      <c r="Y523" s="13" t="s">
        <v>3980</v>
      </c>
      <c r="Z523" s="13" t="s">
        <v>3980</v>
      </c>
      <c r="AC523" s="18"/>
    </row>
    <row r="524" spans="1:29" x14ac:dyDescent="0.25">
      <c r="A524" s="18" t="s">
        <v>940</v>
      </c>
      <c r="B524" s="30">
        <v>1980</v>
      </c>
      <c r="C524" s="13">
        <v>9136</v>
      </c>
      <c r="D524" s="14">
        <v>0.98199999999999998</v>
      </c>
      <c r="E524" s="14">
        <v>0.95599999999999996</v>
      </c>
      <c r="F524" s="13">
        <v>54</v>
      </c>
      <c r="G524" s="14">
        <v>0.996</v>
      </c>
      <c r="H524" s="18" t="s">
        <v>3383</v>
      </c>
      <c r="I524" s="26" t="s">
        <v>94</v>
      </c>
      <c r="J524" s="18" t="s">
        <v>26</v>
      </c>
      <c r="K524" s="4"/>
      <c r="L524" s="9">
        <f t="shared" ref="L524:L541" si="21">B524</f>
        <v>1980</v>
      </c>
      <c r="N524" s="30" t="s">
        <v>3089</v>
      </c>
      <c r="O524" s="13" t="s">
        <v>28</v>
      </c>
      <c r="P524" s="13">
        <f t="shared" si="19"/>
        <v>38</v>
      </c>
      <c r="Q524" s="15">
        <f t="shared" si="20"/>
        <v>240.42105263157896</v>
      </c>
      <c r="R524" s="13" t="s">
        <v>941</v>
      </c>
      <c r="S524" s="13"/>
      <c r="T524" s="13" t="s">
        <v>942</v>
      </c>
      <c r="U524" s="13"/>
      <c r="V524" s="13" t="s">
        <v>3980</v>
      </c>
      <c r="W524" s="13"/>
      <c r="X524" s="13" t="s">
        <v>3980</v>
      </c>
      <c r="Y524" s="13" t="s">
        <v>3980</v>
      </c>
      <c r="Z524" s="13" t="s">
        <v>3980</v>
      </c>
      <c r="AC524" s="18"/>
    </row>
    <row r="525" spans="1:29" x14ac:dyDescent="0.25">
      <c r="A525" s="18" t="s">
        <v>1985</v>
      </c>
      <c r="B525" s="30">
        <v>1980</v>
      </c>
      <c r="C525" s="13">
        <v>232</v>
      </c>
      <c r="D525" s="14">
        <v>0.4</v>
      </c>
      <c r="E525" s="14">
        <v>0.2</v>
      </c>
      <c r="F525" s="13">
        <v>7</v>
      </c>
      <c r="G525" s="14">
        <v>0.39300000000000002</v>
      </c>
      <c r="I525" s="18" t="s">
        <v>901</v>
      </c>
      <c r="J525" s="4" t="s">
        <v>26</v>
      </c>
      <c r="L525" s="9">
        <f t="shared" si="21"/>
        <v>1980</v>
      </c>
      <c r="M525" s="20" t="s">
        <v>3132</v>
      </c>
      <c r="N525" s="30" t="s">
        <v>3156</v>
      </c>
      <c r="O525" s="13" t="s">
        <v>28</v>
      </c>
      <c r="P525" s="13">
        <f t="shared" si="19"/>
        <v>38</v>
      </c>
      <c r="Q525" s="15">
        <f t="shared" si="20"/>
        <v>6.1052631578947372</v>
      </c>
      <c r="R525" s="13" t="s">
        <v>1986</v>
      </c>
      <c r="S525" s="13"/>
      <c r="T525" s="13" t="s">
        <v>1987</v>
      </c>
      <c r="U525" s="13"/>
      <c r="V525" s="13" t="s">
        <v>3980</v>
      </c>
      <c r="W525" s="13"/>
      <c r="X525" s="13" t="s">
        <v>3980</v>
      </c>
      <c r="Y525" s="13" t="s">
        <v>3980</v>
      </c>
      <c r="Z525" s="13" t="s">
        <v>3980</v>
      </c>
      <c r="AC525" s="18"/>
    </row>
    <row r="526" spans="1:29" x14ac:dyDescent="0.25">
      <c r="A526" s="18" t="s">
        <v>2551</v>
      </c>
      <c r="B526" s="30">
        <v>1972</v>
      </c>
      <c r="C526" s="13">
        <v>9</v>
      </c>
      <c r="D526" s="14">
        <v>6.3E-2</v>
      </c>
      <c r="E526" s="14">
        <v>0.126</v>
      </c>
      <c r="F526" s="13">
        <v>2</v>
      </c>
      <c r="G526" s="14">
        <v>7.0999999999999994E-2</v>
      </c>
      <c r="I526" s="18" t="s">
        <v>901</v>
      </c>
      <c r="J526" s="4" t="s">
        <v>105</v>
      </c>
      <c r="K526" s="4"/>
      <c r="L526" s="9">
        <f t="shared" si="21"/>
        <v>1972</v>
      </c>
      <c r="M526" s="20" t="s">
        <v>3132</v>
      </c>
      <c r="N526" s="30" t="s">
        <v>901</v>
      </c>
      <c r="O526" s="13" t="s">
        <v>28</v>
      </c>
      <c r="P526" s="13">
        <f t="shared" si="19"/>
        <v>46</v>
      </c>
      <c r="Q526" s="15">
        <f t="shared" si="20"/>
        <v>0.19565217391304349</v>
      </c>
      <c r="R526" s="13" t="s">
        <v>2512</v>
      </c>
      <c r="S526" s="13"/>
      <c r="T526" s="13" t="s">
        <v>2552</v>
      </c>
      <c r="U526" s="13"/>
      <c r="V526" s="13" t="s">
        <v>3980</v>
      </c>
      <c r="W526" s="13"/>
      <c r="X526" s="13" t="s">
        <v>3980</v>
      </c>
      <c r="Y526" s="13" t="s">
        <v>3980</v>
      </c>
      <c r="Z526" s="13" t="s">
        <v>3980</v>
      </c>
      <c r="AC526" s="18"/>
    </row>
    <row r="527" spans="1:29" x14ac:dyDescent="0.25">
      <c r="A527" s="18" t="s">
        <v>2070</v>
      </c>
      <c r="B527" s="30">
        <v>1982</v>
      </c>
      <c r="C527" s="13">
        <v>33</v>
      </c>
      <c r="D527" s="14">
        <v>0.13300000000000001</v>
      </c>
      <c r="E527" s="14">
        <v>6.6000000000000003E-2</v>
      </c>
      <c r="F527" s="13">
        <v>3</v>
      </c>
      <c r="G527" s="14">
        <v>0.13100000000000001</v>
      </c>
      <c r="I527" s="18" t="s">
        <v>901</v>
      </c>
      <c r="J527" s="4" t="s">
        <v>26</v>
      </c>
      <c r="L527" s="9">
        <f t="shared" si="21"/>
        <v>1982</v>
      </c>
      <c r="M527" s="11"/>
      <c r="N527" s="30" t="s">
        <v>901</v>
      </c>
      <c r="O527" s="13" t="s">
        <v>28</v>
      </c>
      <c r="P527" s="13">
        <f t="shared" si="19"/>
        <v>36</v>
      </c>
      <c r="Q527" s="15">
        <f t="shared" si="20"/>
        <v>0.91666666666666663</v>
      </c>
      <c r="R527" s="13" t="s">
        <v>2071</v>
      </c>
      <c r="S527" s="13"/>
      <c r="T527" s="13" t="s">
        <v>2072</v>
      </c>
      <c r="U527" s="13"/>
      <c r="V527" s="13" t="s">
        <v>3980</v>
      </c>
      <c r="W527" s="13"/>
      <c r="X527" s="13" t="s">
        <v>3980</v>
      </c>
      <c r="Y527" s="13" t="s">
        <v>3980</v>
      </c>
      <c r="Z527" s="13" t="s">
        <v>3980</v>
      </c>
      <c r="AC527" s="18"/>
    </row>
    <row r="528" spans="1:29" x14ac:dyDescent="0.25">
      <c r="A528" s="18" t="s">
        <v>5146</v>
      </c>
      <c r="B528" s="30">
        <v>1990</v>
      </c>
      <c r="C528" s="13">
        <v>2</v>
      </c>
      <c r="D528" s="14">
        <v>2.3E-2</v>
      </c>
      <c r="E528" s="14">
        <v>0.02</v>
      </c>
      <c r="F528" s="13">
        <v>1</v>
      </c>
      <c r="G528" s="14">
        <v>0</v>
      </c>
      <c r="I528" s="18" t="s">
        <v>901</v>
      </c>
      <c r="J528" s="4" t="s">
        <v>54</v>
      </c>
      <c r="L528" s="9">
        <f t="shared" si="21"/>
        <v>1990</v>
      </c>
      <c r="N528" s="30" t="s">
        <v>874</v>
      </c>
      <c r="O528" s="13" t="s">
        <v>28</v>
      </c>
      <c r="P528" s="13">
        <f t="shared" si="19"/>
        <v>28</v>
      </c>
      <c r="Q528" s="15">
        <f t="shared" si="20"/>
        <v>7.1428571428571425E-2</v>
      </c>
      <c r="R528" s="13" t="s">
        <v>2512</v>
      </c>
      <c r="S528" s="13"/>
      <c r="T528" s="13" t="s">
        <v>2553</v>
      </c>
      <c r="U528" s="13"/>
      <c r="V528" s="13" t="s">
        <v>3980</v>
      </c>
      <c r="W528" s="13"/>
      <c r="X528" s="13" t="s">
        <v>3980</v>
      </c>
      <c r="Y528" s="13" t="s">
        <v>3980</v>
      </c>
      <c r="Z528" s="13" t="s">
        <v>3980</v>
      </c>
      <c r="AC528" s="18"/>
    </row>
    <row r="529" spans="1:29" x14ac:dyDescent="0.25">
      <c r="A529" s="18" t="s">
        <v>1801</v>
      </c>
      <c r="B529" s="30">
        <v>2011</v>
      </c>
      <c r="C529" s="13">
        <v>236</v>
      </c>
      <c r="D529" s="14">
        <v>0.40600000000000003</v>
      </c>
      <c r="E529" s="14">
        <v>0.40600000000000003</v>
      </c>
      <c r="F529" s="13">
        <v>8</v>
      </c>
      <c r="G529" s="14">
        <v>0.434</v>
      </c>
      <c r="I529" s="18" t="s">
        <v>901</v>
      </c>
      <c r="J529" s="4" t="s">
        <v>54</v>
      </c>
      <c r="K529" s="4"/>
      <c r="L529" s="9">
        <f t="shared" si="21"/>
        <v>2011</v>
      </c>
      <c r="N529" s="30" t="s">
        <v>277</v>
      </c>
      <c r="O529" s="13" t="s">
        <v>42</v>
      </c>
      <c r="P529" s="13">
        <f t="shared" si="19"/>
        <v>7</v>
      </c>
      <c r="Q529" s="15">
        <f t="shared" si="20"/>
        <v>33.714285714285715</v>
      </c>
      <c r="R529" s="13" t="s">
        <v>1802</v>
      </c>
      <c r="S529" s="13"/>
      <c r="T529" s="13" t="s">
        <v>1803</v>
      </c>
      <c r="U529" s="13"/>
      <c r="V529" s="13" t="s">
        <v>3980</v>
      </c>
      <c r="W529" s="13"/>
      <c r="X529" s="13" t="s">
        <v>3980</v>
      </c>
      <c r="Y529" s="13" t="s">
        <v>3980</v>
      </c>
      <c r="Z529" s="13" t="s">
        <v>3980</v>
      </c>
      <c r="AC529" s="18"/>
    </row>
    <row r="530" spans="1:29" x14ac:dyDescent="0.25">
      <c r="A530" s="18" t="s">
        <v>2650</v>
      </c>
      <c r="B530" s="30">
        <v>1993</v>
      </c>
      <c r="C530" s="13">
        <v>1714</v>
      </c>
      <c r="D530" s="14">
        <v>0.80700000000000005</v>
      </c>
      <c r="E530" s="14">
        <v>0.60099999999999998</v>
      </c>
      <c r="F530" s="13">
        <v>23</v>
      </c>
      <c r="G530" s="14">
        <v>0.874</v>
      </c>
      <c r="H530" s="18" t="s">
        <v>3555</v>
      </c>
      <c r="I530" s="18" t="s">
        <v>901</v>
      </c>
      <c r="J530" s="4" t="s">
        <v>26</v>
      </c>
      <c r="L530" s="9">
        <f t="shared" si="21"/>
        <v>1993</v>
      </c>
      <c r="N530" s="30" t="s">
        <v>901</v>
      </c>
      <c r="O530" s="13" t="s">
        <v>28</v>
      </c>
      <c r="P530" s="13">
        <f t="shared" si="19"/>
        <v>25</v>
      </c>
      <c r="Q530" s="15">
        <f t="shared" si="20"/>
        <v>68.56</v>
      </c>
      <c r="R530" s="13" t="s">
        <v>260</v>
      </c>
      <c r="S530" s="13"/>
      <c r="T530" s="13" t="s">
        <v>1813</v>
      </c>
      <c r="U530" s="13"/>
      <c r="V530" s="13" t="s">
        <v>3980</v>
      </c>
      <c r="W530" s="13"/>
      <c r="X530" s="13" t="s">
        <v>3980</v>
      </c>
      <c r="Y530" s="13" t="s">
        <v>3980</v>
      </c>
      <c r="Z530" s="13" t="s">
        <v>3980</v>
      </c>
      <c r="AC530" s="18"/>
    </row>
    <row r="531" spans="1:29" x14ac:dyDescent="0.25">
      <c r="A531" s="18" t="s">
        <v>1156</v>
      </c>
      <c r="B531" s="30">
        <v>2009</v>
      </c>
      <c r="C531" s="13">
        <v>378</v>
      </c>
      <c r="D531" s="14">
        <v>0.49199999999999999</v>
      </c>
      <c r="E531" s="14">
        <v>0.52700000000000002</v>
      </c>
      <c r="F531" s="13">
        <v>11</v>
      </c>
      <c r="G531" s="14">
        <v>0.56000000000000005</v>
      </c>
      <c r="H531" s="18" t="s">
        <v>3445</v>
      </c>
      <c r="I531" s="18" t="s">
        <v>901</v>
      </c>
      <c r="J531" s="4" t="s">
        <v>54</v>
      </c>
      <c r="L531" s="9">
        <f t="shared" si="21"/>
        <v>2009</v>
      </c>
      <c r="M531" s="11"/>
      <c r="N531" s="32" t="s">
        <v>3092</v>
      </c>
      <c r="O531" s="13" t="s">
        <v>28</v>
      </c>
      <c r="P531" s="13">
        <f t="shared" si="19"/>
        <v>9</v>
      </c>
      <c r="Q531" s="15">
        <f t="shared" si="20"/>
        <v>42</v>
      </c>
      <c r="R531" s="13" t="s">
        <v>1157</v>
      </c>
      <c r="S531" s="13"/>
      <c r="T531" s="13" t="s">
        <v>1158</v>
      </c>
      <c r="U531" s="13"/>
      <c r="V531" s="13" t="s">
        <v>3980</v>
      </c>
      <c r="W531" s="13"/>
      <c r="X531" s="13" t="s">
        <v>3980</v>
      </c>
      <c r="Y531" s="13" t="s">
        <v>3980</v>
      </c>
      <c r="Z531" s="13" t="s">
        <v>3980</v>
      </c>
      <c r="AC531" s="18"/>
    </row>
    <row r="532" spans="1:29" x14ac:dyDescent="0.25">
      <c r="A532" s="18" t="s">
        <v>2111</v>
      </c>
      <c r="B532" s="30">
        <v>2009</v>
      </c>
      <c r="C532" s="13">
        <v>150</v>
      </c>
      <c r="D532" s="14">
        <v>0.33700000000000002</v>
      </c>
      <c r="E532" s="14">
        <v>0.32900000000000001</v>
      </c>
      <c r="F532" s="13">
        <v>4</v>
      </c>
      <c r="G532" s="14">
        <v>0.19600000000000001</v>
      </c>
      <c r="H532" s="18" t="s">
        <v>3606</v>
      </c>
      <c r="I532" s="18" t="s">
        <v>901</v>
      </c>
      <c r="J532" s="4" t="s">
        <v>54</v>
      </c>
      <c r="L532" s="9">
        <f t="shared" si="21"/>
        <v>2009</v>
      </c>
      <c r="N532" s="28" t="s">
        <v>901</v>
      </c>
      <c r="O532" s="13" t="s">
        <v>28</v>
      </c>
      <c r="P532" s="13">
        <f t="shared" si="19"/>
        <v>9</v>
      </c>
      <c r="Q532" s="15">
        <f t="shared" si="20"/>
        <v>16.666666666666668</v>
      </c>
      <c r="R532" s="13" t="s">
        <v>2112</v>
      </c>
      <c r="S532" s="13"/>
      <c r="T532" s="13" t="s">
        <v>2113</v>
      </c>
      <c r="U532" s="13"/>
      <c r="V532" s="13" t="s">
        <v>3980</v>
      </c>
      <c r="W532" s="13"/>
      <c r="X532" s="13" t="s">
        <v>3980</v>
      </c>
      <c r="Y532" s="13" t="s">
        <v>3980</v>
      </c>
      <c r="Z532" s="13" t="s">
        <v>3980</v>
      </c>
      <c r="AC532" s="18"/>
    </row>
    <row r="533" spans="1:29" x14ac:dyDescent="0.25">
      <c r="A533" s="18" t="s">
        <v>962</v>
      </c>
      <c r="B533" s="30">
        <v>2002</v>
      </c>
      <c r="C533" s="13">
        <v>97</v>
      </c>
      <c r="D533" s="14">
        <v>0.25900000000000001</v>
      </c>
      <c r="E533" s="14">
        <v>0.22600000000000001</v>
      </c>
      <c r="F533" s="13">
        <v>6</v>
      </c>
      <c r="G533" s="14">
        <v>0.32200000000000001</v>
      </c>
      <c r="H533" s="18" t="s">
        <v>3389</v>
      </c>
      <c r="I533" s="18" t="s">
        <v>901</v>
      </c>
      <c r="J533" s="4" t="s">
        <v>54</v>
      </c>
      <c r="K533" s="4"/>
      <c r="L533" s="9">
        <f t="shared" si="21"/>
        <v>2002</v>
      </c>
      <c r="N533" s="30" t="s">
        <v>3090</v>
      </c>
      <c r="O533" s="13" t="s">
        <v>42</v>
      </c>
      <c r="P533" s="13">
        <f t="shared" si="19"/>
        <v>16</v>
      </c>
      <c r="Q533" s="15">
        <f t="shared" si="20"/>
        <v>6.0625</v>
      </c>
      <c r="R533" s="13" t="s">
        <v>963</v>
      </c>
      <c r="S533" s="13"/>
      <c r="T533" s="13" t="s">
        <v>964</v>
      </c>
      <c r="U533" s="13"/>
      <c r="V533" s="13" t="s">
        <v>3980</v>
      </c>
      <c r="W533" s="13"/>
      <c r="X533" s="13" t="s">
        <v>3980</v>
      </c>
      <c r="Y533" s="13" t="s">
        <v>3980</v>
      </c>
      <c r="Z533" s="13" t="s">
        <v>3980</v>
      </c>
      <c r="AC533" s="18"/>
    </row>
    <row r="534" spans="1:29" x14ac:dyDescent="0.25">
      <c r="A534" s="18" t="s">
        <v>5025</v>
      </c>
      <c r="B534" s="30">
        <v>2010</v>
      </c>
      <c r="C534" s="13">
        <v>6</v>
      </c>
      <c r="D534" s="14">
        <v>4.8000000000000001E-2</v>
      </c>
      <c r="E534" s="14">
        <v>4.2000000000000003E-2</v>
      </c>
      <c r="F534" s="13">
        <v>2</v>
      </c>
      <c r="G534" s="14">
        <v>7.0999999999999994E-2</v>
      </c>
      <c r="I534" s="18" t="s">
        <v>901</v>
      </c>
      <c r="J534" s="4" t="s">
        <v>54</v>
      </c>
      <c r="L534" s="9">
        <f t="shared" si="21"/>
        <v>2010</v>
      </c>
      <c r="N534" s="30" t="s">
        <v>901</v>
      </c>
      <c r="O534" s="13" t="s">
        <v>28</v>
      </c>
      <c r="P534" s="13">
        <f t="shared" si="19"/>
        <v>8</v>
      </c>
      <c r="Q534" s="15">
        <f t="shared" si="20"/>
        <v>0.75</v>
      </c>
      <c r="R534" s="13" t="s">
        <v>2511</v>
      </c>
      <c r="S534" s="13" t="s">
        <v>2512</v>
      </c>
      <c r="T534" s="13" t="s">
        <v>2513</v>
      </c>
      <c r="U534" s="13"/>
      <c r="V534" s="13" t="s">
        <v>3980</v>
      </c>
      <c r="W534" s="13"/>
      <c r="X534" s="13" t="s">
        <v>3980</v>
      </c>
      <c r="Y534" s="13" t="s">
        <v>3980</v>
      </c>
      <c r="Z534" s="13" t="s">
        <v>3980</v>
      </c>
      <c r="AC534" s="18"/>
    </row>
    <row r="535" spans="1:29" x14ac:dyDescent="0.25">
      <c r="A535" s="18" t="s">
        <v>1960</v>
      </c>
      <c r="B535" s="30">
        <v>1992</v>
      </c>
      <c r="C535" s="13">
        <v>233</v>
      </c>
      <c r="D535" s="14">
        <v>0.40100000000000002</v>
      </c>
      <c r="E535" s="14">
        <v>0.20200000000000001</v>
      </c>
      <c r="F535" s="13">
        <v>8</v>
      </c>
      <c r="G535" s="14">
        <v>0.434</v>
      </c>
      <c r="I535" s="18" t="s">
        <v>901</v>
      </c>
      <c r="J535" s="4" t="s">
        <v>26</v>
      </c>
      <c r="K535" s="4"/>
      <c r="L535" s="9">
        <f t="shared" si="21"/>
        <v>1992</v>
      </c>
      <c r="N535" s="32" t="s">
        <v>3124</v>
      </c>
      <c r="O535" s="13" t="s">
        <v>28</v>
      </c>
      <c r="P535" s="13">
        <f t="shared" si="19"/>
        <v>26</v>
      </c>
      <c r="Q535" s="15">
        <f t="shared" si="20"/>
        <v>8.9615384615384617</v>
      </c>
      <c r="R535" s="13" t="s">
        <v>1961</v>
      </c>
      <c r="S535" s="13"/>
      <c r="T535" s="13" t="s">
        <v>1962</v>
      </c>
      <c r="U535" s="13"/>
      <c r="V535" s="13" t="s">
        <v>3980</v>
      </c>
      <c r="W535" s="13"/>
      <c r="X535" s="13" t="s">
        <v>3980</v>
      </c>
      <c r="Y535" s="13" t="s">
        <v>3980</v>
      </c>
      <c r="Z535" s="13" t="s">
        <v>3980</v>
      </c>
      <c r="AC535" s="18"/>
    </row>
    <row r="536" spans="1:29" x14ac:dyDescent="0.25">
      <c r="A536" s="18" t="s">
        <v>900</v>
      </c>
      <c r="B536" s="30">
        <v>2004</v>
      </c>
      <c r="C536" s="13">
        <v>4814</v>
      </c>
      <c r="D536" s="14">
        <v>0.94099999999999995</v>
      </c>
      <c r="E536" s="14">
        <v>0.86499999999999999</v>
      </c>
      <c r="F536" s="13">
        <v>36</v>
      </c>
      <c r="G536" s="14">
        <v>0.96499999999999997</v>
      </c>
      <c r="H536" s="18" t="s">
        <v>3370</v>
      </c>
      <c r="I536" s="18" t="s">
        <v>901</v>
      </c>
      <c r="J536" s="4" t="s">
        <v>26</v>
      </c>
      <c r="L536" s="9">
        <f t="shared" si="21"/>
        <v>2004</v>
      </c>
      <c r="N536" s="32" t="s">
        <v>3088</v>
      </c>
      <c r="O536" s="13" t="s">
        <v>42</v>
      </c>
      <c r="P536" s="13">
        <f t="shared" si="19"/>
        <v>14</v>
      </c>
      <c r="Q536" s="15">
        <f t="shared" si="20"/>
        <v>343.85714285714283</v>
      </c>
      <c r="R536" s="13" t="s">
        <v>902</v>
      </c>
      <c r="S536" s="13"/>
      <c r="T536" s="13" t="s">
        <v>285</v>
      </c>
      <c r="U536" s="13"/>
      <c r="V536" s="13" t="s">
        <v>3980</v>
      </c>
      <c r="W536" s="13"/>
      <c r="X536" s="13" t="s">
        <v>3980</v>
      </c>
      <c r="Y536" s="13" t="s">
        <v>3980</v>
      </c>
      <c r="Z536" s="13" t="s">
        <v>3980</v>
      </c>
      <c r="AC536" s="18"/>
    </row>
    <row r="537" spans="1:29" x14ac:dyDescent="0.25">
      <c r="A537" s="18" t="s">
        <v>2241</v>
      </c>
      <c r="B537" s="30">
        <v>2008</v>
      </c>
      <c r="C537" s="13">
        <v>91</v>
      </c>
      <c r="D537" s="14">
        <v>0.247</v>
      </c>
      <c r="E537" s="14">
        <v>0.21199999999999999</v>
      </c>
      <c r="F537" s="13">
        <v>5</v>
      </c>
      <c r="G537" s="14">
        <v>0.27400000000000002</v>
      </c>
      <c r="I537" s="18" t="s">
        <v>901</v>
      </c>
      <c r="J537" s="4" t="s">
        <v>54</v>
      </c>
      <c r="L537" s="9">
        <f t="shared" si="21"/>
        <v>2008</v>
      </c>
      <c r="N537" s="30" t="s">
        <v>901</v>
      </c>
      <c r="O537" s="13" t="s">
        <v>28</v>
      </c>
      <c r="P537" s="13">
        <f t="shared" si="19"/>
        <v>10</v>
      </c>
      <c r="Q537" s="15">
        <f t="shared" si="20"/>
        <v>9.1</v>
      </c>
      <c r="R537" s="13" t="s">
        <v>2242</v>
      </c>
      <c r="S537" s="13"/>
      <c r="T537" s="13" t="s">
        <v>1355</v>
      </c>
      <c r="U537" s="13"/>
      <c r="V537" s="13" t="s">
        <v>3980</v>
      </c>
      <c r="W537" s="13"/>
      <c r="X537" s="13" t="s">
        <v>3980</v>
      </c>
      <c r="Y537" s="13" t="s">
        <v>3980</v>
      </c>
      <c r="Z537" s="13" t="s">
        <v>3980</v>
      </c>
      <c r="AC537" s="18"/>
    </row>
    <row r="538" spans="1:29" x14ac:dyDescent="0.25">
      <c r="A538" s="18" t="s">
        <v>2161</v>
      </c>
      <c r="B538" s="30">
        <v>2011</v>
      </c>
      <c r="C538" s="13">
        <v>7</v>
      </c>
      <c r="D538" s="14">
        <v>5.3999999999999999E-2</v>
      </c>
      <c r="E538" s="14">
        <v>5.0999999999999997E-2</v>
      </c>
      <c r="F538" s="13">
        <v>1</v>
      </c>
      <c r="G538" s="14">
        <v>0</v>
      </c>
      <c r="I538" s="18" t="s">
        <v>874</v>
      </c>
      <c r="J538" s="4" t="s">
        <v>54</v>
      </c>
      <c r="L538" s="9">
        <f t="shared" si="21"/>
        <v>2011</v>
      </c>
      <c r="N538" s="30" t="s">
        <v>901</v>
      </c>
      <c r="O538" s="13" t="s">
        <v>42</v>
      </c>
      <c r="P538" s="13">
        <f t="shared" si="19"/>
        <v>7</v>
      </c>
      <c r="Q538" s="15">
        <f t="shared" si="20"/>
        <v>1</v>
      </c>
      <c r="R538" s="13" t="s">
        <v>2162</v>
      </c>
      <c r="S538" s="13"/>
      <c r="T538" s="13" t="s">
        <v>2163</v>
      </c>
      <c r="U538" s="13"/>
      <c r="V538" s="13" t="s">
        <v>3980</v>
      </c>
      <c r="W538" s="13"/>
      <c r="X538" s="13" t="s">
        <v>3980</v>
      </c>
      <c r="Y538" s="13" t="s">
        <v>3980</v>
      </c>
      <c r="Z538" s="13" t="s">
        <v>3980</v>
      </c>
      <c r="AC538" s="18"/>
    </row>
    <row r="539" spans="1:29" x14ac:dyDescent="0.25">
      <c r="A539" s="18" t="s">
        <v>2462</v>
      </c>
      <c r="B539" s="30">
        <v>1992</v>
      </c>
      <c r="C539" s="13">
        <v>271</v>
      </c>
      <c r="D539" s="14">
        <v>0.42799999999999999</v>
      </c>
      <c r="E539" s="14">
        <v>0.223</v>
      </c>
      <c r="F539" s="13">
        <v>8</v>
      </c>
      <c r="G539" s="14">
        <v>0.434</v>
      </c>
      <c r="I539" s="18" t="s">
        <v>874</v>
      </c>
      <c r="J539" s="4" t="s">
        <v>26</v>
      </c>
      <c r="K539" s="4"/>
      <c r="L539" s="9">
        <f t="shared" si="21"/>
        <v>1992</v>
      </c>
      <c r="N539" s="30" t="s">
        <v>874</v>
      </c>
      <c r="O539" s="13" t="s">
        <v>28</v>
      </c>
      <c r="P539" s="13">
        <f t="shared" si="19"/>
        <v>26</v>
      </c>
      <c r="Q539" s="15">
        <f t="shared" si="20"/>
        <v>10.423076923076923</v>
      </c>
      <c r="R539" s="13" t="s">
        <v>2463</v>
      </c>
      <c r="S539" s="13"/>
      <c r="T539" s="13" t="s">
        <v>2464</v>
      </c>
      <c r="U539" s="13"/>
      <c r="V539" s="13" t="s">
        <v>3980</v>
      </c>
      <c r="W539" s="13"/>
      <c r="X539" s="13" t="s">
        <v>3980</v>
      </c>
      <c r="Y539" s="13" t="s">
        <v>3980</v>
      </c>
      <c r="Z539" s="13" t="s">
        <v>3980</v>
      </c>
      <c r="AC539" s="18"/>
    </row>
    <row r="540" spans="1:29" x14ac:dyDescent="0.25">
      <c r="A540" s="18" t="s">
        <v>880</v>
      </c>
      <c r="B540" s="30">
        <v>2009</v>
      </c>
      <c r="C540" s="13">
        <v>103</v>
      </c>
      <c r="D540" s="14">
        <v>0.26700000000000002</v>
      </c>
      <c r="E540" s="14">
        <v>0.51500000000000001</v>
      </c>
      <c r="F540" s="13">
        <v>6</v>
      </c>
      <c r="G540" s="14">
        <v>0.32200000000000001</v>
      </c>
      <c r="H540" s="18" t="s">
        <v>3364</v>
      </c>
      <c r="I540" s="18" t="s">
        <v>874</v>
      </c>
      <c r="J540" s="4" t="s">
        <v>105</v>
      </c>
      <c r="K540" s="4"/>
      <c r="L540" s="9">
        <f t="shared" si="21"/>
        <v>2009</v>
      </c>
      <c r="N540" s="31" t="s">
        <v>3085</v>
      </c>
      <c r="O540" s="13" t="s">
        <v>42</v>
      </c>
      <c r="P540" s="13">
        <f t="shared" si="19"/>
        <v>9</v>
      </c>
      <c r="Q540" s="15">
        <f t="shared" si="20"/>
        <v>11.444444444444445</v>
      </c>
      <c r="R540" s="13" t="s">
        <v>851</v>
      </c>
      <c r="S540" s="13"/>
      <c r="T540" s="13" t="s">
        <v>881</v>
      </c>
      <c r="U540" s="13"/>
      <c r="V540" s="13" t="s">
        <v>3980</v>
      </c>
      <c r="W540" s="13"/>
      <c r="X540" s="13" t="s">
        <v>3980</v>
      </c>
      <c r="Y540" s="13" t="s">
        <v>3980</v>
      </c>
      <c r="Z540" s="13" t="s">
        <v>3980</v>
      </c>
      <c r="AC540" s="18"/>
    </row>
    <row r="541" spans="1:29" x14ac:dyDescent="0.25">
      <c r="A541" s="18" t="s">
        <v>1341</v>
      </c>
      <c r="B541" s="30">
        <v>2010</v>
      </c>
      <c r="C541" s="13">
        <v>602</v>
      </c>
      <c r="D541" s="14">
        <v>0.60099999999999998</v>
      </c>
      <c r="E541" s="14">
        <v>0.68700000000000006</v>
      </c>
      <c r="F541" s="13">
        <v>14</v>
      </c>
      <c r="G541" s="14">
        <v>0.67900000000000005</v>
      </c>
      <c r="H541" s="18" t="s">
        <v>3497</v>
      </c>
      <c r="I541" s="18" t="s">
        <v>874</v>
      </c>
      <c r="J541" s="4" t="s">
        <v>54</v>
      </c>
      <c r="K541" s="4"/>
      <c r="L541" s="9">
        <f t="shared" si="21"/>
        <v>2010</v>
      </c>
      <c r="N541" s="32" t="s">
        <v>3092</v>
      </c>
      <c r="O541" s="13" t="s">
        <v>28</v>
      </c>
      <c r="P541" s="13">
        <f t="shared" si="19"/>
        <v>8</v>
      </c>
      <c r="Q541" s="15">
        <f t="shared" si="20"/>
        <v>75.25</v>
      </c>
      <c r="R541" s="13" t="s">
        <v>1283</v>
      </c>
      <c r="S541" s="13"/>
      <c r="T541" s="13" t="s">
        <v>1342</v>
      </c>
      <c r="U541" s="13"/>
      <c r="V541" s="13" t="s">
        <v>3980</v>
      </c>
      <c r="W541" s="13"/>
      <c r="X541" s="13" t="s">
        <v>3980</v>
      </c>
      <c r="Y541" s="13" t="s">
        <v>3980</v>
      </c>
      <c r="Z541" s="13" t="s">
        <v>3980</v>
      </c>
      <c r="AC541" s="18"/>
    </row>
    <row r="542" spans="1:29" x14ac:dyDescent="0.25">
      <c r="A542" s="18" t="s">
        <v>873</v>
      </c>
      <c r="B542" s="30">
        <v>1998</v>
      </c>
      <c r="C542" s="13">
        <v>1353</v>
      </c>
      <c r="D542" s="14">
        <v>0.76</v>
      </c>
      <c r="E542" s="14">
        <v>0.876</v>
      </c>
      <c r="F542" s="13">
        <v>17</v>
      </c>
      <c r="G542" s="14">
        <v>0.76400000000000001</v>
      </c>
      <c r="H542" s="18" t="s">
        <v>3362</v>
      </c>
      <c r="I542" s="18" t="s">
        <v>874</v>
      </c>
      <c r="J542" s="4" t="s">
        <v>54</v>
      </c>
      <c r="L542" s="9">
        <v>1998</v>
      </c>
      <c r="N542" s="30" t="s">
        <v>3084</v>
      </c>
      <c r="O542" s="13" t="s">
        <v>28</v>
      </c>
      <c r="P542" s="13">
        <f t="shared" si="19"/>
        <v>20</v>
      </c>
      <c r="Q542" s="15">
        <f t="shared" si="20"/>
        <v>67.650000000000006</v>
      </c>
      <c r="R542" s="13" t="s">
        <v>875</v>
      </c>
      <c r="S542" s="13"/>
      <c r="T542" s="13" t="s">
        <v>876</v>
      </c>
      <c r="U542" s="13"/>
      <c r="V542" s="13" t="s">
        <v>3980</v>
      </c>
      <c r="W542" s="13"/>
      <c r="X542" s="13" t="s">
        <v>3980</v>
      </c>
      <c r="Y542" s="13" t="s">
        <v>3980</v>
      </c>
      <c r="Z542" s="13" t="s">
        <v>3980</v>
      </c>
      <c r="AC542" s="18"/>
    </row>
    <row r="543" spans="1:29" x14ac:dyDescent="0.25">
      <c r="A543" s="18" t="s">
        <v>1236</v>
      </c>
      <c r="B543" s="30">
        <v>1994</v>
      </c>
      <c r="C543" s="13">
        <v>3274</v>
      </c>
      <c r="D543" s="14">
        <v>0.90700000000000003</v>
      </c>
      <c r="E543" s="14">
        <v>0.79200000000000004</v>
      </c>
      <c r="F543" s="13">
        <v>33</v>
      </c>
      <c r="G543" s="14">
        <v>0.94899999999999995</v>
      </c>
      <c r="H543" s="18" t="s">
        <v>3468</v>
      </c>
      <c r="I543" s="18" t="s">
        <v>874</v>
      </c>
      <c r="J543" s="4" t="s">
        <v>26</v>
      </c>
      <c r="L543" s="9">
        <f t="shared" ref="L543:L550" si="22">B543</f>
        <v>1994</v>
      </c>
      <c r="N543" s="32" t="s">
        <v>3092</v>
      </c>
      <c r="O543" s="13" t="s">
        <v>28</v>
      </c>
      <c r="P543" s="13">
        <f t="shared" si="19"/>
        <v>24</v>
      </c>
      <c r="Q543" s="15">
        <f t="shared" si="20"/>
        <v>136.41666666666666</v>
      </c>
      <c r="R543" s="13" t="s">
        <v>1237</v>
      </c>
      <c r="S543" s="13"/>
      <c r="T543" s="13" t="s">
        <v>1112</v>
      </c>
      <c r="U543" s="13"/>
      <c r="V543" s="13" t="s">
        <v>3980</v>
      </c>
      <c r="W543" s="13"/>
      <c r="X543" s="13" t="s">
        <v>3980</v>
      </c>
      <c r="Y543" s="13" t="s">
        <v>3980</v>
      </c>
      <c r="Z543" s="13" t="s">
        <v>3980</v>
      </c>
      <c r="AC543" s="18"/>
    </row>
    <row r="544" spans="1:29" x14ac:dyDescent="0.25">
      <c r="A544" s="18" t="s">
        <v>1110</v>
      </c>
      <c r="B544" s="30">
        <v>2013</v>
      </c>
      <c r="C544" s="13">
        <v>39</v>
      </c>
      <c r="D544" s="14">
        <v>0.151</v>
      </c>
      <c r="E544" s="14">
        <v>0.308</v>
      </c>
      <c r="F544" s="13">
        <v>4</v>
      </c>
      <c r="G544" s="14">
        <v>0.19600000000000001</v>
      </c>
      <c r="H544" s="18" t="s">
        <v>3432</v>
      </c>
      <c r="I544" s="18" t="s">
        <v>874</v>
      </c>
      <c r="J544" s="4" t="s">
        <v>105</v>
      </c>
      <c r="L544" s="9">
        <f t="shared" si="22"/>
        <v>2013</v>
      </c>
      <c r="N544" s="32" t="s">
        <v>3092</v>
      </c>
      <c r="O544" s="13" t="s">
        <v>42</v>
      </c>
      <c r="P544" s="13">
        <f t="shared" si="19"/>
        <v>5</v>
      </c>
      <c r="Q544" s="15">
        <f t="shared" si="20"/>
        <v>7.8</v>
      </c>
      <c r="R544" s="13" t="s">
        <v>1111</v>
      </c>
      <c r="S544" s="13"/>
      <c r="T544" s="13" t="s">
        <v>1112</v>
      </c>
      <c r="U544" s="13"/>
      <c r="V544" s="13" t="s">
        <v>3980</v>
      </c>
      <c r="W544" s="13"/>
      <c r="X544" s="13" t="s">
        <v>3980</v>
      </c>
      <c r="Y544" s="13" t="s">
        <v>3980</v>
      </c>
      <c r="Z544" s="13" t="s">
        <v>3980</v>
      </c>
      <c r="AC544" s="18"/>
    </row>
    <row r="545" spans="1:29" x14ac:dyDescent="0.25">
      <c r="A545" s="18" t="s">
        <v>1173</v>
      </c>
      <c r="B545" s="30">
        <v>2011</v>
      </c>
      <c r="C545" s="13">
        <v>523</v>
      </c>
      <c r="D545" s="14">
        <v>0.56499999999999995</v>
      </c>
      <c r="E545" s="14">
        <v>0.88</v>
      </c>
      <c r="F545" s="13">
        <v>10</v>
      </c>
      <c r="G545" s="14">
        <v>0.52200000000000002</v>
      </c>
      <c r="H545" s="18" t="s">
        <v>3450</v>
      </c>
      <c r="I545" s="18" t="s">
        <v>874</v>
      </c>
      <c r="J545" s="4" t="s">
        <v>105</v>
      </c>
      <c r="L545" s="9">
        <f t="shared" si="22"/>
        <v>2011</v>
      </c>
      <c r="M545" s="11"/>
      <c r="N545" s="32" t="s">
        <v>3092</v>
      </c>
      <c r="O545" s="13" t="s">
        <v>28</v>
      </c>
      <c r="P545" s="13">
        <f t="shared" si="19"/>
        <v>7</v>
      </c>
      <c r="Q545" s="15">
        <f t="shared" si="20"/>
        <v>74.714285714285708</v>
      </c>
      <c r="R545" s="13" t="s">
        <v>1174</v>
      </c>
      <c r="S545" s="13"/>
      <c r="T545" s="13" t="s">
        <v>1175</v>
      </c>
      <c r="U545" s="13"/>
      <c r="V545" s="13" t="s">
        <v>3980</v>
      </c>
      <c r="W545" s="13"/>
      <c r="X545" s="13" t="s">
        <v>3980</v>
      </c>
      <c r="Y545" s="13" t="s">
        <v>3980</v>
      </c>
      <c r="Z545" s="13" t="s">
        <v>3980</v>
      </c>
      <c r="AC545" s="18"/>
    </row>
    <row r="546" spans="1:29" x14ac:dyDescent="0.25">
      <c r="A546" s="18" t="s">
        <v>2483</v>
      </c>
      <c r="B546" s="30">
        <v>1980</v>
      </c>
      <c r="C546" s="13">
        <v>1392</v>
      </c>
      <c r="D546" s="14">
        <v>0.76900000000000002</v>
      </c>
      <c r="E546" s="14">
        <v>0.88200000000000001</v>
      </c>
      <c r="F546" s="13">
        <v>22</v>
      </c>
      <c r="G546" s="14">
        <v>0.85699999999999998</v>
      </c>
      <c r="I546" s="18" t="s">
        <v>874</v>
      </c>
      <c r="J546" s="4" t="s">
        <v>54</v>
      </c>
      <c r="K546" s="4"/>
      <c r="L546" s="9">
        <f t="shared" si="22"/>
        <v>1980</v>
      </c>
      <c r="N546" s="30" t="s">
        <v>77</v>
      </c>
      <c r="O546" s="13" t="s">
        <v>28</v>
      </c>
      <c r="P546" s="13">
        <f t="shared" si="19"/>
        <v>38</v>
      </c>
      <c r="Q546" s="15">
        <f t="shared" si="20"/>
        <v>36.631578947368418</v>
      </c>
      <c r="R546" s="13" t="s">
        <v>1001</v>
      </c>
      <c r="S546" s="13"/>
      <c r="T546" s="13" t="s">
        <v>2484</v>
      </c>
      <c r="U546" s="13"/>
      <c r="V546" s="13" t="s">
        <v>3980</v>
      </c>
      <c r="W546" s="13"/>
      <c r="X546" s="13" t="s">
        <v>3980</v>
      </c>
      <c r="Y546" s="13" t="s">
        <v>3980</v>
      </c>
      <c r="Z546" s="13" t="s">
        <v>3980</v>
      </c>
      <c r="AC546" s="18"/>
    </row>
    <row r="547" spans="1:29" x14ac:dyDescent="0.25">
      <c r="A547" s="18" t="s">
        <v>1282</v>
      </c>
      <c r="B547" s="30">
        <v>2001</v>
      </c>
      <c r="C547" s="13">
        <v>1136</v>
      </c>
      <c r="D547" s="14">
        <v>0.72499999999999998</v>
      </c>
      <c r="E547" s="14">
        <v>0.83299999999999996</v>
      </c>
      <c r="F547" s="13">
        <v>17</v>
      </c>
      <c r="G547" s="14">
        <v>0.76400000000000001</v>
      </c>
      <c r="H547" s="18" t="s">
        <v>3481</v>
      </c>
      <c r="I547" s="18" t="s">
        <v>874</v>
      </c>
      <c r="J547" s="4" t="s">
        <v>54</v>
      </c>
      <c r="K547" s="4"/>
      <c r="L547" s="9">
        <f t="shared" si="22"/>
        <v>2001</v>
      </c>
      <c r="N547" s="30" t="s">
        <v>3100</v>
      </c>
      <c r="O547" s="13" t="s">
        <v>28</v>
      </c>
      <c r="P547" s="13">
        <f t="shared" si="19"/>
        <v>17</v>
      </c>
      <c r="Q547" s="15">
        <f t="shared" si="20"/>
        <v>66.82352941176471</v>
      </c>
      <c r="R547" s="13" t="s">
        <v>1283</v>
      </c>
      <c r="S547" s="13"/>
      <c r="T547" s="13" t="s">
        <v>1284</v>
      </c>
      <c r="U547" s="13"/>
      <c r="V547" s="13" t="s">
        <v>3980</v>
      </c>
      <c r="W547" s="13"/>
      <c r="X547" s="13" t="s">
        <v>3980</v>
      </c>
      <c r="Y547" s="13" t="s">
        <v>3980</v>
      </c>
      <c r="Z547" s="13" t="s">
        <v>3980</v>
      </c>
      <c r="AC547" s="18"/>
    </row>
    <row r="548" spans="1:29" x14ac:dyDescent="0.25">
      <c r="A548" s="18" t="s">
        <v>1402</v>
      </c>
      <c r="B548" s="30">
        <v>2009</v>
      </c>
      <c r="C548" s="13">
        <v>363</v>
      </c>
      <c r="D548" s="14">
        <v>0.48</v>
      </c>
      <c r="E548" s="14">
        <v>0.501</v>
      </c>
      <c r="F548" s="13">
        <v>11</v>
      </c>
      <c r="G548" s="14">
        <v>0.56000000000000005</v>
      </c>
      <c r="H548" s="18" t="s">
        <v>3518</v>
      </c>
      <c r="I548" s="18" t="s">
        <v>874</v>
      </c>
      <c r="J548" s="4" t="s">
        <v>54</v>
      </c>
      <c r="K548" s="4"/>
      <c r="L548" s="9">
        <f t="shared" si="22"/>
        <v>2009</v>
      </c>
      <c r="N548" s="32" t="s">
        <v>3092</v>
      </c>
      <c r="O548" s="13" t="s">
        <v>28</v>
      </c>
      <c r="P548" s="13">
        <f t="shared" si="19"/>
        <v>9</v>
      </c>
      <c r="Q548" s="15">
        <f t="shared" si="20"/>
        <v>40.333333333333336</v>
      </c>
      <c r="R548" s="13" t="s">
        <v>1403</v>
      </c>
      <c r="S548" s="13"/>
      <c r="T548" s="13" t="s">
        <v>1404</v>
      </c>
      <c r="U548" s="13"/>
      <c r="V548" s="13" t="s">
        <v>3980</v>
      </c>
      <c r="W548" s="13"/>
      <c r="X548" s="13" t="s">
        <v>3980</v>
      </c>
      <c r="Y548" s="13" t="s">
        <v>3980</v>
      </c>
      <c r="Z548" s="13" t="s">
        <v>3980</v>
      </c>
      <c r="AC548" s="18"/>
    </row>
    <row r="549" spans="1:29" x14ac:dyDescent="0.25">
      <c r="A549" s="18" t="s">
        <v>5007</v>
      </c>
      <c r="B549" s="30">
        <v>1996</v>
      </c>
      <c r="C549" s="13">
        <v>9025</v>
      </c>
      <c r="D549" s="14">
        <v>0.98099999999999998</v>
      </c>
      <c r="E549" s="14">
        <v>0.95399999999999996</v>
      </c>
      <c r="F549" s="13">
        <v>43</v>
      </c>
      <c r="G549" s="14">
        <v>0.98299999999999998</v>
      </c>
      <c r="H549" s="18" t="s">
        <v>3419</v>
      </c>
      <c r="I549" s="18" t="s">
        <v>874</v>
      </c>
      <c r="J549" s="4" t="s">
        <v>26</v>
      </c>
      <c r="K549" s="4"/>
      <c r="L549" s="9">
        <f t="shared" si="22"/>
        <v>1996</v>
      </c>
      <c r="N549" s="32" t="s">
        <v>3092</v>
      </c>
      <c r="O549" s="13" t="s">
        <v>28</v>
      </c>
      <c r="P549" s="13">
        <f t="shared" si="19"/>
        <v>22</v>
      </c>
      <c r="Q549" s="15">
        <f t="shared" si="20"/>
        <v>410.22727272727275</v>
      </c>
      <c r="R549" s="13" t="s">
        <v>1070</v>
      </c>
      <c r="S549" s="13" t="s">
        <v>62</v>
      </c>
      <c r="T549" s="13" t="s">
        <v>1071</v>
      </c>
      <c r="U549" s="13"/>
      <c r="V549" s="13" t="s">
        <v>3980</v>
      </c>
      <c r="W549" s="13"/>
      <c r="X549" s="13" t="s">
        <v>3980</v>
      </c>
      <c r="Y549" s="13" t="s">
        <v>3980</v>
      </c>
      <c r="Z549" s="13" t="s">
        <v>3980</v>
      </c>
      <c r="AC549" s="18"/>
    </row>
    <row r="550" spans="1:29" x14ac:dyDescent="0.25">
      <c r="A550" s="18" t="s">
        <v>2639</v>
      </c>
      <c r="B550" s="30">
        <v>2009</v>
      </c>
      <c r="C550" s="13">
        <v>434</v>
      </c>
      <c r="D550" s="14">
        <v>0.52400000000000002</v>
      </c>
      <c r="E550" s="14">
        <v>0.84499999999999997</v>
      </c>
      <c r="F550" s="13">
        <v>11</v>
      </c>
      <c r="G550" s="14">
        <v>0.56000000000000005</v>
      </c>
      <c r="H550" s="18" t="s">
        <v>3653</v>
      </c>
      <c r="I550" s="18" t="s">
        <v>874</v>
      </c>
      <c r="J550" s="4" t="s">
        <v>105</v>
      </c>
      <c r="K550" s="4"/>
      <c r="L550" s="9">
        <f t="shared" si="22"/>
        <v>2009</v>
      </c>
      <c r="N550" s="30" t="s">
        <v>3147</v>
      </c>
      <c r="O550" s="13" t="s">
        <v>28</v>
      </c>
      <c r="P550" s="13">
        <f t="shared" si="19"/>
        <v>9</v>
      </c>
      <c r="Q550" s="15">
        <f t="shared" si="20"/>
        <v>48.222222222222221</v>
      </c>
      <c r="R550" s="13" t="s">
        <v>2640</v>
      </c>
      <c r="S550" s="13"/>
      <c r="T550" s="13" t="s">
        <v>2641</v>
      </c>
      <c r="U550" s="13"/>
      <c r="V550" s="13" t="s">
        <v>3980</v>
      </c>
      <c r="W550" s="13"/>
      <c r="X550" s="13" t="s">
        <v>3980</v>
      </c>
      <c r="Y550" s="13" t="s">
        <v>3980</v>
      </c>
      <c r="Z550" s="13" t="s">
        <v>3980</v>
      </c>
      <c r="AC550" s="18"/>
    </row>
    <row r="551" spans="1:29" x14ac:dyDescent="0.25">
      <c r="A551" s="18" t="s">
        <v>2891</v>
      </c>
      <c r="B551" s="30">
        <v>2013</v>
      </c>
      <c r="C551" s="13">
        <v>6</v>
      </c>
      <c r="D551" s="14">
        <v>4.8000000000000001E-2</v>
      </c>
      <c r="E551" s="14">
        <v>9.8000000000000004E-2</v>
      </c>
      <c r="F551" s="13">
        <v>1</v>
      </c>
      <c r="G551" s="14">
        <v>0</v>
      </c>
      <c r="I551" s="26" t="s">
        <v>87</v>
      </c>
      <c r="J551" s="4" t="s">
        <v>105</v>
      </c>
      <c r="L551" s="9">
        <v>2013</v>
      </c>
      <c r="N551" s="30" t="s">
        <v>168</v>
      </c>
      <c r="O551" s="13" t="s">
        <v>28</v>
      </c>
      <c r="P551" s="13">
        <f t="shared" si="19"/>
        <v>5</v>
      </c>
      <c r="Q551" s="15">
        <f t="shared" si="20"/>
        <v>1.2</v>
      </c>
      <c r="R551" s="13" t="s">
        <v>2892</v>
      </c>
      <c r="S551" s="13"/>
      <c r="T551" s="13" t="s">
        <v>2893</v>
      </c>
      <c r="U551" s="13"/>
      <c r="V551" s="13" t="s">
        <v>3980</v>
      </c>
      <c r="W551" s="13"/>
      <c r="X551" s="13" t="s">
        <v>4557</v>
      </c>
      <c r="Y551" s="13" t="s">
        <v>3980</v>
      </c>
      <c r="Z551" s="13" t="s">
        <v>3980</v>
      </c>
      <c r="AC551" s="18"/>
    </row>
    <row r="552" spans="1:29" x14ac:dyDescent="0.25">
      <c r="A552" s="18" t="s">
        <v>4902</v>
      </c>
      <c r="B552" s="30">
        <v>2017</v>
      </c>
      <c r="C552" s="8">
        <v>30</v>
      </c>
      <c r="D552" s="14">
        <v>0.127</v>
      </c>
      <c r="E552" s="14">
        <v>0.25900000000000001</v>
      </c>
      <c r="F552" s="8">
        <v>2</v>
      </c>
      <c r="G552" s="14">
        <v>7.0999999999999994E-2</v>
      </c>
      <c r="H552" s="18" t="s">
        <v>3563</v>
      </c>
      <c r="I552" s="26" t="s">
        <v>87</v>
      </c>
      <c r="J552" s="4" t="s">
        <v>105</v>
      </c>
      <c r="L552" s="9">
        <f>B552</f>
        <v>2017</v>
      </c>
      <c r="N552" s="28" t="s">
        <v>225</v>
      </c>
      <c r="O552" s="13" t="s">
        <v>28</v>
      </c>
      <c r="P552" s="13">
        <f t="shared" si="19"/>
        <v>1</v>
      </c>
      <c r="Q552" s="15">
        <f t="shared" si="20"/>
        <v>30</v>
      </c>
      <c r="R552" s="18" t="s">
        <v>3724</v>
      </c>
      <c r="T552" s="18" t="s">
        <v>3725</v>
      </c>
      <c r="V552" s="18" t="s">
        <v>3980</v>
      </c>
      <c r="X552" s="18" t="s">
        <v>3980</v>
      </c>
      <c r="Y552" s="18" t="s">
        <v>3980</v>
      </c>
      <c r="Z552" s="18" t="s">
        <v>3980</v>
      </c>
      <c r="AC552" s="18"/>
    </row>
    <row r="553" spans="1:29" x14ac:dyDescent="0.25">
      <c r="A553" s="18" t="s">
        <v>790</v>
      </c>
      <c r="B553" s="30">
        <v>2016</v>
      </c>
      <c r="C553" s="13">
        <v>848</v>
      </c>
      <c r="D553" s="14">
        <v>0.67</v>
      </c>
      <c r="E553" s="14">
        <v>0.95</v>
      </c>
      <c r="F553" s="13">
        <v>10</v>
      </c>
      <c r="G553" s="14">
        <v>0.52200000000000002</v>
      </c>
      <c r="H553" s="18" t="s">
        <v>3338</v>
      </c>
      <c r="I553" s="26" t="s">
        <v>87</v>
      </c>
      <c r="J553" s="18" t="s">
        <v>105</v>
      </c>
      <c r="L553" s="9">
        <v>2016</v>
      </c>
      <c r="N553" s="30" t="s">
        <v>3082</v>
      </c>
      <c r="O553" s="13" t="s">
        <v>42</v>
      </c>
      <c r="P553" s="13">
        <f t="shared" si="19"/>
        <v>2</v>
      </c>
      <c r="Q553" s="15">
        <f t="shared" si="20"/>
        <v>424</v>
      </c>
      <c r="R553" s="13" t="s">
        <v>791</v>
      </c>
      <c r="S553" s="13"/>
      <c r="T553" s="13" t="s">
        <v>792</v>
      </c>
      <c r="U553" s="13"/>
      <c r="V553" s="13" t="s">
        <v>3980</v>
      </c>
      <c r="W553" s="13"/>
      <c r="X553" s="13" t="s">
        <v>3980</v>
      </c>
      <c r="Y553" s="13" t="s">
        <v>3980</v>
      </c>
      <c r="Z553" s="13" t="s">
        <v>3980</v>
      </c>
      <c r="AC553" s="18"/>
    </row>
    <row r="554" spans="1:29" x14ac:dyDescent="0.25">
      <c r="A554" s="18" t="s">
        <v>4876</v>
      </c>
      <c r="B554" s="30">
        <v>2004</v>
      </c>
      <c r="C554" s="13">
        <v>1522</v>
      </c>
      <c r="D554" s="14">
        <v>0.78900000000000003</v>
      </c>
      <c r="E554" s="14">
        <v>0.89600000000000002</v>
      </c>
      <c r="F554" s="13">
        <v>17</v>
      </c>
      <c r="G554" s="14">
        <v>0.76400000000000001</v>
      </c>
      <c r="H554" s="18" t="s">
        <v>3172</v>
      </c>
      <c r="I554" s="26" t="s">
        <v>87</v>
      </c>
      <c r="J554" s="18" t="s">
        <v>54</v>
      </c>
      <c r="K554" s="4"/>
      <c r="L554" s="9">
        <v>2004</v>
      </c>
      <c r="N554" s="30" t="s">
        <v>88</v>
      </c>
      <c r="O554" s="13" t="s">
        <v>28</v>
      </c>
      <c r="P554" s="13">
        <f t="shared" si="19"/>
        <v>14</v>
      </c>
      <c r="Q554" s="15">
        <f t="shared" si="20"/>
        <v>108.71428571428571</v>
      </c>
      <c r="R554" s="13" t="s">
        <v>89</v>
      </c>
      <c r="S554" s="13" t="s">
        <v>90</v>
      </c>
      <c r="T554" s="13" t="s">
        <v>91</v>
      </c>
      <c r="U554" s="13" t="s">
        <v>92</v>
      </c>
      <c r="V554" s="13" t="s">
        <v>3980</v>
      </c>
      <c r="W554" s="13"/>
      <c r="X554" s="13" t="s">
        <v>3980</v>
      </c>
      <c r="Y554" s="13" t="s">
        <v>3980</v>
      </c>
      <c r="Z554" s="13" t="s">
        <v>3980</v>
      </c>
      <c r="AC554" s="18"/>
    </row>
    <row r="555" spans="1:29" x14ac:dyDescent="0.25">
      <c r="A555" s="18" t="s">
        <v>506</v>
      </c>
      <c r="B555" s="30">
        <v>2013</v>
      </c>
      <c r="C555" s="13">
        <v>252</v>
      </c>
      <c r="D555" s="14">
        <v>0.41799999999999998</v>
      </c>
      <c r="E555" s="14">
        <v>0.72199999999999998</v>
      </c>
      <c r="F555" s="13">
        <v>8</v>
      </c>
      <c r="G555" s="14">
        <v>0.434</v>
      </c>
      <c r="H555" s="18" t="s">
        <v>3265</v>
      </c>
      <c r="I555" s="26" t="s">
        <v>87</v>
      </c>
      <c r="J555" s="4" t="s">
        <v>105</v>
      </c>
      <c r="L555" s="9">
        <v>2013</v>
      </c>
      <c r="N555" s="30" t="s">
        <v>168</v>
      </c>
      <c r="O555" s="13" t="s">
        <v>28</v>
      </c>
      <c r="P555" s="13">
        <f t="shared" si="19"/>
        <v>5</v>
      </c>
      <c r="Q555" s="15">
        <f t="shared" si="20"/>
        <v>50.4</v>
      </c>
      <c r="R555" s="13" t="s">
        <v>507</v>
      </c>
      <c r="S555" s="13"/>
      <c r="T555" s="13" t="s">
        <v>508</v>
      </c>
      <c r="U555" s="13" t="s">
        <v>509</v>
      </c>
      <c r="V555" s="13" t="s">
        <v>3980</v>
      </c>
      <c r="W555" s="13"/>
      <c r="X555" s="13" t="s">
        <v>3980</v>
      </c>
      <c r="Y555" s="13" t="s">
        <v>3980</v>
      </c>
      <c r="Z555" s="13" t="s">
        <v>3980</v>
      </c>
      <c r="AC555" s="18"/>
    </row>
    <row r="556" spans="1:29" x14ac:dyDescent="0.25">
      <c r="A556" s="18" t="s">
        <v>994</v>
      </c>
      <c r="B556" s="30">
        <v>2014</v>
      </c>
      <c r="C556" s="13">
        <v>12</v>
      </c>
      <c r="D556" s="14">
        <v>7.6999999999999999E-2</v>
      </c>
      <c r="E556" s="14">
        <v>0.15</v>
      </c>
      <c r="F556" s="13">
        <v>3</v>
      </c>
      <c r="G556" s="14">
        <v>0.13100000000000001</v>
      </c>
      <c r="H556" s="18" t="s">
        <v>3398</v>
      </c>
      <c r="I556" s="26" t="s">
        <v>87</v>
      </c>
      <c r="J556" s="4" t="s">
        <v>105</v>
      </c>
      <c r="L556" s="9">
        <f>B556</f>
        <v>2014</v>
      </c>
      <c r="N556" s="30" t="s">
        <v>152</v>
      </c>
      <c r="O556" s="13" t="s">
        <v>42</v>
      </c>
      <c r="P556" s="13">
        <f t="shared" si="19"/>
        <v>4</v>
      </c>
      <c r="Q556" s="15">
        <f t="shared" si="20"/>
        <v>3</v>
      </c>
      <c r="R556" s="13" t="s">
        <v>995</v>
      </c>
      <c r="S556" s="13"/>
      <c r="T556" s="13" t="s">
        <v>996</v>
      </c>
      <c r="U556" s="13"/>
      <c r="V556" s="13" t="s">
        <v>3980</v>
      </c>
      <c r="W556" s="13"/>
      <c r="X556" s="13" t="s">
        <v>3980</v>
      </c>
      <c r="Y556" s="13" t="s">
        <v>3980</v>
      </c>
      <c r="Z556" s="13" t="s">
        <v>3980</v>
      </c>
      <c r="AC556" s="18"/>
    </row>
    <row r="557" spans="1:29" x14ac:dyDescent="0.25">
      <c r="A557" s="18" t="s">
        <v>1966</v>
      </c>
      <c r="B557" s="30">
        <v>1980</v>
      </c>
      <c r="C557" s="13">
        <v>762</v>
      </c>
      <c r="D557" s="14">
        <v>0.64800000000000002</v>
      </c>
      <c r="E557" s="14">
        <v>0.38400000000000001</v>
      </c>
      <c r="F557" s="13">
        <v>10</v>
      </c>
      <c r="G557" s="14">
        <v>0.52200000000000002</v>
      </c>
      <c r="I557" s="26" t="s">
        <v>87</v>
      </c>
      <c r="J557" s="18" t="s">
        <v>26</v>
      </c>
      <c r="L557" s="9">
        <v>1980</v>
      </c>
      <c r="N557" s="30" t="s">
        <v>67</v>
      </c>
      <c r="O557" s="13" t="s">
        <v>28</v>
      </c>
      <c r="P557" s="13">
        <f t="shared" si="19"/>
        <v>38</v>
      </c>
      <c r="Q557" s="15">
        <f t="shared" si="20"/>
        <v>20.05263157894737</v>
      </c>
      <c r="R557" s="13" t="s">
        <v>1432</v>
      </c>
      <c r="S557" s="13"/>
      <c r="T557" s="13" t="s">
        <v>1967</v>
      </c>
      <c r="U557" s="13" t="s">
        <v>1968</v>
      </c>
      <c r="V557" s="13" t="s">
        <v>3980</v>
      </c>
      <c r="W557" s="13"/>
      <c r="X557" s="13" t="s">
        <v>3980</v>
      </c>
      <c r="Y557" s="13" t="s">
        <v>3980</v>
      </c>
      <c r="Z557" s="13" t="s">
        <v>3980</v>
      </c>
      <c r="AC557" s="18"/>
    </row>
    <row r="558" spans="1:29" x14ac:dyDescent="0.25">
      <c r="A558" s="18" t="s">
        <v>2148</v>
      </c>
      <c r="B558" s="30">
        <v>2007</v>
      </c>
      <c r="C558" s="13">
        <v>746</v>
      </c>
      <c r="D558" s="14">
        <v>0.64400000000000002</v>
      </c>
      <c r="E558" s="14">
        <v>0.73599999999999999</v>
      </c>
      <c r="F558" s="13">
        <v>14</v>
      </c>
      <c r="G558" s="14">
        <v>0.67900000000000005</v>
      </c>
      <c r="H558" s="18" t="s">
        <v>3543</v>
      </c>
      <c r="I558" s="26" t="s">
        <v>87</v>
      </c>
      <c r="J558" s="18" t="s">
        <v>54</v>
      </c>
      <c r="K558" s="4"/>
      <c r="L558" s="9">
        <v>2007</v>
      </c>
      <c r="N558" s="30" t="s">
        <v>192</v>
      </c>
      <c r="O558" s="13" t="s">
        <v>28</v>
      </c>
      <c r="P558" s="13">
        <f t="shared" si="19"/>
        <v>11</v>
      </c>
      <c r="Q558" s="15">
        <f t="shared" si="20"/>
        <v>67.818181818181813</v>
      </c>
      <c r="R558" s="13" t="s">
        <v>2149</v>
      </c>
      <c r="S558" s="13"/>
      <c r="T558" s="13" t="s">
        <v>784</v>
      </c>
      <c r="U558" s="13" t="s">
        <v>2150</v>
      </c>
      <c r="V558" s="13" t="s">
        <v>3980</v>
      </c>
      <c r="W558" s="13"/>
      <c r="X558" s="13" t="s">
        <v>4558</v>
      </c>
      <c r="Y558" s="13" t="s">
        <v>3980</v>
      </c>
      <c r="Z558" s="13" t="s">
        <v>3980</v>
      </c>
      <c r="AC558" s="18"/>
    </row>
    <row r="559" spans="1:29" x14ac:dyDescent="0.25">
      <c r="A559" s="28" t="s">
        <v>4834</v>
      </c>
      <c r="B559" s="30">
        <v>1975</v>
      </c>
      <c r="C559" s="13">
        <v>9</v>
      </c>
      <c r="D559" s="14">
        <v>6.3E-2</v>
      </c>
      <c r="E559" s="14">
        <v>0.06</v>
      </c>
      <c r="F559" s="13">
        <v>2</v>
      </c>
      <c r="G559" s="14">
        <v>7.0999999999999994E-2</v>
      </c>
      <c r="I559" s="26" t="s">
        <v>87</v>
      </c>
      <c r="J559" s="18" t="s">
        <v>54</v>
      </c>
      <c r="L559" s="9">
        <v>1975</v>
      </c>
      <c r="N559" s="30" t="s">
        <v>377</v>
      </c>
      <c r="O559" s="13" t="s">
        <v>28</v>
      </c>
      <c r="P559" s="13">
        <f t="shared" si="19"/>
        <v>43</v>
      </c>
      <c r="Q559" s="15">
        <f t="shared" si="20"/>
        <v>0.20930232558139536</v>
      </c>
      <c r="R559" s="13" t="s">
        <v>1497</v>
      </c>
      <c r="S559" s="13" t="s">
        <v>680</v>
      </c>
      <c r="T559" s="13" t="s">
        <v>1498</v>
      </c>
      <c r="U559" s="13" t="s">
        <v>1499</v>
      </c>
      <c r="V559" s="13" t="s">
        <v>3980</v>
      </c>
      <c r="W559" s="13"/>
      <c r="X559" s="13" t="s">
        <v>3980</v>
      </c>
      <c r="Y559" s="13" t="s">
        <v>3980</v>
      </c>
      <c r="Z559" s="13" t="s">
        <v>3980</v>
      </c>
      <c r="AC559" s="18"/>
    </row>
    <row r="560" spans="1:29" x14ac:dyDescent="0.25">
      <c r="A560" s="18" t="s">
        <v>466</v>
      </c>
      <c r="B560" s="30">
        <v>2002</v>
      </c>
      <c r="C560" s="13">
        <v>1478</v>
      </c>
      <c r="D560" s="14">
        <v>0.78100000000000003</v>
      </c>
      <c r="E560" s="14">
        <v>0.56200000000000006</v>
      </c>
      <c r="F560" s="13">
        <v>13</v>
      </c>
      <c r="G560" s="14">
        <v>0.64500000000000002</v>
      </c>
      <c r="H560" s="18" t="s">
        <v>3256</v>
      </c>
      <c r="I560" s="26" t="s">
        <v>87</v>
      </c>
      <c r="J560" s="18" t="s">
        <v>26</v>
      </c>
      <c r="K560" s="4"/>
      <c r="L560" s="9">
        <v>2002</v>
      </c>
      <c r="N560" s="30" t="s">
        <v>111</v>
      </c>
      <c r="O560" s="13" t="s">
        <v>42</v>
      </c>
      <c r="P560" s="13">
        <f t="shared" si="19"/>
        <v>16</v>
      </c>
      <c r="Q560" s="15">
        <f t="shared" si="20"/>
        <v>92.375</v>
      </c>
      <c r="R560" s="13" t="s">
        <v>467</v>
      </c>
      <c r="S560" s="13"/>
      <c r="T560" s="13" t="s">
        <v>468</v>
      </c>
      <c r="U560" s="13" t="s">
        <v>469</v>
      </c>
      <c r="V560" s="13" t="s">
        <v>4128</v>
      </c>
      <c r="W560" s="13"/>
      <c r="X560" s="13" t="s">
        <v>4559</v>
      </c>
      <c r="Y560" s="13" t="s">
        <v>3980</v>
      </c>
      <c r="Z560" s="13" t="s">
        <v>3980</v>
      </c>
      <c r="AC560" s="18"/>
    </row>
    <row r="561" spans="1:29" x14ac:dyDescent="0.25">
      <c r="A561" s="18" t="s">
        <v>5077</v>
      </c>
      <c r="B561" s="30">
        <v>1973</v>
      </c>
      <c r="C561" s="13">
        <v>655</v>
      </c>
      <c r="D561" s="14">
        <v>0.61799999999999999</v>
      </c>
      <c r="E561" s="14">
        <v>0.34799999999999998</v>
      </c>
      <c r="F561" s="13">
        <v>8</v>
      </c>
      <c r="G561" s="14">
        <v>0.434</v>
      </c>
      <c r="I561" s="26" t="s">
        <v>87</v>
      </c>
      <c r="J561" s="18" t="s">
        <v>26</v>
      </c>
      <c r="K561" s="4"/>
      <c r="L561" s="9">
        <v>1973</v>
      </c>
      <c r="N561" s="30" t="s">
        <v>2777</v>
      </c>
      <c r="O561" s="13" t="s">
        <v>28</v>
      </c>
      <c r="P561" s="13">
        <f t="shared" si="19"/>
        <v>45</v>
      </c>
      <c r="Q561" s="15">
        <f t="shared" si="20"/>
        <v>14.555555555555555</v>
      </c>
      <c r="R561" s="13" t="s">
        <v>177</v>
      </c>
      <c r="S561" s="13" t="s">
        <v>164</v>
      </c>
      <c r="T561" s="13" t="s">
        <v>2778</v>
      </c>
      <c r="U561" s="13" t="s">
        <v>2779</v>
      </c>
      <c r="V561" s="13" t="s">
        <v>4129</v>
      </c>
      <c r="W561" s="13"/>
      <c r="X561" s="13" t="s">
        <v>4560</v>
      </c>
      <c r="Y561" s="13" t="s">
        <v>3980</v>
      </c>
      <c r="Z561" s="13" t="s">
        <v>3980</v>
      </c>
      <c r="AC561" s="18"/>
    </row>
    <row r="562" spans="1:29" x14ac:dyDescent="0.25">
      <c r="A562" s="18" t="s">
        <v>5078</v>
      </c>
      <c r="B562" s="30">
        <v>1997</v>
      </c>
      <c r="C562" s="13">
        <v>825</v>
      </c>
      <c r="D562" s="14">
        <v>0.66100000000000003</v>
      </c>
      <c r="E562" s="14">
        <v>0.40500000000000003</v>
      </c>
      <c r="F562" s="13">
        <v>18</v>
      </c>
      <c r="G562" s="14">
        <v>0.78700000000000003</v>
      </c>
      <c r="H562" s="18" t="s">
        <v>3683</v>
      </c>
      <c r="I562" s="26" t="s">
        <v>87</v>
      </c>
      <c r="J562" s="18" t="s">
        <v>26</v>
      </c>
      <c r="L562" s="9">
        <v>1997</v>
      </c>
      <c r="N562" s="30" t="s">
        <v>1921</v>
      </c>
      <c r="O562" s="13" t="s">
        <v>28</v>
      </c>
      <c r="P562" s="13">
        <f t="shared" si="19"/>
        <v>21</v>
      </c>
      <c r="Q562" s="15">
        <f t="shared" si="20"/>
        <v>39.285714285714285</v>
      </c>
      <c r="R562" s="13" t="s">
        <v>177</v>
      </c>
      <c r="S562" s="13" t="s">
        <v>239</v>
      </c>
      <c r="T562" s="13" t="s">
        <v>2780</v>
      </c>
      <c r="U562" s="13" t="s">
        <v>2781</v>
      </c>
      <c r="V562" s="13" t="s">
        <v>4130</v>
      </c>
      <c r="W562" s="13"/>
      <c r="X562" s="13" t="s">
        <v>4561</v>
      </c>
      <c r="Y562" s="13" t="s">
        <v>3980</v>
      </c>
      <c r="Z562" s="13" t="s">
        <v>3980</v>
      </c>
      <c r="AC562" s="18"/>
    </row>
    <row r="563" spans="1:29" x14ac:dyDescent="0.25">
      <c r="A563" s="18" t="s">
        <v>1935</v>
      </c>
      <c r="B563" s="30">
        <v>1990</v>
      </c>
      <c r="C563" s="13">
        <v>988</v>
      </c>
      <c r="D563" s="14">
        <v>0.69799999999999995</v>
      </c>
      <c r="E563" s="14">
        <v>0.44800000000000001</v>
      </c>
      <c r="F563" s="13">
        <v>17</v>
      </c>
      <c r="G563" s="14">
        <v>0.76400000000000001</v>
      </c>
      <c r="H563" s="18" t="s">
        <v>3568</v>
      </c>
      <c r="I563" s="26" t="s">
        <v>87</v>
      </c>
      <c r="J563" s="18" t="s">
        <v>26</v>
      </c>
      <c r="K563" s="4"/>
      <c r="L563" s="9">
        <v>1990</v>
      </c>
      <c r="N563" s="30" t="s">
        <v>152</v>
      </c>
      <c r="O563" s="13" t="s">
        <v>28</v>
      </c>
      <c r="P563" s="13">
        <f t="shared" si="19"/>
        <v>28</v>
      </c>
      <c r="Q563" s="15">
        <f t="shared" si="20"/>
        <v>35.285714285714285</v>
      </c>
      <c r="R563" s="13" t="s">
        <v>1936</v>
      </c>
      <c r="S563" s="13"/>
      <c r="T563" s="13" t="s">
        <v>1937</v>
      </c>
      <c r="U563" s="13" t="s">
        <v>1938</v>
      </c>
      <c r="V563" s="13" t="s">
        <v>4131</v>
      </c>
      <c r="W563" s="13"/>
      <c r="X563" s="13" t="s">
        <v>3980</v>
      </c>
      <c r="Y563" s="13" t="s">
        <v>3980</v>
      </c>
      <c r="Z563" s="13" t="s">
        <v>3980</v>
      </c>
      <c r="AC563" s="18"/>
    </row>
    <row r="564" spans="1:29" x14ac:dyDescent="0.25">
      <c r="A564" s="18" t="s">
        <v>4930</v>
      </c>
      <c r="B564" s="30">
        <v>1979</v>
      </c>
      <c r="C564" s="13">
        <v>397</v>
      </c>
      <c r="D564" s="14">
        <v>0.504</v>
      </c>
      <c r="E564" s="14">
        <v>0.26800000000000002</v>
      </c>
      <c r="F564" s="13">
        <v>13</v>
      </c>
      <c r="G564" s="14">
        <v>0.64500000000000002</v>
      </c>
      <c r="I564" s="26" t="s">
        <v>87</v>
      </c>
      <c r="J564" s="18" t="s">
        <v>26</v>
      </c>
      <c r="K564" s="4"/>
      <c r="L564" s="9">
        <v>1979</v>
      </c>
      <c r="N564" s="30" t="s">
        <v>2030</v>
      </c>
      <c r="O564" s="13" t="s">
        <v>28</v>
      </c>
      <c r="P564" s="13">
        <f t="shared" si="19"/>
        <v>39</v>
      </c>
      <c r="Q564" s="15">
        <f t="shared" si="20"/>
        <v>10.179487179487179</v>
      </c>
      <c r="R564" s="13" t="s">
        <v>2027</v>
      </c>
      <c r="S564" s="13" t="s">
        <v>1259</v>
      </c>
      <c r="T564" s="13" t="s">
        <v>576</v>
      </c>
      <c r="U564" s="13" t="s">
        <v>2031</v>
      </c>
      <c r="V564" s="13" t="s">
        <v>4132</v>
      </c>
      <c r="W564" s="13"/>
      <c r="X564" s="13" t="s">
        <v>4562</v>
      </c>
      <c r="Y564" s="13" t="s">
        <v>3980</v>
      </c>
      <c r="Z564" s="13" t="s">
        <v>3980</v>
      </c>
      <c r="AC564" s="18"/>
    </row>
    <row r="565" spans="1:29" x14ac:dyDescent="0.25">
      <c r="A565" s="18" t="s">
        <v>2386</v>
      </c>
      <c r="B565" s="30">
        <v>2004</v>
      </c>
      <c r="C565" s="30">
        <v>1285</v>
      </c>
      <c r="D565" s="14">
        <v>0.746</v>
      </c>
      <c r="E565" s="14">
        <v>0.85899999999999999</v>
      </c>
      <c r="F565" s="30">
        <v>13</v>
      </c>
      <c r="G565" s="14">
        <v>0.64500000000000002</v>
      </c>
      <c r="I565" s="26" t="s">
        <v>87</v>
      </c>
      <c r="J565" s="18" t="s">
        <v>54</v>
      </c>
      <c r="K565" s="4"/>
      <c r="L565" s="9">
        <v>2004</v>
      </c>
      <c r="N565" s="30" t="s">
        <v>151</v>
      </c>
      <c r="O565" s="13" t="s">
        <v>42</v>
      </c>
      <c r="P565" s="13">
        <f t="shared" si="19"/>
        <v>14</v>
      </c>
      <c r="Q565" s="15">
        <f t="shared" si="20"/>
        <v>91.785714285714292</v>
      </c>
      <c r="R565" s="13" t="s">
        <v>628</v>
      </c>
      <c r="S565" s="13"/>
      <c r="T565" s="13" t="s">
        <v>2387</v>
      </c>
      <c r="U565" s="13" t="s">
        <v>2388</v>
      </c>
      <c r="V565" s="13" t="s">
        <v>4133</v>
      </c>
      <c r="W565" s="13"/>
      <c r="X565" s="13" t="s">
        <v>3980</v>
      </c>
      <c r="Y565" s="13" t="s">
        <v>3980</v>
      </c>
      <c r="Z565" s="13" t="s">
        <v>3980</v>
      </c>
      <c r="AC565" s="18"/>
    </row>
    <row r="566" spans="1:29" x14ac:dyDescent="0.25">
      <c r="A566" s="18" t="s">
        <v>5092</v>
      </c>
      <c r="B566" s="30">
        <v>2001</v>
      </c>
      <c r="C566" s="13">
        <v>842</v>
      </c>
      <c r="D566" s="14">
        <v>0.66700000000000004</v>
      </c>
      <c r="E566" s="14">
        <v>0.41199999999999998</v>
      </c>
      <c r="F566" s="13">
        <v>12</v>
      </c>
      <c r="G566" s="14">
        <v>0.60899999999999999</v>
      </c>
      <c r="H566" s="18" t="s">
        <v>3177</v>
      </c>
      <c r="I566" s="26" t="s">
        <v>114</v>
      </c>
      <c r="J566" s="18" t="s">
        <v>26</v>
      </c>
      <c r="K566" s="4"/>
      <c r="L566" s="9">
        <v>2001</v>
      </c>
      <c r="N566" s="30" t="s">
        <v>40</v>
      </c>
      <c r="O566" s="13" t="s">
        <v>28</v>
      </c>
      <c r="P566" s="13">
        <f t="shared" si="19"/>
        <v>17</v>
      </c>
      <c r="Q566" s="15">
        <f t="shared" si="20"/>
        <v>49.529411764705884</v>
      </c>
      <c r="R566" s="13" t="s">
        <v>115</v>
      </c>
      <c r="S566" s="13" t="s">
        <v>116</v>
      </c>
      <c r="T566" s="13" t="s">
        <v>117</v>
      </c>
      <c r="U566" s="13" t="s">
        <v>118</v>
      </c>
      <c r="V566" s="13" t="s">
        <v>3980</v>
      </c>
      <c r="W566" s="13"/>
      <c r="X566" s="13" t="s">
        <v>4563</v>
      </c>
      <c r="Y566" s="13" t="s">
        <v>3980</v>
      </c>
      <c r="Z566" s="13" t="s">
        <v>3980</v>
      </c>
      <c r="AC566" s="18"/>
    </row>
    <row r="567" spans="1:29" x14ac:dyDescent="0.25">
      <c r="A567" s="18" t="s">
        <v>1677</v>
      </c>
      <c r="B567" s="30">
        <v>1984</v>
      </c>
      <c r="C567" s="13">
        <v>1500</v>
      </c>
      <c r="D567" s="14">
        <v>0.78600000000000003</v>
      </c>
      <c r="E567" s="14">
        <v>0.57099999999999995</v>
      </c>
      <c r="F567" s="13">
        <v>15</v>
      </c>
      <c r="G567" s="14">
        <v>0.71</v>
      </c>
      <c r="I567" s="26" t="s">
        <v>114</v>
      </c>
      <c r="J567" s="18" t="s">
        <v>26</v>
      </c>
      <c r="L567" s="9">
        <f>B567</f>
        <v>1984</v>
      </c>
      <c r="N567" s="32" t="s">
        <v>3118</v>
      </c>
      <c r="O567" s="13" t="s">
        <v>28</v>
      </c>
      <c r="P567" s="13">
        <f t="shared" si="19"/>
        <v>34</v>
      </c>
      <c r="Q567" s="15">
        <f t="shared" si="20"/>
        <v>44.117647058823529</v>
      </c>
      <c r="R567" s="13" t="s">
        <v>1678</v>
      </c>
      <c r="S567" s="13"/>
      <c r="T567" s="13" t="s">
        <v>1679</v>
      </c>
      <c r="U567" s="13"/>
      <c r="V567" s="13" t="s">
        <v>3980</v>
      </c>
      <c r="W567" s="13"/>
      <c r="X567" s="13" t="s">
        <v>3980</v>
      </c>
      <c r="Y567" s="13" t="s">
        <v>3980</v>
      </c>
      <c r="Z567" s="13" t="s">
        <v>3980</v>
      </c>
      <c r="AC567" s="18"/>
    </row>
    <row r="568" spans="1:29" x14ac:dyDescent="0.25">
      <c r="A568" s="18" t="s">
        <v>4992</v>
      </c>
      <c r="B568" s="30">
        <v>2004</v>
      </c>
      <c r="C568" s="13">
        <v>2335</v>
      </c>
      <c r="D568" s="14">
        <v>0.86099999999999999</v>
      </c>
      <c r="E568" s="14">
        <v>0.69699999999999995</v>
      </c>
      <c r="F568" s="13">
        <v>27</v>
      </c>
      <c r="G568" s="14">
        <v>0.90700000000000003</v>
      </c>
      <c r="H568" s="18" t="s">
        <v>3324</v>
      </c>
      <c r="I568" s="26" t="s">
        <v>114</v>
      </c>
      <c r="J568" s="4" t="s">
        <v>26</v>
      </c>
      <c r="K568" s="4"/>
      <c r="L568" s="9">
        <v>2004</v>
      </c>
      <c r="N568" s="30" t="s">
        <v>733</v>
      </c>
      <c r="O568" s="13" t="s">
        <v>28</v>
      </c>
      <c r="P568" s="13">
        <f t="shared" si="19"/>
        <v>14</v>
      </c>
      <c r="Q568" s="15">
        <f t="shared" si="20"/>
        <v>166.78571428571428</v>
      </c>
      <c r="R568" s="13" t="s">
        <v>734</v>
      </c>
      <c r="S568" s="13" t="s">
        <v>735</v>
      </c>
      <c r="T568" s="13" t="s">
        <v>736</v>
      </c>
      <c r="U568" s="13" t="s">
        <v>737</v>
      </c>
      <c r="V568" s="13" t="s">
        <v>4134</v>
      </c>
      <c r="W568" s="13"/>
      <c r="X568" s="13" t="s">
        <v>4564</v>
      </c>
      <c r="Y568" s="13" t="s">
        <v>3980</v>
      </c>
      <c r="Z568" s="13" t="s">
        <v>3980</v>
      </c>
      <c r="AC568" s="18"/>
    </row>
    <row r="569" spans="1:29" x14ac:dyDescent="0.25">
      <c r="A569" s="18" t="s">
        <v>1124</v>
      </c>
      <c r="B569" s="30">
        <v>2013</v>
      </c>
      <c r="C569" s="13">
        <v>308</v>
      </c>
      <c r="D569" s="14">
        <v>0.44900000000000001</v>
      </c>
      <c r="E569" s="14">
        <v>0.76100000000000001</v>
      </c>
      <c r="F569" s="13">
        <v>7</v>
      </c>
      <c r="G569" s="14">
        <v>0.39300000000000002</v>
      </c>
      <c r="H569" s="18" t="s">
        <v>3436</v>
      </c>
      <c r="I569" s="26" t="s">
        <v>114</v>
      </c>
      <c r="J569" s="4" t="s">
        <v>105</v>
      </c>
      <c r="L569" s="9">
        <f>B569</f>
        <v>2013</v>
      </c>
      <c r="N569" s="30" t="s">
        <v>3095</v>
      </c>
      <c r="O569" s="13" t="s">
        <v>28</v>
      </c>
      <c r="P569" s="13">
        <f t="shared" si="19"/>
        <v>5</v>
      </c>
      <c r="Q569" s="15">
        <f t="shared" si="20"/>
        <v>61.6</v>
      </c>
      <c r="R569" s="13" t="s">
        <v>1125</v>
      </c>
      <c r="S569" s="13"/>
      <c r="T569" s="13" t="s">
        <v>1126</v>
      </c>
      <c r="U569" s="13"/>
      <c r="V569" s="13" t="s">
        <v>3980</v>
      </c>
      <c r="W569" s="13"/>
      <c r="X569" s="13" t="s">
        <v>3980</v>
      </c>
      <c r="Y569" s="13" t="s">
        <v>3980</v>
      </c>
      <c r="Z569" s="13" t="s">
        <v>3980</v>
      </c>
      <c r="AC569" s="18"/>
    </row>
    <row r="570" spans="1:29" x14ac:dyDescent="0.25">
      <c r="A570" s="18" t="s">
        <v>1376</v>
      </c>
      <c r="B570" s="30">
        <v>2004</v>
      </c>
      <c r="C570" s="13">
        <v>1924</v>
      </c>
      <c r="D570" s="14">
        <v>0.82299999999999995</v>
      </c>
      <c r="E570" s="14">
        <v>0.93100000000000005</v>
      </c>
      <c r="F570" s="13">
        <v>24</v>
      </c>
      <c r="G570" s="14">
        <v>0.88300000000000001</v>
      </c>
      <c r="H570" s="18" t="s">
        <v>3508</v>
      </c>
      <c r="I570" s="26" t="s">
        <v>114</v>
      </c>
      <c r="J570" s="18" t="s">
        <v>54</v>
      </c>
      <c r="K570" s="4"/>
      <c r="L570" s="9">
        <v>2004</v>
      </c>
      <c r="N570" s="30" t="s">
        <v>788</v>
      </c>
      <c r="O570" s="13" t="s">
        <v>28</v>
      </c>
      <c r="P570" s="13">
        <f t="shared" si="19"/>
        <v>14</v>
      </c>
      <c r="Q570" s="15">
        <f t="shared" si="20"/>
        <v>137.42857142857142</v>
      </c>
      <c r="R570" s="13" t="s">
        <v>107</v>
      </c>
      <c r="S570" s="13"/>
      <c r="T570" s="13" t="s">
        <v>1358</v>
      </c>
      <c r="U570" s="13" t="s">
        <v>1377</v>
      </c>
      <c r="V570" s="13" t="s">
        <v>3980</v>
      </c>
      <c r="W570" s="13"/>
      <c r="X570" s="13" t="s">
        <v>3980</v>
      </c>
      <c r="Y570" s="13" t="s">
        <v>3980</v>
      </c>
      <c r="Z570" s="13" t="s">
        <v>3980</v>
      </c>
      <c r="AC570" s="18"/>
    </row>
    <row r="571" spans="1:29" x14ac:dyDescent="0.25">
      <c r="A571" s="18" t="s">
        <v>475</v>
      </c>
      <c r="B571" s="30">
        <v>2010</v>
      </c>
      <c r="C571" s="13">
        <v>138</v>
      </c>
      <c r="D571" s="14">
        <v>0.32300000000000001</v>
      </c>
      <c r="E571" s="14">
        <v>0.60299999999999998</v>
      </c>
      <c r="F571" s="13">
        <v>4</v>
      </c>
      <c r="G571" s="14">
        <v>0.19600000000000001</v>
      </c>
      <c r="H571" s="18" t="s">
        <v>3258</v>
      </c>
      <c r="I571" s="26" t="s">
        <v>114</v>
      </c>
      <c r="J571" s="4" t="s">
        <v>105</v>
      </c>
      <c r="L571" s="9">
        <v>2010</v>
      </c>
      <c r="N571" s="30" t="s">
        <v>476</v>
      </c>
      <c r="O571" s="13" t="s">
        <v>28</v>
      </c>
      <c r="P571" s="13">
        <f t="shared" si="19"/>
        <v>8</v>
      </c>
      <c r="Q571" s="15">
        <f t="shared" si="20"/>
        <v>17.25</v>
      </c>
      <c r="R571" s="13" t="s">
        <v>477</v>
      </c>
      <c r="S571" s="13"/>
      <c r="T571" s="13" t="s">
        <v>478</v>
      </c>
      <c r="U571" s="13" t="s">
        <v>479</v>
      </c>
      <c r="V571" s="13" t="s">
        <v>3980</v>
      </c>
      <c r="W571" s="13"/>
      <c r="X571" s="13" t="s">
        <v>4565</v>
      </c>
      <c r="Y571" s="13" t="s">
        <v>3980</v>
      </c>
      <c r="Z571" s="13" t="s">
        <v>3980</v>
      </c>
      <c r="AC571" s="18"/>
    </row>
    <row r="572" spans="1:29" x14ac:dyDescent="0.25">
      <c r="A572" s="18" t="s">
        <v>1322</v>
      </c>
      <c r="B572" s="30">
        <v>1999</v>
      </c>
      <c r="C572" s="13">
        <v>2110</v>
      </c>
      <c r="D572" s="14">
        <v>0.84499999999999997</v>
      </c>
      <c r="E572" s="14">
        <v>0.66500000000000004</v>
      </c>
      <c r="F572" s="13">
        <v>16</v>
      </c>
      <c r="G572" s="14">
        <v>0.74099999999999999</v>
      </c>
      <c r="H572" s="18" t="s">
        <v>3491</v>
      </c>
      <c r="I572" s="26" t="s">
        <v>114</v>
      </c>
      <c r="J572" s="18" t="s">
        <v>26</v>
      </c>
      <c r="L572" s="9">
        <v>1999</v>
      </c>
      <c r="N572" s="30" t="s">
        <v>1323</v>
      </c>
      <c r="O572" s="13" t="s">
        <v>42</v>
      </c>
      <c r="P572" s="13">
        <f t="shared" si="19"/>
        <v>19</v>
      </c>
      <c r="Q572" s="15">
        <f t="shared" si="20"/>
        <v>111.05263157894737</v>
      </c>
      <c r="R572" s="13" t="s">
        <v>1324</v>
      </c>
      <c r="S572" s="13"/>
      <c r="T572" s="13" t="s">
        <v>1325</v>
      </c>
      <c r="U572" s="13"/>
      <c r="V572" s="13" t="s">
        <v>4135</v>
      </c>
      <c r="W572" s="13"/>
      <c r="X572" s="13" t="s">
        <v>4566</v>
      </c>
      <c r="Y572" s="13" t="s">
        <v>3980</v>
      </c>
      <c r="Z572" s="13" t="s">
        <v>3980</v>
      </c>
      <c r="AC572" s="18"/>
    </row>
    <row r="573" spans="1:29" x14ac:dyDescent="0.25">
      <c r="A573" s="18" t="s">
        <v>1924</v>
      </c>
      <c r="B573" s="30">
        <v>2006</v>
      </c>
      <c r="C573" s="13">
        <v>5</v>
      </c>
      <c r="D573" s="14">
        <v>4.2999999999999997E-2</v>
      </c>
      <c r="E573" s="14">
        <v>0.04</v>
      </c>
      <c r="F573" s="13">
        <v>1</v>
      </c>
      <c r="G573" s="14">
        <v>0</v>
      </c>
      <c r="I573" s="26" t="s">
        <v>114</v>
      </c>
      <c r="J573" s="18" t="s">
        <v>54</v>
      </c>
      <c r="K573" s="4"/>
      <c r="L573" s="9">
        <f>B573</f>
        <v>2006</v>
      </c>
      <c r="N573" s="30" t="s">
        <v>259</v>
      </c>
      <c r="O573" s="13" t="s">
        <v>28</v>
      </c>
      <c r="P573" s="13">
        <f t="shared" si="19"/>
        <v>12</v>
      </c>
      <c r="Q573" s="15">
        <f t="shared" si="20"/>
        <v>0.41666666666666669</v>
      </c>
      <c r="R573" s="13" t="s">
        <v>623</v>
      </c>
      <c r="S573" s="13"/>
      <c r="T573" s="13" t="s">
        <v>1925</v>
      </c>
      <c r="U573" s="13"/>
      <c r="V573" s="13" t="s">
        <v>3980</v>
      </c>
      <c r="W573" s="13"/>
      <c r="X573" s="13" t="s">
        <v>3980</v>
      </c>
      <c r="Y573" s="13" t="s">
        <v>3980</v>
      </c>
      <c r="Z573" s="13" t="s">
        <v>3980</v>
      </c>
      <c r="AC573" s="18"/>
    </row>
    <row r="574" spans="1:29" x14ac:dyDescent="0.25">
      <c r="A574" s="18" t="s">
        <v>980</v>
      </c>
      <c r="B574" s="30">
        <v>1996</v>
      </c>
      <c r="C574" s="13">
        <v>1056</v>
      </c>
      <c r="D574" s="14">
        <v>0.70899999999999996</v>
      </c>
      <c r="E574" s="14">
        <v>0.46400000000000002</v>
      </c>
      <c r="F574" s="13">
        <v>15</v>
      </c>
      <c r="G574" s="14">
        <v>0.71</v>
      </c>
      <c r="H574" s="18" t="s">
        <v>3394</v>
      </c>
      <c r="I574" s="26" t="s">
        <v>114</v>
      </c>
      <c r="J574" s="18" t="s">
        <v>26</v>
      </c>
      <c r="L574" s="9">
        <v>1996</v>
      </c>
      <c r="N574" s="30" t="s">
        <v>981</v>
      </c>
      <c r="O574" s="13" t="s">
        <v>42</v>
      </c>
      <c r="P574" s="13">
        <f t="shared" si="19"/>
        <v>22</v>
      </c>
      <c r="Q574" s="15">
        <f t="shared" si="20"/>
        <v>48</v>
      </c>
      <c r="R574" s="13" t="s">
        <v>982</v>
      </c>
      <c r="S574" s="13"/>
      <c r="T574" s="13" t="s">
        <v>983</v>
      </c>
      <c r="U574" s="13"/>
      <c r="V574" s="13" t="s">
        <v>4136</v>
      </c>
      <c r="W574" s="13"/>
      <c r="X574" s="13" t="s">
        <v>4567</v>
      </c>
      <c r="Y574" s="13" t="s">
        <v>3980</v>
      </c>
      <c r="Z574" s="13" t="s">
        <v>3980</v>
      </c>
      <c r="AC574" s="18"/>
    </row>
    <row r="575" spans="1:29" x14ac:dyDescent="0.25">
      <c r="A575" s="18" t="s">
        <v>1009</v>
      </c>
      <c r="B575" s="30">
        <v>1998</v>
      </c>
      <c r="C575" s="13">
        <v>8523</v>
      </c>
      <c r="D575" s="14">
        <v>0.97799999999999998</v>
      </c>
      <c r="E575" s="14">
        <v>0.94699999999999995</v>
      </c>
      <c r="F575" s="13">
        <v>33</v>
      </c>
      <c r="G575" s="14">
        <v>0.94899999999999995</v>
      </c>
      <c r="H575" s="18" t="s">
        <v>3403</v>
      </c>
      <c r="I575" s="26" t="s">
        <v>114</v>
      </c>
      <c r="J575" s="18" t="s">
        <v>26</v>
      </c>
      <c r="L575" s="9">
        <v>1998</v>
      </c>
      <c r="N575" s="30" t="s">
        <v>1010</v>
      </c>
      <c r="O575" s="13" t="s">
        <v>28</v>
      </c>
      <c r="P575" s="13">
        <f t="shared" si="19"/>
        <v>20</v>
      </c>
      <c r="Q575" s="15">
        <f t="shared" si="20"/>
        <v>426.15</v>
      </c>
      <c r="R575" s="13" t="s">
        <v>1011</v>
      </c>
      <c r="S575" s="13"/>
      <c r="T575" s="13" t="s">
        <v>1012</v>
      </c>
      <c r="U575" s="13" t="s">
        <v>1013</v>
      </c>
      <c r="V575" s="13" t="s">
        <v>4137</v>
      </c>
      <c r="W575" s="13"/>
      <c r="X575" s="13" t="s">
        <v>4568</v>
      </c>
      <c r="Y575" s="13" t="s">
        <v>3980</v>
      </c>
      <c r="Z575" s="13" t="s">
        <v>3980</v>
      </c>
      <c r="AC575" s="18"/>
    </row>
    <row r="576" spans="1:29" x14ac:dyDescent="0.25">
      <c r="A576" s="18" t="s">
        <v>1050</v>
      </c>
      <c r="B576" s="30">
        <v>2012</v>
      </c>
      <c r="C576" s="13">
        <v>115</v>
      </c>
      <c r="D576" s="14">
        <v>0.28599999999999998</v>
      </c>
      <c r="E576" s="14">
        <v>0.54700000000000004</v>
      </c>
      <c r="F576" s="13">
        <v>5</v>
      </c>
      <c r="G576" s="14">
        <v>0.27400000000000002</v>
      </c>
      <c r="H576" s="18" t="s">
        <v>3621</v>
      </c>
      <c r="I576" s="26" t="s">
        <v>114</v>
      </c>
      <c r="J576" s="4" t="s">
        <v>105</v>
      </c>
      <c r="K576" s="4"/>
      <c r="L576" s="9">
        <v>2012</v>
      </c>
      <c r="N576" s="30" t="s">
        <v>765</v>
      </c>
      <c r="O576" s="13" t="s">
        <v>28</v>
      </c>
      <c r="P576" s="13">
        <f t="shared" si="19"/>
        <v>6</v>
      </c>
      <c r="Q576" s="15">
        <f t="shared" si="20"/>
        <v>19.166666666666668</v>
      </c>
      <c r="R576" s="13" t="s">
        <v>1051</v>
      </c>
      <c r="S576" s="13"/>
      <c r="T576" s="13" t="s">
        <v>1052</v>
      </c>
      <c r="U576" s="13" t="s">
        <v>1053</v>
      </c>
      <c r="V576" s="13" t="s">
        <v>4138</v>
      </c>
      <c r="W576" s="13"/>
      <c r="X576" s="13" t="s">
        <v>4569</v>
      </c>
      <c r="Y576" s="13" t="s">
        <v>3980</v>
      </c>
      <c r="Z576" s="13" t="s">
        <v>3980</v>
      </c>
      <c r="AC576" s="18"/>
    </row>
    <row r="577" spans="1:29" x14ac:dyDescent="0.25">
      <c r="A577" s="28" t="s">
        <v>1510</v>
      </c>
      <c r="B577" s="30">
        <v>2015</v>
      </c>
      <c r="C577" s="13">
        <v>12</v>
      </c>
      <c r="D577" s="14">
        <v>7.6999999999999999E-2</v>
      </c>
      <c r="E577" s="14">
        <v>0.15</v>
      </c>
      <c r="F577" s="13">
        <v>2</v>
      </c>
      <c r="G577" s="14">
        <v>7.0999999999999994E-2</v>
      </c>
      <c r="I577" s="26" t="s">
        <v>114</v>
      </c>
      <c r="J577" s="4" t="s">
        <v>105</v>
      </c>
      <c r="L577" s="9">
        <f>B577</f>
        <v>2015</v>
      </c>
      <c r="M577" s="11"/>
      <c r="N577" s="30" t="s">
        <v>1047</v>
      </c>
      <c r="O577" s="13" t="s">
        <v>42</v>
      </c>
      <c r="P577" s="13">
        <f t="shared" si="19"/>
        <v>3</v>
      </c>
      <c r="Q577" s="15">
        <f t="shared" si="20"/>
        <v>4</v>
      </c>
      <c r="R577" s="13" t="s">
        <v>1507</v>
      </c>
      <c r="S577" s="13"/>
      <c r="T577" s="13" t="s">
        <v>1511</v>
      </c>
      <c r="U577" s="13"/>
      <c r="V577" s="13" t="s">
        <v>3980</v>
      </c>
      <c r="W577" s="13"/>
      <c r="X577" s="13" t="s">
        <v>3980</v>
      </c>
      <c r="Y577" s="13" t="s">
        <v>3980</v>
      </c>
      <c r="Z577" s="13" t="s">
        <v>3980</v>
      </c>
      <c r="AC577" s="18"/>
    </row>
    <row r="578" spans="1:29" x14ac:dyDescent="0.25">
      <c r="A578" s="18" t="s">
        <v>4994</v>
      </c>
      <c r="B578" s="30">
        <v>2005</v>
      </c>
      <c r="C578" s="13">
        <v>232</v>
      </c>
      <c r="D578" s="14">
        <v>0.4</v>
      </c>
      <c r="E578" s="14">
        <v>0.39800000000000002</v>
      </c>
      <c r="F578" s="13">
        <v>8</v>
      </c>
      <c r="G578" s="14">
        <v>0.434</v>
      </c>
      <c r="H578" s="18" t="s">
        <v>3695</v>
      </c>
      <c r="I578" s="26" t="s">
        <v>114</v>
      </c>
      <c r="J578" s="4" t="s">
        <v>54</v>
      </c>
      <c r="L578" s="9">
        <v>2005</v>
      </c>
      <c r="N578" s="30" t="s">
        <v>2336</v>
      </c>
      <c r="O578" s="13" t="s">
        <v>28</v>
      </c>
      <c r="P578" s="13">
        <f t="shared" ref="P578:P641" si="23">2018-L578</f>
        <v>13</v>
      </c>
      <c r="Q578" s="15">
        <f t="shared" ref="Q578:Q641" si="24">C578/P578</f>
        <v>17.846153846153847</v>
      </c>
      <c r="R578" s="13" t="s">
        <v>2337</v>
      </c>
      <c r="S578" s="13" t="s">
        <v>215</v>
      </c>
      <c r="T578" s="13" t="s">
        <v>2338</v>
      </c>
      <c r="U578" s="13" t="s">
        <v>2339</v>
      </c>
      <c r="V578" s="13" t="s">
        <v>4139</v>
      </c>
      <c r="W578" s="13"/>
      <c r="X578" s="13" t="s">
        <v>4570</v>
      </c>
      <c r="Y578" s="13" t="s">
        <v>3980</v>
      </c>
      <c r="Z578" s="13" t="s">
        <v>3980</v>
      </c>
      <c r="AC578" s="18"/>
    </row>
    <row r="579" spans="1:29" x14ac:dyDescent="0.25">
      <c r="A579" s="4" t="s">
        <v>1153</v>
      </c>
      <c r="B579" s="30">
        <v>2014</v>
      </c>
      <c r="C579" s="13">
        <v>157</v>
      </c>
      <c r="D579" s="14">
        <v>0.34699999999999998</v>
      </c>
      <c r="E579" s="14">
        <v>0.64200000000000002</v>
      </c>
      <c r="F579" s="13">
        <v>6</v>
      </c>
      <c r="G579" s="14">
        <v>0.32200000000000001</v>
      </c>
      <c r="H579" s="18" t="s">
        <v>3444</v>
      </c>
      <c r="I579" s="2" t="s">
        <v>385</v>
      </c>
      <c r="J579" s="4" t="s">
        <v>105</v>
      </c>
      <c r="K579" s="4"/>
      <c r="L579" s="9">
        <f>B579</f>
        <v>2014</v>
      </c>
      <c r="N579" s="30" t="s">
        <v>337</v>
      </c>
      <c r="O579" s="13" t="s">
        <v>28</v>
      </c>
      <c r="P579" s="13">
        <f t="shared" si="23"/>
        <v>4</v>
      </c>
      <c r="Q579" s="15">
        <f t="shared" si="24"/>
        <v>39.25</v>
      </c>
      <c r="R579" s="13" t="s">
        <v>1154</v>
      </c>
      <c r="S579" s="13"/>
      <c r="T579" s="13" t="s">
        <v>1155</v>
      </c>
      <c r="U579" s="13"/>
      <c r="V579" s="13" t="s">
        <v>3980</v>
      </c>
      <c r="W579" s="13"/>
      <c r="X579" s="13" t="s">
        <v>3980</v>
      </c>
      <c r="Y579" s="13" t="s">
        <v>3980</v>
      </c>
      <c r="Z579" s="13" t="s">
        <v>3980</v>
      </c>
      <c r="AC579" s="18"/>
    </row>
    <row r="580" spans="1:29" x14ac:dyDescent="0.25">
      <c r="A580" s="18" t="s">
        <v>2331</v>
      </c>
      <c r="B580" s="30">
        <v>2017</v>
      </c>
      <c r="C580" s="8">
        <v>137</v>
      </c>
      <c r="D580" s="14">
        <v>0.32</v>
      </c>
      <c r="E580" s="14">
        <v>0.59599999999999997</v>
      </c>
      <c r="F580" s="8">
        <v>7</v>
      </c>
      <c r="G580" s="14">
        <v>0.39300000000000002</v>
      </c>
      <c r="H580" s="18" t="s">
        <v>3573</v>
      </c>
      <c r="I580" s="2" t="s">
        <v>385</v>
      </c>
      <c r="J580" s="4" t="s">
        <v>105</v>
      </c>
      <c r="L580" s="9">
        <f>B580</f>
        <v>2017</v>
      </c>
      <c r="N580" s="28" t="s">
        <v>337</v>
      </c>
      <c r="O580" s="13" t="s">
        <v>42</v>
      </c>
      <c r="P580" s="13">
        <f t="shared" si="23"/>
        <v>1</v>
      </c>
      <c r="Q580" s="15">
        <f t="shared" si="24"/>
        <v>137</v>
      </c>
      <c r="R580" s="18" t="s">
        <v>3728</v>
      </c>
      <c r="T580" s="18" t="s">
        <v>3729</v>
      </c>
      <c r="V580" s="18" t="s">
        <v>3980</v>
      </c>
      <c r="X580" s="18" t="s">
        <v>3980</v>
      </c>
      <c r="Y580" s="18" t="s">
        <v>3980</v>
      </c>
      <c r="Z580" s="18" t="s">
        <v>3980</v>
      </c>
      <c r="AC580" s="18"/>
    </row>
    <row r="581" spans="1:29" x14ac:dyDescent="0.25">
      <c r="A581" s="18" t="s">
        <v>2361</v>
      </c>
      <c r="B581" s="30">
        <v>1977</v>
      </c>
      <c r="C581" s="13">
        <v>25</v>
      </c>
      <c r="D581" s="14">
        <v>0.113</v>
      </c>
      <c r="E581" s="14">
        <v>5.8999999999999997E-2</v>
      </c>
      <c r="F581" s="13">
        <v>3</v>
      </c>
      <c r="G581" s="14">
        <v>0.13100000000000001</v>
      </c>
      <c r="I581" s="26" t="s">
        <v>385</v>
      </c>
      <c r="J581" s="18" t="s">
        <v>26</v>
      </c>
      <c r="L581" s="9">
        <f>B581</f>
        <v>1977</v>
      </c>
      <c r="M581" s="20" t="s">
        <v>3132</v>
      </c>
      <c r="N581" s="30" t="s">
        <v>3139</v>
      </c>
      <c r="O581" s="13" t="s">
        <v>42</v>
      </c>
      <c r="P581" s="13">
        <f t="shared" si="23"/>
        <v>41</v>
      </c>
      <c r="Q581" s="15">
        <f t="shared" si="24"/>
        <v>0.6097560975609756</v>
      </c>
      <c r="R581" s="13" t="s">
        <v>2362</v>
      </c>
      <c r="S581" s="13"/>
      <c r="T581" s="13" t="s">
        <v>2363</v>
      </c>
      <c r="U581" s="13"/>
      <c r="V581" s="13" t="s">
        <v>3980</v>
      </c>
      <c r="W581" s="13"/>
      <c r="X581" s="13" t="s">
        <v>3980</v>
      </c>
      <c r="Y581" s="13" t="s">
        <v>3980</v>
      </c>
      <c r="Z581" s="13" t="s">
        <v>3980</v>
      </c>
      <c r="AC581" s="18"/>
    </row>
    <row r="582" spans="1:29" x14ac:dyDescent="0.25">
      <c r="A582" s="18" t="s">
        <v>4843</v>
      </c>
      <c r="B582" s="30">
        <v>1984</v>
      </c>
      <c r="C582" s="13">
        <v>7378</v>
      </c>
      <c r="D582" s="14">
        <v>0.97099999999999997</v>
      </c>
      <c r="E582" s="14">
        <v>0.92900000000000005</v>
      </c>
      <c r="F582" s="13">
        <v>48</v>
      </c>
      <c r="G582" s="14">
        <v>0.99</v>
      </c>
      <c r="H582" s="18" t="s">
        <v>3407</v>
      </c>
      <c r="I582" s="26" t="s">
        <v>385</v>
      </c>
      <c r="J582" s="18" t="s">
        <v>26</v>
      </c>
      <c r="L582" s="9">
        <v>1984</v>
      </c>
      <c r="N582" s="30" t="s">
        <v>337</v>
      </c>
      <c r="O582" s="13" t="s">
        <v>28</v>
      </c>
      <c r="P582" s="13">
        <f t="shared" si="23"/>
        <v>34</v>
      </c>
      <c r="Q582" s="15">
        <f t="shared" si="24"/>
        <v>217</v>
      </c>
      <c r="R582" s="13" t="s">
        <v>1023</v>
      </c>
      <c r="S582" s="13" t="s">
        <v>1024</v>
      </c>
      <c r="T582" s="13" t="s">
        <v>1025</v>
      </c>
      <c r="U582" s="13" t="s">
        <v>1026</v>
      </c>
      <c r="V582" s="13" t="s">
        <v>4140</v>
      </c>
      <c r="W582" s="13"/>
      <c r="X582" s="13" t="s">
        <v>3980</v>
      </c>
      <c r="Y582" s="13" t="s">
        <v>3980</v>
      </c>
      <c r="Z582" s="13" t="s">
        <v>3980</v>
      </c>
      <c r="AC582" s="18"/>
    </row>
    <row r="583" spans="1:29" x14ac:dyDescent="0.25">
      <c r="A583" s="18" t="s">
        <v>384</v>
      </c>
      <c r="B583" s="30">
        <v>1987</v>
      </c>
      <c r="C583" s="13">
        <v>2383</v>
      </c>
      <c r="D583" s="14">
        <v>0.86899999999999999</v>
      </c>
      <c r="E583" s="14">
        <v>0.71199999999999997</v>
      </c>
      <c r="F583" s="13">
        <v>16</v>
      </c>
      <c r="G583" s="14">
        <v>0.74099999999999999</v>
      </c>
      <c r="H583" s="18" t="s">
        <v>3158</v>
      </c>
      <c r="I583" s="26" t="s">
        <v>385</v>
      </c>
      <c r="J583" s="18" t="s">
        <v>26</v>
      </c>
      <c r="L583" s="9">
        <v>1987</v>
      </c>
      <c r="N583" s="30" t="s">
        <v>41</v>
      </c>
      <c r="O583" s="13" t="s">
        <v>28</v>
      </c>
      <c r="P583" s="13">
        <f t="shared" si="23"/>
        <v>31</v>
      </c>
      <c r="Q583" s="15">
        <f t="shared" si="24"/>
        <v>76.870967741935488</v>
      </c>
      <c r="R583" s="13" t="s">
        <v>386</v>
      </c>
      <c r="S583" s="13"/>
      <c r="T583" s="13" t="s">
        <v>387</v>
      </c>
      <c r="U583" s="13" t="s">
        <v>388</v>
      </c>
      <c r="V583" s="13" t="s">
        <v>3980</v>
      </c>
      <c r="W583" s="13"/>
      <c r="X583" s="13" t="s">
        <v>4571</v>
      </c>
      <c r="Y583" s="13" t="s">
        <v>3980</v>
      </c>
      <c r="Z583" s="13" t="s">
        <v>3980</v>
      </c>
      <c r="AC583" s="18"/>
    </row>
    <row r="584" spans="1:29" x14ac:dyDescent="0.25">
      <c r="A584" s="18" t="s">
        <v>1527</v>
      </c>
      <c r="B584" s="30">
        <v>2013</v>
      </c>
      <c r="C584" s="13">
        <v>109</v>
      </c>
      <c r="D584" s="14">
        <v>0.27800000000000002</v>
      </c>
      <c r="E584" s="14">
        <v>0.52600000000000002</v>
      </c>
      <c r="F584" s="13">
        <v>6</v>
      </c>
      <c r="G584" s="14">
        <v>0.32200000000000001</v>
      </c>
      <c r="H584" s="18" t="s">
        <v>4814</v>
      </c>
      <c r="I584" s="26" t="s">
        <v>385</v>
      </c>
      <c r="J584" s="18" t="s">
        <v>105</v>
      </c>
      <c r="L584" s="9">
        <v>2013</v>
      </c>
      <c r="N584" s="30" t="s">
        <v>106</v>
      </c>
      <c r="O584" s="13" t="s">
        <v>28</v>
      </c>
      <c r="P584" s="13">
        <f t="shared" si="23"/>
        <v>5</v>
      </c>
      <c r="Q584" s="15">
        <f t="shared" si="24"/>
        <v>21.8</v>
      </c>
      <c r="R584" s="13" t="s">
        <v>153</v>
      </c>
      <c r="S584" s="13"/>
      <c r="T584" s="13" t="s">
        <v>1528</v>
      </c>
      <c r="U584" s="13" t="s">
        <v>1529</v>
      </c>
      <c r="V584" s="13" t="s">
        <v>4141</v>
      </c>
      <c r="W584" s="13"/>
      <c r="X584" s="13" t="s">
        <v>3980</v>
      </c>
      <c r="Y584" s="13" t="s">
        <v>3980</v>
      </c>
      <c r="Z584" s="13" t="s">
        <v>3980</v>
      </c>
      <c r="AC584" s="18"/>
    </row>
    <row r="585" spans="1:29" x14ac:dyDescent="0.25">
      <c r="A585" s="18" t="s">
        <v>1082</v>
      </c>
      <c r="B585" s="30">
        <v>2015</v>
      </c>
      <c r="C585" s="13">
        <v>153</v>
      </c>
      <c r="D585" s="14">
        <v>0.34300000000000003</v>
      </c>
      <c r="E585" s="14">
        <v>0.628</v>
      </c>
      <c r="F585" s="13">
        <v>6</v>
      </c>
      <c r="G585" s="14">
        <v>0.32200000000000001</v>
      </c>
      <c r="H585" s="18" t="s">
        <v>3423</v>
      </c>
      <c r="I585" s="26" t="s">
        <v>385</v>
      </c>
      <c r="J585" s="18" t="s">
        <v>105</v>
      </c>
      <c r="L585" s="9">
        <f>B585</f>
        <v>2015</v>
      </c>
      <c r="N585" s="30" t="s">
        <v>3093</v>
      </c>
      <c r="O585" s="13" t="s">
        <v>28</v>
      </c>
      <c r="P585" s="13">
        <f t="shared" si="23"/>
        <v>3</v>
      </c>
      <c r="Q585" s="15">
        <f t="shared" si="24"/>
        <v>51</v>
      </c>
      <c r="R585" s="13" t="s">
        <v>811</v>
      </c>
      <c r="S585" s="13"/>
      <c r="T585" s="13" t="s">
        <v>1083</v>
      </c>
      <c r="U585" s="13"/>
      <c r="V585" s="13" t="s">
        <v>3980</v>
      </c>
      <c r="W585" s="13"/>
      <c r="X585" s="13" t="s">
        <v>3980</v>
      </c>
      <c r="Y585" s="13" t="s">
        <v>3980</v>
      </c>
      <c r="Z585" s="13" t="s">
        <v>3980</v>
      </c>
      <c r="AC585" s="18"/>
    </row>
    <row r="586" spans="1:29" x14ac:dyDescent="0.25">
      <c r="A586" s="18" t="s">
        <v>2380</v>
      </c>
      <c r="B586" s="30">
        <v>1995</v>
      </c>
      <c r="C586" s="13">
        <v>420</v>
      </c>
      <c r="D586" s="14">
        <v>0.51700000000000002</v>
      </c>
      <c r="E586" s="14">
        <v>0.56699999999999995</v>
      </c>
      <c r="F586" s="13">
        <v>13</v>
      </c>
      <c r="G586" s="14">
        <v>0.64500000000000002</v>
      </c>
      <c r="H586" s="18" t="s">
        <v>3602</v>
      </c>
      <c r="I586" s="26" t="s">
        <v>277</v>
      </c>
      <c r="J586" s="18" t="s">
        <v>54</v>
      </c>
      <c r="L586" s="9">
        <v>1995</v>
      </c>
      <c r="N586" s="30" t="s">
        <v>1627</v>
      </c>
      <c r="O586" s="13" t="s">
        <v>42</v>
      </c>
      <c r="P586" s="13">
        <f t="shared" si="23"/>
        <v>23</v>
      </c>
      <c r="Q586" s="15">
        <f t="shared" si="24"/>
        <v>18.260869565217391</v>
      </c>
      <c r="R586" s="13" t="s">
        <v>2381</v>
      </c>
      <c r="S586" s="13"/>
      <c r="T586" s="13" t="s">
        <v>2382</v>
      </c>
      <c r="U586" s="13" t="s">
        <v>2383</v>
      </c>
      <c r="V586" s="13" t="s">
        <v>4142</v>
      </c>
      <c r="W586" s="13"/>
      <c r="X586" s="13" t="s">
        <v>4572</v>
      </c>
      <c r="Y586" s="13" t="s">
        <v>3980</v>
      </c>
      <c r="Z586" s="13" t="s">
        <v>3980</v>
      </c>
      <c r="AC586" s="18"/>
    </row>
    <row r="587" spans="1:29" x14ac:dyDescent="0.25">
      <c r="A587" s="18" t="s">
        <v>2348</v>
      </c>
      <c r="B587" s="30">
        <v>2007</v>
      </c>
      <c r="C587" s="13">
        <v>62</v>
      </c>
      <c r="D587" s="14">
        <v>0.20100000000000001</v>
      </c>
      <c r="E587" s="14">
        <v>0.111</v>
      </c>
      <c r="F587" s="13">
        <v>3</v>
      </c>
      <c r="G587" s="14">
        <v>0.13100000000000001</v>
      </c>
      <c r="I587" s="26" t="s">
        <v>277</v>
      </c>
      <c r="J587" s="18" t="s">
        <v>26</v>
      </c>
      <c r="L587" s="9">
        <f>B587</f>
        <v>2007</v>
      </c>
      <c r="M587" s="11"/>
      <c r="N587" s="30" t="s">
        <v>788</v>
      </c>
      <c r="O587" s="13" t="s">
        <v>28</v>
      </c>
      <c r="P587" s="13">
        <f t="shared" si="23"/>
        <v>11</v>
      </c>
      <c r="Q587" s="15">
        <f t="shared" si="24"/>
        <v>5.6363636363636367</v>
      </c>
      <c r="R587" s="13" t="s">
        <v>2349</v>
      </c>
      <c r="S587" s="13"/>
      <c r="T587" s="13" t="s">
        <v>2350</v>
      </c>
      <c r="U587" s="13"/>
      <c r="V587" s="13" t="s">
        <v>3980</v>
      </c>
      <c r="W587" s="13"/>
      <c r="X587" s="13" t="s">
        <v>3980</v>
      </c>
      <c r="Y587" s="13" t="s">
        <v>3980</v>
      </c>
      <c r="Z587" s="13" t="s">
        <v>3980</v>
      </c>
      <c r="AC587" s="18"/>
    </row>
    <row r="588" spans="1:29" x14ac:dyDescent="0.25">
      <c r="A588" s="18" t="s">
        <v>1487</v>
      </c>
      <c r="B588" s="30">
        <v>2014</v>
      </c>
      <c r="C588" s="13">
        <v>346</v>
      </c>
      <c r="D588" s="14">
        <v>0.47199999999999998</v>
      </c>
      <c r="E588" s="14">
        <v>0.78500000000000003</v>
      </c>
      <c r="F588" s="13">
        <v>9</v>
      </c>
      <c r="G588" s="14">
        <v>0.48799999999999999</v>
      </c>
      <c r="H588" s="18" t="s">
        <v>3637</v>
      </c>
      <c r="I588" s="26" t="s">
        <v>277</v>
      </c>
      <c r="J588" s="18" t="s">
        <v>105</v>
      </c>
      <c r="L588" s="9">
        <f>B588</f>
        <v>2014</v>
      </c>
      <c r="M588" s="11"/>
      <c r="N588" s="30" t="s">
        <v>337</v>
      </c>
      <c r="O588" s="13" t="s">
        <v>28</v>
      </c>
      <c r="P588" s="13">
        <f t="shared" si="23"/>
        <v>4</v>
      </c>
      <c r="Q588" s="15">
        <f t="shared" si="24"/>
        <v>86.5</v>
      </c>
      <c r="R588" s="13" t="s">
        <v>68</v>
      </c>
      <c r="S588" s="13"/>
      <c r="T588" s="13" t="s">
        <v>1488</v>
      </c>
      <c r="U588" s="13"/>
      <c r="V588" s="13" t="s">
        <v>3980</v>
      </c>
      <c r="W588" s="13"/>
      <c r="X588" s="13" t="s">
        <v>3980</v>
      </c>
      <c r="Y588" s="13" t="s">
        <v>3980</v>
      </c>
      <c r="Z588" s="13" t="s">
        <v>3980</v>
      </c>
      <c r="AC588" s="18"/>
    </row>
    <row r="589" spans="1:29" x14ac:dyDescent="0.25">
      <c r="A589" s="18" t="s">
        <v>5102</v>
      </c>
      <c r="B589" s="30">
        <v>1994</v>
      </c>
      <c r="C589" s="13">
        <v>6974</v>
      </c>
      <c r="D589" s="14">
        <v>0.96899999999999997</v>
      </c>
      <c r="E589" s="14">
        <v>0.92400000000000004</v>
      </c>
      <c r="F589" s="13">
        <v>35</v>
      </c>
      <c r="G589" s="14">
        <v>0.96</v>
      </c>
      <c r="H589" s="18" t="s">
        <v>3678</v>
      </c>
      <c r="I589" s="26" t="s">
        <v>277</v>
      </c>
      <c r="J589" s="18" t="s">
        <v>26</v>
      </c>
      <c r="K589" s="4"/>
      <c r="L589" s="9">
        <v>1994</v>
      </c>
      <c r="N589" s="30" t="s">
        <v>152</v>
      </c>
      <c r="O589" s="13" t="s">
        <v>42</v>
      </c>
      <c r="P589" s="13">
        <f t="shared" si="23"/>
        <v>24</v>
      </c>
      <c r="Q589" s="15">
        <f t="shared" si="24"/>
        <v>290.58333333333331</v>
      </c>
      <c r="R589" s="13" t="s">
        <v>1262</v>
      </c>
      <c r="S589" s="13" t="s">
        <v>859</v>
      </c>
      <c r="T589" s="13" t="s">
        <v>2907</v>
      </c>
      <c r="U589" s="13" t="s">
        <v>2908</v>
      </c>
      <c r="V589" s="13" t="s">
        <v>3980</v>
      </c>
      <c r="W589" s="13"/>
      <c r="X589" s="13" t="s">
        <v>3980</v>
      </c>
      <c r="Y589" s="13" t="s">
        <v>3980</v>
      </c>
      <c r="Z589" s="13" t="s">
        <v>3980</v>
      </c>
      <c r="AC589" s="18"/>
    </row>
    <row r="590" spans="1:29" x14ac:dyDescent="0.25">
      <c r="A590" s="18" t="s">
        <v>4998</v>
      </c>
      <c r="B590" s="30">
        <v>1993</v>
      </c>
      <c r="C590" s="13">
        <v>26245</v>
      </c>
      <c r="D590" s="14">
        <v>0.997</v>
      </c>
      <c r="E590" s="14">
        <v>0.99299999999999999</v>
      </c>
      <c r="F590" s="13">
        <v>68</v>
      </c>
      <c r="G590" s="14">
        <v>0.999</v>
      </c>
      <c r="H590" s="18" t="s">
        <v>3674</v>
      </c>
      <c r="I590" s="26" t="s">
        <v>277</v>
      </c>
      <c r="J590" s="4" t="s">
        <v>26</v>
      </c>
      <c r="K590" s="4"/>
      <c r="L590" s="9">
        <v>1993</v>
      </c>
      <c r="N590" s="30" t="s">
        <v>168</v>
      </c>
      <c r="O590" s="13" t="s">
        <v>28</v>
      </c>
      <c r="P590" s="13">
        <f t="shared" si="23"/>
        <v>25</v>
      </c>
      <c r="Q590" s="15">
        <f t="shared" si="24"/>
        <v>1049.8</v>
      </c>
      <c r="R590" s="13" t="s">
        <v>197</v>
      </c>
      <c r="S590" s="13" t="s">
        <v>680</v>
      </c>
      <c r="T590" s="13" t="s">
        <v>227</v>
      </c>
      <c r="U590" s="13" t="s">
        <v>2364</v>
      </c>
      <c r="V590" s="13" t="s">
        <v>4143</v>
      </c>
      <c r="W590" s="13"/>
      <c r="X590" s="13" t="s">
        <v>3980</v>
      </c>
      <c r="Y590" s="13" t="s">
        <v>3980</v>
      </c>
      <c r="Z590" s="13" t="s">
        <v>3980</v>
      </c>
      <c r="AC590" s="18"/>
    </row>
    <row r="591" spans="1:29" x14ac:dyDescent="0.25">
      <c r="A591" s="18" t="s">
        <v>2657</v>
      </c>
      <c r="B591" s="30">
        <v>1990</v>
      </c>
      <c r="C591" s="13">
        <v>538</v>
      </c>
      <c r="D591" s="14">
        <v>0.56999999999999995</v>
      </c>
      <c r="E591" s="14">
        <v>0.309</v>
      </c>
      <c r="F591" s="13">
        <v>11</v>
      </c>
      <c r="G591" s="14">
        <v>0.56000000000000005</v>
      </c>
      <c r="I591" s="26" t="s">
        <v>277</v>
      </c>
      <c r="J591" t="s">
        <v>26</v>
      </c>
      <c r="L591" s="9">
        <v>1990</v>
      </c>
      <c r="N591" s="30" t="s">
        <v>41</v>
      </c>
      <c r="O591" s="13" t="s">
        <v>42</v>
      </c>
      <c r="P591" s="13">
        <f t="shared" si="23"/>
        <v>28</v>
      </c>
      <c r="Q591" s="15">
        <f t="shared" si="24"/>
        <v>19.214285714285715</v>
      </c>
      <c r="R591" s="13" t="s">
        <v>2658</v>
      </c>
      <c r="S591" s="13"/>
      <c r="T591" s="13" t="s">
        <v>2659</v>
      </c>
      <c r="U591" s="13" t="s">
        <v>2660</v>
      </c>
      <c r="V591" s="13" t="s">
        <v>3980</v>
      </c>
      <c r="W591" s="13"/>
      <c r="X591" s="13" t="s">
        <v>4573</v>
      </c>
      <c r="Y591" s="13" t="s">
        <v>3980</v>
      </c>
      <c r="Z591" s="13" t="s">
        <v>3980</v>
      </c>
      <c r="AC591" s="18"/>
    </row>
    <row r="592" spans="1:29" x14ac:dyDescent="0.25">
      <c r="A592" s="18" t="s">
        <v>276</v>
      </c>
      <c r="B592" s="30">
        <v>2012</v>
      </c>
      <c r="C592" s="13">
        <v>569</v>
      </c>
      <c r="D592" s="14">
        <v>0.58599999999999997</v>
      </c>
      <c r="E592" s="14">
        <v>0.89400000000000002</v>
      </c>
      <c r="F592" s="13">
        <v>12</v>
      </c>
      <c r="G592" s="14">
        <v>0.60899999999999999</v>
      </c>
      <c r="H592" s="18" t="s">
        <v>3210</v>
      </c>
      <c r="I592" s="26" t="s">
        <v>277</v>
      </c>
      <c r="J592" s="18" t="s">
        <v>105</v>
      </c>
      <c r="L592" s="9">
        <v>2012</v>
      </c>
      <c r="N592" s="30" t="s">
        <v>40</v>
      </c>
      <c r="O592" s="13" t="s">
        <v>28</v>
      </c>
      <c r="P592" s="13">
        <f t="shared" si="23"/>
        <v>6</v>
      </c>
      <c r="Q592" s="15">
        <f t="shared" si="24"/>
        <v>94.833333333333329</v>
      </c>
      <c r="R592" s="13" t="s">
        <v>278</v>
      </c>
      <c r="S592" s="13"/>
      <c r="T592" s="13" t="s">
        <v>279</v>
      </c>
      <c r="U592" s="13" t="s">
        <v>280</v>
      </c>
      <c r="V592" s="13" t="s">
        <v>4144</v>
      </c>
      <c r="W592" s="13"/>
      <c r="X592" s="13" t="s">
        <v>4574</v>
      </c>
      <c r="Y592" s="13" t="s">
        <v>3980</v>
      </c>
      <c r="Z592" s="13" t="s">
        <v>3980</v>
      </c>
      <c r="AC592" s="18"/>
    </row>
    <row r="593" spans="1:29" x14ac:dyDescent="0.25">
      <c r="A593" s="18" t="s">
        <v>5118</v>
      </c>
      <c r="B593" s="30">
        <v>1991</v>
      </c>
      <c r="C593" s="13">
        <v>2170</v>
      </c>
      <c r="D593" s="14">
        <v>0.85</v>
      </c>
      <c r="E593" s="14">
        <v>0.67400000000000004</v>
      </c>
      <c r="F593" s="13">
        <v>22</v>
      </c>
      <c r="G593" s="14">
        <v>0.85699999999999998</v>
      </c>
      <c r="I593" s="26" t="s">
        <v>277</v>
      </c>
      <c r="J593" s="18" t="s">
        <v>26</v>
      </c>
      <c r="L593" s="9">
        <v>1991</v>
      </c>
      <c r="N593" s="30" t="s">
        <v>2365</v>
      </c>
      <c r="O593" s="13" t="s">
        <v>28</v>
      </c>
      <c r="P593" s="13">
        <f t="shared" si="23"/>
        <v>27</v>
      </c>
      <c r="Q593" s="15">
        <f t="shared" si="24"/>
        <v>80.370370370370367</v>
      </c>
      <c r="R593" s="13" t="s">
        <v>285</v>
      </c>
      <c r="S593" s="13" t="s">
        <v>206</v>
      </c>
      <c r="T593" s="13" t="s">
        <v>2952</v>
      </c>
      <c r="U593" s="13"/>
      <c r="V593" s="13" t="s">
        <v>4145</v>
      </c>
      <c r="W593" s="13"/>
      <c r="X593" s="13" t="s">
        <v>4575</v>
      </c>
      <c r="Y593" s="13" t="s">
        <v>3980</v>
      </c>
      <c r="Z593" s="13" t="s">
        <v>3980</v>
      </c>
      <c r="AC593" s="18"/>
    </row>
    <row r="594" spans="1:29" x14ac:dyDescent="0.25">
      <c r="A594" s="18" t="s">
        <v>633</v>
      </c>
      <c r="B594" s="30">
        <v>1992</v>
      </c>
      <c r="C594" s="13">
        <v>1032</v>
      </c>
      <c r="D594" s="14">
        <v>0.70599999999999996</v>
      </c>
      <c r="E594" s="14">
        <v>0.79900000000000004</v>
      </c>
      <c r="F594" s="13">
        <v>17</v>
      </c>
      <c r="G594" s="14">
        <v>0.76400000000000001</v>
      </c>
      <c r="H594" s="18" t="s">
        <v>3298</v>
      </c>
      <c r="I594" s="26" t="s">
        <v>277</v>
      </c>
      <c r="J594" s="18" t="s">
        <v>54</v>
      </c>
      <c r="K594" s="4"/>
      <c r="L594" s="9">
        <v>1992</v>
      </c>
      <c r="N594" s="30" t="s">
        <v>41</v>
      </c>
      <c r="O594" s="13" t="s">
        <v>28</v>
      </c>
      <c r="P594" s="13">
        <f t="shared" si="23"/>
        <v>26</v>
      </c>
      <c r="Q594" s="15">
        <f t="shared" si="24"/>
        <v>39.692307692307693</v>
      </c>
      <c r="R594" s="13" t="s">
        <v>84</v>
      </c>
      <c r="S594" s="13"/>
      <c r="T594" s="13" t="s">
        <v>634</v>
      </c>
      <c r="U594" s="13" t="s">
        <v>635</v>
      </c>
      <c r="V594" s="13" t="s">
        <v>4146</v>
      </c>
      <c r="W594" s="13"/>
      <c r="X594" s="13" t="s">
        <v>3980</v>
      </c>
      <c r="Y594" s="13" t="s">
        <v>3980</v>
      </c>
      <c r="Z594" s="13" t="s">
        <v>3980</v>
      </c>
      <c r="AC594" s="18"/>
    </row>
    <row r="595" spans="1:29" x14ac:dyDescent="0.25">
      <c r="A595" s="18" t="s">
        <v>561</v>
      </c>
      <c r="B595" s="30">
        <v>1989</v>
      </c>
      <c r="C595" s="13">
        <v>4364</v>
      </c>
      <c r="D595" s="14">
        <v>0.93300000000000005</v>
      </c>
      <c r="E595" s="14">
        <v>0.84699999999999998</v>
      </c>
      <c r="F595" s="13">
        <v>35</v>
      </c>
      <c r="G595" s="14">
        <v>0.96</v>
      </c>
      <c r="H595" s="18" t="s">
        <v>3280</v>
      </c>
      <c r="I595" s="26" t="s">
        <v>277</v>
      </c>
      <c r="J595" s="18" t="s">
        <v>26</v>
      </c>
      <c r="L595" s="9">
        <v>1989</v>
      </c>
      <c r="N595" s="30" t="s">
        <v>492</v>
      </c>
      <c r="O595" s="13" t="s">
        <v>28</v>
      </c>
      <c r="P595" s="13">
        <f t="shared" si="23"/>
        <v>29</v>
      </c>
      <c r="Q595" s="15">
        <f t="shared" si="24"/>
        <v>150.48275862068965</v>
      </c>
      <c r="R595" s="13" t="s">
        <v>417</v>
      </c>
      <c r="S595" s="13"/>
      <c r="T595" s="13" t="s">
        <v>562</v>
      </c>
      <c r="U595" s="13" t="s">
        <v>563</v>
      </c>
      <c r="V595" s="13" t="s">
        <v>4147</v>
      </c>
      <c r="W595" s="13"/>
      <c r="X595" s="13" t="s">
        <v>4576</v>
      </c>
      <c r="Y595" s="13" t="s">
        <v>3980</v>
      </c>
      <c r="Z595" s="13" t="s">
        <v>3980</v>
      </c>
      <c r="AC595" s="18"/>
    </row>
    <row r="596" spans="1:29" x14ac:dyDescent="0.25">
      <c r="A596" s="18" t="s">
        <v>2376</v>
      </c>
      <c r="B596" s="30">
        <v>1974</v>
      </c>
      <c r="C596" s="13">
        <v>7309</v>
      </c>
      <c r="D596" s="14">
        <v>0.97</v>
      </c>
      <c r="E596" s="14">
        <v>0.92700000000000005</v>
      </c>
      <c r="F596" s="13">
        <v>35</v>
      </c>
      <c r="G596" s="14">
        <v>0.96</v>
      </c>
      <c r="I596" s="26" t="s">
        <v>277</v>
      </c>
      <c r="J596" s="18" t="s">
        <v>26</v>
      </c>
      <c r="L596" s="9">
        <v>1974</v>
      </c>
      <c r="N596" s="30" t="s">
        <v>981</v>
      </c>
      <c r="O596" s="13" t="s">
        <v>42</v>
      </c>
      <c r="P596" s="13">
        <f t="shared" si="23"/>
        <v>44</v>
      </c>
      <c r="Q596" s="15">
        <f t="shared" si="24"/>
        <v>166.11363636363637</v>
      </c>
      <c r="R596" s="13" t="s">
        <v>2377</v>
      </c>
      <c r="S596" s="13"/>
      <c r="T596" s="13" t="s">
        <v>2378</v>
      </c>
      <c r="U596" s="13" t="s">
        <v>2379</v>
      </c>
      <c r="V596" s="13" t="s">
        <v>3980</v>
      </c>
      <c r="W596" s="13"/>
      <c r="X596" s="13" t="s">
        <v>3980</v>
      </c>
      <c r="Y596" s="13" t="s">
        <v>3980</v>
      </c>
      <c r="Z596" s="13" t="s">
        <v>3980</v>
      </c>
      <c r="AC596" s="18"/>
    </row>
    <row r="597" spans="1:29" x14ac:dyDescent="0.25">
      <c r="A597" s="18" t="s">
        <v>597</v>
      </c>
      <c r="B597" s="30">
        <v>2005</v>
      </c>
      <c r="C597" s="13">
        <v>297</v>
      </c>
      <c r="D597" s="14">
        <v>0.44500000000000001</v>
      </c>
      <c r="E597" s="14">
        <v>0.44900000000000001</v>
      </c>
      <c r="F597" s="13">
        <v>8</v>
      </c>
      <c r="G597" s="14">
        <v>0.434</v>
      </c>
      <c r="H597" s="18" t="s">
        <v>3289</v>
      </c>
      <c r="I597" s="26" t="s">
        <v>277</v>
      </c>
      <c r="J597" s="18" t="s">
        <v>54</v>
      </c>
      <c r="L597" s="9">
        <v>2005</v>
      </c>
      <c r="N597" s="30" t="s">
        <v>277</v>
      </c>
      <c r="O597" s="13" t="s">
        <v>28</v>
      </c>
      <c r="P597" s="13">
        <f t="shared" si="23"/>
        <v>13</v>
      </c>
      <c r="Q597" s="15">
        <f t="shared" si="24"/>
        <v>22.846153846153847</v>
      </c>
      <c r="R597" s="13" t="s">
        <v>598</v>
      </c>
      <c r="S597" s="13"/>
      <c r="T597" s="13" t="s">
        <v>599</v>
      </c>
      <c r="U597" s="13" t="s">
        <v>600</v>
      </c>
      <c r="V597" s="13" t="s">
        <v>4148</v>
      </c>
      <c r="W597" s="13"/>
      <c r="X597" s="13" t="s">
        <v>4577</v>
      </c>
      <c r="Y597" s="13" t="s">
        <v>3980</v>
      </c>
      <c r="Z597" s="13" t="s">
        <v>3980</v>
      </c>
      <c r="AC597" s="18"/>
    </row>
    <row r="598" spans="1:29" x14ac:dyDescent="0.25">
      <c r="A598" s="18" t="s">
        <v>5013</v>
      </c>
      <c r="B598" s="30">
        <v>2008</v>
      </c>
      <c r="C598" s="13">
        <v>495</v>
      </c>
      <c r="D598" s="14">
        <v>0.55100000000000005</v>
      </c>
      <c r="E598" s="14">
        <v>0.61599999999999999</v>
      </c>
      <c r="F598" s="13">
        <v>11</v>
      </c>
      <c r="G598" s="14">
        <v>0.56000000000000005</v>
      </c>
      <c r="H598" s="18" t="s">
        <v>3703</v>
      </c>
      <c r="I598" s="26" t="s">
        <v>277</v>
      </c>
      <c r="J598" s="18" t="s">
        <v>54</v>
      </c>
      <c r="L598" s="9">
        <v>2008</v>
      </c>
      <c r="N598" s="30" t="s">
        <v>94</v>
      </c>
      <c r="O598" s="13" t="s">
        <v>28</v>
      </c>
      <c r="P598" s="13">
        <f t="shared" si="23"/>
        <v>10</v>
      </c>
      <c r="Q598" s="15">
        <f t="shared" si="24"/>
        <v>49.5</v>
      </c>
      <c r="R598" s="13" t="s">
        <v>746</v>
      </c>
      <c r="S598" s="13" t="s">
        <v>1636</v>
      </c>
      <c r="T598" s="13" t="s">
        <v>2474</v>
      </c>
      <c r="U598" s="13" t="s">
        <v>2475</v>
      </c>
      <c r="V598" s="13" t="s">
        <v>4149</v>
      </c>
      <c r="W598" s="13"/>
      <c r="X598" s="13" t="s">
        <v>3980</v>
      </c>
      <c r="Y598" s="13" t="s">
        <v>3980</v>
      </c>
      <c r="Z598" s="13" t="s">
        <v>3980</v>
      </c>
      <c r="AC598" s="18"/>
    </row>
    <row r="599" spans="1:29" x14ac:dyDescent="0.25">
      <c r="A599" s="18" t="s">
        <v>2488</v>
      </c>
      <c r="B599" s="30">
        <v>2011</v>
      </c>
      <c r="C599" s="13">
        <v>786</v>
      </c>
      <c r="D599" s="14">
        <v>0.65300000000000002</v>
      </c>
      <c r="E599" s="14">
        <v>0.94299999999999995</v>
      </c>
      <c r="F599" s="13">
        <v>12</v>
      </c>
      <c r="G599" s="14">
        <v>0.60899999999999999</v>
      </c>
      <c r="H599" s="18" t="s">
        <v>5018</v>
      </c>
      <c r="I599" s="26" t="s">
        <v>277</v>
      </c>
      <c r="J599" s="18" t="s">
        <v>105</v>
      </c>
      <c r="L599" s="9">
        <f t="shared" ref="L599:L608" si="25">B599</f>
        <v>2011</v>
      </c>
      <c r="N599" s="30" t="s">
        <v>3143</v>
      </c>
      <c r="O599" s="13" t="s">
        <v>28</v>
      </c>
      <c r="P599" s="13">
        <f t="shared" si="23"/>
        <v>7</v>
      </c>
      <c r="Q599" s="15">
        <f t="shared" si="24"/>
        <v>112.28571428571429</v>
      </c>
      <c r="R599" s="13" t="s">
        <v>2489</v>
      </c>
      <c r="S599" s="13"/>
      <c r="T599" s="13" t="s">
        <v>2490</v>
      </c>
      <c r="U599" s="13"/>
      <c r="V599" s="13" t="s">
        <v>3980</v>
      </c>
      <c r="W599" s="13"/>
      <c r="X599" s="13" t="s">
        <v>3980</v>
      </c>
      <c r="Y599" s="13" t="s">
        <v>3980</v>
      </c>
      <c r="Z599" s="13" t="s">
        <v>3980</v>
      </c>
      <c r="AC599" s="18"/>
    </row>
    <row r="600" spans="1:29" x14ac:dyDescent="0.25">
      <c r="A600" s="18" t="s">
        <v>926</v>
      </c>
      <c r="B600" s="30">
        <v>2012</v>
      </c>
      <c r="C600" s="13">
        <v>840</v>
      </c>
      <c r="D600" s="14">
        <v>0.66600000000000004</v>
      </c>
      <c r="E600" s="14">
        <v>0.94699999999999995</v>
      </c>
      <c r="F600" s="13">
        <v>10</v>
      </c>
      <c r="G600" s="14">
        <v>0.52200000000000002</v>
      </c>
      <c r="H600" s="18" t="s">
        <v>3378</v>
      </c>
      <c r="I600" s="18" t="s">
        <v>927</v>
      </c>
      <c r="J600" s="4" t="s">
        <v>105</v>
      </c>
      <c r="K600" s="4"/>
      <c r="L600" s="9">
        <f t="shared" si="25"/>
        <v>2012</v>
      </c>
      <c r="N600" s="30" t="s">
        <v>1327</v>
      </c>
      <c r="O600" s="13" t="s">
        <v>28</v>
      </c>
      <c r="P600" s="13">
        <f t="shared" si="23"/>
        <v>6</v>
      </c>
      <c r="Q600" s="15">
        <f t="shared" si="24"/>
        <v>140</v>
      </c>
      <c r="R600" s="13" t="s">
        <v>260</v>
      </c>
      <c r="S600" s="13"/>
      <c r="T600" s="13" t="s">
        <v>928</v>
      </c>
      <c r="U600" s="13"/>
      <c r="V600" s="13" t="s">
        <v>3980</v>
      </c>
      <c r="W600" s="13"/>
      <c r="X600" s="13" t="s">
        <v>3980</v>
      </c>
      <c r="Y600" s="13" t="s">
        <v>3980</v>
      </c>
      <c r="Z600" s="13" t="s">
        <v>3980</v>
      </c>
      <c r="AC600" s="18"/>
    </row>
    <row r="601" spans="1:29" x14ac:dyDescent="0.25">
      <c r="A601" s="18" t="s">
        <v>2628</v>
      </c>
      <c r="B601" s="30">
        <v>2005</v>
      </c>
      <c r="C601" s="13">
        <v>112</v>
      </c>
      <c r="D601" s="14">
        <v>0.28199999999999997</v>
      </c>
      <c r="E601" s="14">
        <v>0.54</v>
      </c>
      <c r="F601" s="13">
        <v>4</v>
      </c>
      <c r="G601" s="14">
        <v>0.19600000000000001</v>
      </c>
      <c r="I601" s="18" t="s">
        <v>927</v>
      </c>
      <c r="J601" s="4" t="s">
        <v>105</v>
      </c>
      <c r="K601" s="4"/>
      <c r="L601" s="9">
        <f t="shared" si="25"/>
        <v>2005</v>
      </c>
      <c r="N601" s="30" t="s">
        <v>927</v>
      </c>
      <c r="O601" s="13" t="s">
        <v>28</v>
      </c>
      <c r="P601" s="13">
        <f t="shared" si="23"/>
        <v>13</v>
      </c>
      <c r="Q601" s="15">
        <f t="shared" si="24"/>
        <v>8.615384615384615</v>
      </c>
      <c r="R601" s="13" t="s">
        <v>2629</v>
      </c>
      <c r="S601" s="13"/>
      <c r="T601" s="13" t="s">
        <v>2630</v>
      </c>
      <c r="U601" s="13"/>
      <c r="V601" s="13" t="s">
        <v>3980</v>
      </c>
      <c r="W601" s="13"/>
      <c r="X601" s="13" t="s">
        <v>3980</v>
      </c>
      <c r="Y601" s="13" t="s">
        <v>3980</v>
      </c>
      <c r="Z601" s="13" t="s">
        <v>3980</v>
      </c>
      <c r="AC601" s="18"/>
    </row>
    <row r="602" spans="1:29" x14ac:dyDescent="0.25">
      <c r="A602" s="18" t="s">
        <v>5062</v>
      </c>
      <c r="B602" s="30">
        <v>1980</v>
      </c>
      <c r="C602" s="13">
        <v>369</v>
      </c>
      <c r="D602" s="14">
        <v>0.48299999999999998</v>
      </c>
      <c r="E602" s="14">
        <v>0.25700000000000001</v>
      </c>
      <c r="F602" s="13">
        <v>11</v>
      </c>
      <c r="G602" s="14">
        <v>0.56000000000000005</v>
      </c>
      <c r="I602" s="18" t="s">
        <v>927</v>
      </c>
      <c r="J602" s="4" t="s">
        <v>26</v>
      </c>
      <c r="K602" s="4"/>
      <c r="L602" s="9">
        <f t="shared" si="25"/>
        <v>1980</v>
      </c>
      <c r="N602" s="30" t="s">
        <v>765</v>
      </c>
      <c r="O602" s="13" t="s">
        <v>28</v>
      </c>
      <c r="P602" s="13">
        <f t="shared" si="23"/>
        <v>38</v>
      </c>
      <c r="Q602" s="15">
        <f t="shared" si="24"/>
        <v>9.7105263157894743</v>
      </c>
      <c r="R602" s="13" t="s">
        <v>130</v>
      </c>
      <c r="S602" s="13" t="s">
        <v>239</v>
      </c>
      <c r="T602" s="13" t="s">
        <v>2757</v>
      </c>
      <c r="U602" s="13"/>
      <c r="V602" s="13" t="s">
        <v>3980</v>
      </c>
      <c r="W602" s="13"/>
      <c r="X602" s="13" t="s">
        <v>3980</v>
      </c>
      <c r="Y602" s="13" t="s">
        <v>3980</v>
      </c>
      <c r="Z602" s="13" t="s">
        <v>3980</v>
      </c>
      <c r="AC602" s="18"/>
    </row>
    <row r="603" spans="1:29" x14ac:dyDescent="0.25">
      <c r="A603" s="18" t="s">
        <v>2007</v>
      </c>
      <c r="B603" s="30">
        <v>2013</v>
      </c>
      <c r="C603" s="13">
        <v>18</v>
      </c>
      <c r="D603" s="14">
        <v>9.5000000000000001E-2</v>
      </c>
      <c r="E603" s="14">
        <v>0.189</v>
      </c>
      <c r="F603" s="13">
        <v>1</v>
      </c>
      <c r="G603" s="14">
        <v>0</v>
      </c>
      <c r="I603" s="18" t="s">
        <v>927</v>
      </c>
      <c r="J603" s="4" t="s">
        <v>105</v>
      </c>
      <c r="L603" s="9">
        <f t="shared" si="25"/>
        <v>2013</v>
      </c>
      <c r="N603" s="30" t="s">
        <v>88</v>
      </c>
      <c r="O603" s="13" t="s">
        <v>28</v>
      </c>
      <c r="P603" s="13">
        <f t="shared" si="23"/>
        <v>5</v>
      </c>
      <c r="Q603" s="15">
        <f t="shared" si="24"/>
        <v>3.6</v>
      </c>
      <c r="R603" s="13" t="s">
        <v>2008</v>
      </c>
      <c r="S603" s="13"/>
      <c r="T603" s="13" t="s">
        <v>2009</v>
      </c>
      <c r="U603" s="13"/>
      <c r="V603" s="13" t="s">
        <v>3980</v>
      </c>
      <c r="W603" s="13"/>
      <c r="X603" s="13" t="s">
        <v>3980</v>
      </c>
      <c r="Y603" s="13" t="s">
        <v>3980</v>
      </c>
      <c r="Z603" s="13" t="s">
        <v>3980</v>
      </c>
      <c r="AC603" s="18"/>
    </row>
    <row r="604" spans="1:29" x14ac:dyDescent="0.25">
      <c r="A604" s="18" t="s">
        <v>2448</v>
      </c>
      <c r="B604" s="30">
        <v>2003</v>
      </c>
      <c r="C604" s="13">
        <v>1</v>
      </c>
      <c r="D604" s="14">
        <v>0</v>
      </c>
      <c r="E604" s="14">
        <v>0</v>
      </c>
      <c r="F604" s="13">
        <v>1</v>
      </c>
      <c r="G604" s="14">
        <v>0</v>
      </c>
      <c r="I604" s="18" t="s">
        <v>927</v>
      </c>
      <c r="J604" s="4" t="s">
        <v>54</v>
      </c>
      <c r="L604" s="9">
        <f t="shared" si="25"/>
        <v>2003</v>
      </c>
      <c r="N604" s="30" t="s">
        <v>927</v>
      </c>
      <c r="O604" s="13" t="s">
        <v>28</v>
      </c>
      <c r="P604" s="13">
        <f t="shared" si="23"/>
        <v>15</v>
      </c>
      <c r="Q604" s="15">
        <f t="shared" si="24"/>
        <v>6.6666666666666666E-2</v>
      </c>
      <c r="R604" s="13" t="s">
        <v>2449</v>
      </c>
      <c r="S604" s="13"/>
      <c r="T604" s="13" t="s">
        <v>2450</v>
      </c>
      <c r="U604" s="13"/>
      <c r="V604" s="13" t="s">
        <v>3980</v>
      </c>
      <c r="W604" s="13"/>
      <c r="X604" s="13" t="s">
        <v>3980</v>
      </c>
      <c r="Y604" s="13" t="s">
        <v>3980</v>
      </c>
      <c r="Z604" s="13" t="s">
        <v>3980</v>
      </c>
      <c r="AC604" s="18"/>
    </row>
    <row r="605" spans="1:29" x14ac:dyDescent="0.25">
      <c r="A605" s="28" t="s">
        <v>4851</v>
      </c>
      <c r="B605" s="30">
        <v>1998</v>
      </c>
      <c r="C605" s="13">
        <v>153</v>
      </c>
      <c r="D605" s="14">
        <v>0.34300000000000003</v>
      </c>
      <c r="E605" s="14">
        <v>0.16400000000000001</v>
      </c>
      <c r="F605" s="13">
        <v>7</v>
      </c>
      <c r="G605" s="14">
        <v>0.39300000000000002</v>
      </c>
      <c r="I605" s="18" t="s">
        <v>927</v>
      </c>
      <c r="J605" s="4" t="s">
        <v>26</v>
      </c>
      <c r="K605" s="4"/>
      <c r="L605" s="9">
        <f t="shared" si="25"/>
        <v>1998</v>
      </c>
      <c r="N605" s="30" t="s">
        <v>3115</v>
      </c>
      <c r="O605" s="13" t="s">
        <v>42</v>
      </c>
      <c r="P605" s="13">
        <f t="shared" si="23"/>
        <v>20</v>
      </c>
      <c r="Q605" s="15">
        <f t="shared" si="24"/>
        <v>7.65</v>
      </c>
      <c r="R605" s="13" t="s">
        <v>1628</v>
      </c>
      <c r="S605" s="13" t="s">
        <v>206</v>
      </c>
      <c r="T605" s="13" t="s">
        <v>1629</v>
      </c>
      <c r="U605" s="13"/>
      <c r="V605" s="13" t="s">
        <v>3980</v>
      </c>
      <c r="W605" s="13"/>
      <c r="X605" s="13" t="s">
        <v>3980</v>
      </c>
      <c r="Y605" s="13" t="s">
        <v>3980</v>
      </c>
      <c r="Z605" s="13" t="s">
        <v>3980</v>
      </c>
      <c r="AC605" s="18"/>
    </row>
    <row r="606" spans="1:29" x14ac:dyDescent="0.25">
      <c r="A606" s="18" t="s">
        <v>2852</v>
      </c>
      <c r="B606" s="30">
        <v>1998</v>
      </c>
      <c r="C606" s="13">
        <v>1235</v>
      </c>
      <c r="D606" s="14">
        <v>0.746</v>
      </c>
      <c r="E606" s="14">
        <v>0.50700000000000001</v>
      </c>
      <c r="F606" s="13">
        <v>18</v>
      </c>
      <c r="G606" s="14">
        <v>0.78700000000000003</v>
      </c>
      <c r="I606" s="18" t="s">
        <v>927</v>
      </c>
      <c r="J606" s="4" t="s">
        <v>26</v>
      </c>
      <c r="L606" s="9">
        <f t="shared" si="25"/>
        <v>1998</v>
      </c>
      <c r="N606" s="30" t="s">
        <v>259</v>
      </c>
      <c r="O606" s="13" t="s">
        <v>42</v>
      </c>
      <c r="P606" s="13">
        <f t="shared" si="23"/>
        <v>20</v>
      </c>
      <c r="Q606" s="15">
        <f t="shared" si="24"/>
        <v>61.75</v>
      </c>
      <c r="R606" s="13" t="s">
        <v>2853</v>
      </c>
      <c r="S606" s="13"/>
      <c r="T606" s="13" t="s">
        <v>2854</v>
      </c>
      <c r="U606" s="13"/>
      <c r="V606" s="13" t="s">
        <v>3980</v>
      </c>
      <c r="W606" s="13"/>
      <c r="X606" s="13" t="s">
        <v>3980</v>
      </c>
      <c r="Y606" s="13" t="s">
        <v>3980</v>
      </c>
      <c r="Z606" s="13" t="s">
        <v>3980</v>
      </c>
      <c r="AC606" s="18"/>
    </row>
    <row r="607" spans="1:29" x14ac:dyDescent="0.25">
      <c r="A607" s="18" t="s">
        <v>2496</v>
      </c>
      <c r="B607" s="30">
        <v>1985</v>
      </c>
      <c r="C607" s="13">
        <v>62</v>
      </c>
      <c r="D607" s="14">
        <v>0.20100000000000001</v>
      </c>
      <c r="E607" s="14">
        <v>0.16600000000000001</v>
      </c>
      <c r="F607" s="13">
        <v>4</v>
      </c>
      <c r="G607" s="14">
        <v>0.19600000000000001</v>
      </c>
      <c r="I607" s="18" t="s">
        <v>927</v>
      </c>
      <c r="J607" s="4" t="s">
        <v>54</v>
      </c>
      <c r="L607" s="9">
        <f t="shared" si="25"/>
        <v>1985</v>
      </c>
      <c r="N607" s="30" t="s">
        <v>927</v>
      </c>
      <c r="O607" s="13" t="s">
        <v>42</v>
      </c>
      <c r="P607" s="13">
        <f t="shared" si="23"/>
        <v>33</v>
      </c>
      <c r="Q607" s="15">
        <f t="shared" si="24"/>
        <v>1.8787878787878789</v>
      </c>
      <c r="R607" s="13" t="s">
        <v>2497</v>
      </c>
      <c r="S607" s="13"/>
      <c r="T607" s="13" t="s">
        <v>2498</v>
      </c>
      <c r="U607" s="13"/>
      <c r="V607" s="13" t="s">
        <v>3980</v>
      </c>
      <c r="W607" s="13"/>
      <c r="X607" s="13" t="s">
        <v>3980</v>
      </c>
      <c r="Y607" s="13" t="s">
        <v>3980</v>
      </c>
      <c r="Z607" s="13" t="s">
        <v>3980</v>
      </c>
      <c r="AC607" s="18"/>
    </row>
    <row r="608" spans="1:29" x14ac:dyDescent="0.25">
      <c r="A608" s="18" t="s">
        <v>4911</v>
      </c>
      <c r="B608" s="30">
        <v>2007</v>
      </c>
      <c r="C608" s="13">
        <v>55</v>
      </c>
      <c r="D608" s="14">
        <v>0.186</v>
      </c>
      <c r="E608" s="14">
        <v>0.36099999999999999</v>
      </c>
      <c r="F608" s="13">
        <v>2</v>
      </c>
      <c r="G608" s="14">
        <v>7.0999999999999994E-2</v>
      </c>
      <c r="I608" s="18" t="s">
        <v>927</v>
      </c>
      <c r="J608" s="4" t="s">
        <v>105</v>
      </c>
      <c r="K608" s="4"/>
      <c r="L608" s="9">
        <f t="shared" si="25"/>
        <v>2007</v>
      </c>
      <c r="M608" s="20" t="s">
        <v>3132</v>
      </c>
      <c r="N608" s="30" t="s">
        <v>927</v>
      </c>
      <c r="O608" s="13" t="s">
        <v>28</v>
      </c>
      <c r="P608" s="13">
        <f t="shared" si="23"/>
        <v>11</v>
      </c>
      <c r="Q608" s="15">
        <f t="shared" si="24"/>
        <v>5</v>
      </c>
      <c r="R608" s="13" t="s">
        <v>1957</v>
      </c>
      <c r="S608" s="13" t="s">
        <v>1958</v>
      </c>
      <c r="T608" s="13" t="s">
        <v>1959</v>
      </c>
      <c r="U608" s="13"/>
      <c r="V608" s="13" t="s">
        <v>3980</v>
      </c>
      <c r="W608" s="13"/>
      <c r="X608" s="13" t="s">
        <v>3980</v>
      </c>
      <c r="Y608" s="13" t="s">
        <v>3980</v>
      </c>
      <c r="Z608" s="13" t="s">
        <v>3980</v>
      </c>
      <c r="AC608" s="18"/>
    </row>
    <row r="609" spans="1:29" x14ac:dyDescent="0.25">
      <c r="A609" s="18" t="s">
        <v>1732</v>
      </c>
      <c r="B609" s="30">
        <v>1994</v>
      </c>
      <c r="C609" s="13">
        <v>374</v>
      </c>
      <c r="D609" s="14">
        <v>0.48699999999999999</v>
      </c>
      <c r="E609" s="14">
        <v>0.51200000000000001</v>
      </c>
      <c r="F609" s="13">
        <v>6</v>
      </c>
      <c r="G609" s="14">
        <v>0.32200000000000001</v>
      </c>
      <c r="I609" s="26" t="s">
        <v>186</v>
      </c>
      <c r="J609" s="18" t="s">
        <v>54</v>
      </c>
      <c r="L609" s="9">
        <v>1994</v>
      </c>
      <c r="N609" s="30" t="s">
        <v>77</v>
      </c>
      <c r="O609" s="13" t="s">
        <v>28</v>
      </c>
      <c r="P609" s="13">
        <f t="shared" si="23"/>
        <v>24</v>
      </c>
      <c r="Q609" s="15">
        <f t="shared" si="24"/>
        <v>15.583333333333334</v>
      </c>
      <c r="R609" s="13" t="s">
        <v>429</v>
      </c>
      <c r="S609" s="13"/>
      <c r="T609" s="13" t="s">
        <v>1733</v>
      </c>
      <c r="U609" s="13" t="s">
        <v>1734</v>
      </c>
      <c r="V609" s="13" t="s">
        <v>3980</v>
      </c>
      <c r="W609" s="13"/>
      <c r="X609" s="13" t="s">
        <v>4578</v>
      </c>
      <c r="Y609" s="13" t="s">
        <v>3980</v>
      </c>
      <c r="Z609" s="13" t="s">
        <v>3980</v>
      </c>
      <c r="AC609" s="18"/>
    </row>
    <row r="610" spans="1:29" x14ac:dyDescent="0.25">
      <c r="A610" s="18" t="s">
        <v>1680</v>
      </c>
      <c r="B610" s="30">
        <v>1996</v>
      </c>
      <c r="C610" s="13">
        <v>93</v>
      </c>
      <c r="D610" s="14">
        <v>0.251</v>
      </c>
      <c r="E610" s="14">
        <v>0.217</v>
      </c>
      <c r="F610" s="13">
        <v>5</v>
      </c>
      <c r="G610" s="14">
        <v>0.27400000000000002</v>
      </c>
      <c r="I610" s="26" t="s">
        <v>186</v>
      </c>
      <c r="J610" s="18" t="s">
        <v>54</v>
      </c>
      <c r="K610" s="4"/>
      <c r="L610" s="9">
        <v>1996</v>
      </c>
      <c r="M610" s="11"/>
      <c r="N610" s="30" t="s">
        <v>152</v>
      </c>
      <c r="O610" s="13" t="s">
        <v>42</v>
      </c>
      <c r="P610" s="13">
        <f t="shared" si="23"/>
        <v>22</v>
      </c>
      <c r="Q610" s="15">
        <f t="shared" si="24"/>
        <v>4.2272727272727275</v>
      </c>
      <c r="R610" s="13" t="s">
        <v>1681</v>
      </c>
      <c r="S610" s="13"/>
      <c r="T610" s="13" t="s">
        <v>1682</v>
      </c>
      <c r="U610" s="13" t="s">
        <v>1683</v>
      </c>
      <c r="V610" s="13" t="s">
        <v>3980</v>
      </c>
      <c r="W610" s="13"/>
      <c r="X610" s="13" t="s">
        <v>4579</v>
      </c>
      <c r="Y610" s="13" t="s">
        <v>3980</v>
      </c>
      <c r="Z610" s="13" t="s">
        <v>3980</v>
      </c>
      <c r="AC610" s="18"/>
    </row>
    <row r="611" spans="1:29" x14ac:dyDescent="0.25">
      <c r="A611" s="18" t="s">
        <v>4878</v>
      </c>
      <c r="B611" s="30">
        <v>1976</v>
      </c>
      <c r="C611" s="13">
        <v>56</v>
      </c>
      <c r="D611" s="14">
        <v>0.19</v>
      </c>
      <c r="E611" s="14">
        <v>0.1</v>
      </c>
      <c r="F611" s="13">
        <v>5</v>
      </c>
      <c r="G611" s="14">
        <v>0.27400000000000002</v>
      </c>
      <c r="H611" s="18" t="s">
        <v>3353</v>
      </c>
      <c r="I611" s="26" t="s">
        <v>186</v>
      </c>
      <c r="J611" s="18" t="s">
        <v>26</v>
      </c>
      <c r="L611" s="9">
        <v>1976</v>
      </c>
      <c r="N611" s="30" t="s">
        <v>152</v>
      </c>
      <c r="O611" s="13" t="s">
        <v>28</v>
      </c>
      <c r="P611" s="13">
        <f t="shared" si="23"/>
        <v>42</v>
      </c>
      <c r="Q611" s="15">
        <f t="shared" si="24"/>
        <v>1.3333333333333333</v>
      </c>
      <c r="R611" s="13" t="s">
        <v>173</v>
      </c>
      <c r="S611" s="13" t="s">
        <v>62</v>
      </c>
      <c r="T611" s="13" t="s">
        <v>845</v>
      </c>
      <c r="U611" s="13" t="s">
        <v>846</v>
      </c>
      <c r="V611" s="13" t="s">
        <v>3980</v>
      </c>
      <c r="W611" s="13"/>
      <c r="X611" s="13" t="s">
        <v>4580</v>
      </c>
      <c r="Y611" s="13" t="s">
        <v>3980</v>
      </c>
      <c r="Z611" s="13" t="s">
        <v>3980</v>
      </c>
      <c r="AC611" s="18"/>
    </row>
    <row r="612" spans="1:29" x14ac:dyDescent="0.25">
      <c r="A612" s="18" t="s">
        <v>4941</v>
      </c>
      <c r="B612" s="30">
        <v>1978</v>
      </c>
      <c r="C612" s="13">
        <v>846</v>
      </c>
      <c r="D612" s="14">
        <v>0.66800000000000004</v>
      </c>
      <c r="E612" s="14">
        <v>0.41399999999999998</v>
      </c>
      <c r="F612" s="13">
        <v>11</v>
      </c>
      <c r="G612" s="14">
        <v>0.56000000000000005</v>
      </c>
      <c r="H612" s="18" t="s">
        <v>3517</v>
      </c>
      <c r="I612" s="26" t="s">
        <v>186</v>
      </c>
      <c r="J612" s="18" t="s">
        <v>26</v>
      </c>
      <c r="L612" s="9">
        <v>1978</v>
      </c>
      <c r="N612" s="30" t="s">
        <v>1399</v>
      </c>
      <c r="O612" s="13" t="s">
        <v>42</v>
      </c>
      <c r="P612" s="13">
        <f t="shared" si="23"/>
        <v>40</v>
      </c>
      <c r="Q612" s="15">
        <f t="shared" si="24"/>
        <v>21.15</v>
      </c>
      <c r="R612" s="13" t="s">
        <v>1121</v>
      </c>
      <c r="S612" s="13" t="s">
        <v>1293</v>
      </c>
      <c r="T612" s="13" t="s">
        <v>1400</v>
      </c>
      <c r="U612" s="13" t="s">
        <v>1401</v>
      </c>
      <c r="V612" s="13" t="s">
        <v>3980</v>
      </c>
      <c r="W612" s="13"/>
      <c r="X612" s="13" t="s">
        <v>3980</v>
      </c>
      <c r="Y612" s="13" t="s">
        <v>3980</v>
      </c>
      <c r="Z612" s="13" t="s">
        <v>3980</v>
      </c>
      <c r="AC612" s="18"/>
    </row>
    <row r="613" spans="1:29" x14ac:dyDescent="0.25">
      <c r="A613" s="18" t="s">
        <v>5054</v>
      </c>
      <c r="B613" s="30">
        <v>2002</v>
      </c>
      <c r="C613" s="13">
        <v>212</v>
      </c>
      <c r="D613" s="14">
        <v>0.39100000000000001</v>
      </c>
      <c r="E613" s="14">
        <v>0.38600000000000001</v>
      </c>
      <c r="F613" s="13">
        <v>5</v>
      </c>
      <c r="G613" s="14">
        <v>0.27400000000000002</v>
      </c>
      <c r="I613" s="26" t="s">
        <v>186</v>
      </c>
      <c r="J613" s="18" t="s">
        <v>54</v>
      </c>
      <c r="L613" s="9">
        <v>2002</v>
      </c>
      <c r="N613" s="30" t="s">
        <v>152</v>
      </c>
      <c r="O613" s="13" t="s">
        <v>28</v>
      </c>
      <c r="P613" s="13">
        <f t="shared" si="23"/>
        <v>16</v>
      </c>
      <c r="Q613" s="15">
        <f t="shared" si="24"/>
        <v>13.25</v>
      </c>
      <c r="R613" s="13" t="s">
        <v>2703</v>
      </c>
      <c r="S613" s="13" t="s">
        <v>2704</v>
      </c>
      <c r="T613" s="13" t="s">
        <v>2705</v>
      </c>
      <c r="U613" s="13" t="s">
        <v>2706</v>
      </c>
      <c r="V613" s="13" t="s">
        <v>3980</v>
      </c>
      <c r="W613" s="13"/>
      <c r="X613" s="13" t="s">
        <v>4581</v>
      </c>
      <c r="Y613" s="13" t="s">
        <v>3980</v>
      </c>
      <c r="Z613" s="13" t="s">
        <v>3980</v>
      </c>
      <c r="AC613" s="18"/>
    </row>
    <row r="614" spans="1:29" x14ac:dyDescent="0.25">
      <c r="A614" s="18" t="s">
        <v>2368</v>
      </c>
      <c r="B614" s="30">
        <v>2014</v>
      </c>
      <c r="C614" s="8">
        <v>2</v>
      </c>
      <c r="D614" s="14">
        <v>2.3E-2</v>
      </c>
      <c r="E614" s="14">
        <v>4.9000000000000002E-2</v>
      </c>
      <c r="F614" s="8">
        <v>1</v>
      </c>
      <c r="G614" s="14">
        <v>0</v>
      </c>
      <c r="I614" s="26" t="s">
        <v>186</v>
      </c>
      <c r="J614" s="18" t="s">
        <v>105</v>
      </c>
      <c r="L614" s="9">
        <f>B614</f>
        <v>2014</v>
      </c>
      <c r="N614" s="28" t="s">
        <v>3089</v>
      </c>
      <c r="O614" s="13" t="s">
        <v>42</v>
      </c>
      <c r="P614" s="13">
        <f t="shared" si="23"/>
        <v>4</v>
      </c>
      <c r="Q614" s="15">
        <f t="shared" si="24"/>
        <v>0.5</v>
      </c>
      <c r="R614" s="18" t="s">
        <v>1315</v>
      </c>
      <c r="T614" s="18" t="s">
        <v>3759</v>
      </c>
      <c r="V614" s="18" t="s">
        <v>3980</v>
      </c>
      <c r="X614" s="18" t="s">
        <v>3980</v>
      </c>
      <c r="Y614" s="18" t="s">
        <v>3980</v>
      </c>
      <c r="Z614" s="18" t="s">
        <v>3980</v>
      </c>
      <c r="AC614" s="18"/>
    </row>
    <row r="615" spans="1:29" x14ac:dyDescent="0.25">
      <c r="A615" s="28" t="s">
        <v>4872</v>
      </c>
      <c r="B615" s="30">
        <v>2014</v>
      </c>
      <c r="C615" s="13">
        <v>33</v>
      </c>
      <c r="D615" s="14">
        <v>0.13300000000000001</v>
      </c>
      <c r="E615" s="14">
        <v>0.26600000000000001</v>
      </c>
      <c r="F615" s="13">
        <v>4</v>
      </c>
      <c r="G615" s="14">
        <v>0.19600000000000001</v>
      </c>
      <c r="I615" s="26" t="s">
        <v>186</v>
      </c>
      <c r="J615" s="18" t="s">
        <v>105</v>
      </c>
      <c r="L615" s="9">
        <f>B615</f>
        <v>2014</v>
      </c>
      <c r="N615" s="30" t="s">
        <v>3134</v>
      </c>
      <c r="O615" s="13" t="s">
        <v>28</v>
      </c>
      <c r="P615" s="13">
        <f t="shared" si="23"/>
        <v>4</v>
      </c>
      <c r="Q615" s="15">
        <f t="shared" si="24"/>
        <v>8.25</v>
      </c>
      <c r="R615" s="13" t="s">
        <v>1762</v>
      </c>
      <c r="S615" s="13" t="s">
        <v>1763</v>
      </c>
      <c r="T615" s="13" t="s">
        <v>1764</v>
      </c>
      <c r="U615" s="13"/>
      <c r="V615" s="13" t="s">
        <v>3980</v>
      </c>
      <c r="W615" s="13"/>
      <c r="X615" s="13" t="s">
        <v>3980</v>
      </c>
      <c r="Y615" s="13" t="s">
        <v>3980</v>
      </c>
      <c r="Z615" s="13" t="s">
        <v>3980</v>
      </c>
      <c r="AC615" s="18"/>
    </row>
    <row r="616" spans="1:29" x14ac:dyDescent="0.25">
      <c r="A616" s="18" t="s">
        <v>4956</v>
      </c>
      <c r="B616" s="30">
        <v>1998</v>
      </c>
      <c r="C616" s="13">
        <v>108</v>
      </c>
      <c r="D616" s="14">
        <v>0.27700000000000002</v>
      </c>
      <c r="E616" s="14">
        <v>0.249</v>
      </c>
      <c r="F616" s="13">
        <v>5</v>
      </c>
      <c r="G616" s="14">
        <v>0.27400000000000002</v>
      </c>
      <c r="I616" s="26" t="s">
        <v>186</v>
      </c>
      <c r="J616" s="18" t="s">
        <v>54</v>
      </c>
      <c r="K616" s="4"/>
      <c r="L616" s="9">
        <v>1998</v>
      </c>
      <c r="N616" s="30" t="s">
        <v>152</v>
      </c>
      <c r="O616" s="13" t="s">
        <v>42</v>
      </c>
      <c r="P616" s="13">
        <f t="shared" si="23"/>
        <v>20</v>
      </c>
      <c r="Q616" s="15">
        <f t="shared" si="24"/>
        <v>5.4</v>
      </c>
      <c r="R616" s="13" t="s">
        <v>2158</v>
      </c>
      <c r="S616" s="13" t="s">
        <v>480</v>
      </c>
      <c r="T616" s="13" t="s">
        <v>2159</v>
      </c>
      <c r="U616" s="13" t="s">
        <v>2160</v>
      </c>
      <c r="V616" s="13" t="s">
        <v>4150</v>
      </c>
      <c r="W616" s="13"/>
      <c r="X616" s="13" t="s">
        <v>4582</v>
      </c>
      <c r="Y616" s="13" t="s">
        <v>3980</v>
      </c>
      <c r="Z616" s="13" t="s">
        <v>3980</v>
      </c>
      <c r="AC616" s="18"/>
    </row>
    <row r="617" spans="1:29" x14ac:dyDescent="0.25">
      <c r="A617" s="18" t="s">
        <v>185</v>
      </c>
      <c r="B617" s="30">
        <v>2006</v>
      </c>
      <c r="C617" s="13">
        <v>577</v>
      </c>
      <c r="D617" s="14">
        <v>0.58899999999999997</v>
      </c>
      <c r="E617" s="14">
        <v>0.67300000000000004</v>
      </c>
      <c r="F617" s="13">
        <v>7</v>
      </c>
      <c r="G617" s="14">
        <v>0.39300000000000002</v>
      </c>
      <c r="H617" s="18" t="s">
        <v>3190</v>
      </c>
      <c r="I617" s="26" t="s">
        <v>186</v>
      </c>
      <c r="J617" s="18" t="s">
        <v>54</v>
      </c>
      <c r="L617" s="9">
        <v>2006</v>
      </c>
      <c r="N617" s="30" t="s">
        <v>187</v>
      </c>
      <c r="O617" s="13" t="s">
        <v>28</v>
      </c>
      <c r="P617" s="13">
        <f t="shared" si="23"/>
        <v>12</v>
      </c>
      <c r="Q617" s="15">
        <f t="shared" si="24"/>
        <v>48.083333333333336</v>
      </c>
      <c r="R617" s="13" t="s">
        <v>188</v>
      </c>
      <c r="S617" s="13"/>
      <c r="T617" s="13" t="s">
        <v>189</v>
      </c>
      <c r="U617" s="13" t="s">
        <v>190</v>
      </c>
      <c r="V617" s="13" t="s">
        <v>3980</v>
      </c>
      <c r="W617" s="13"/>
      <c r="X617" s="13" t="s">
        <v>4583</v>
      </c>
      <c r="Y617" s="13" t="s">
        <v>3980</v>
      </c>
      <c r="Z617" s="13" t="s">
        <v>3980</v>
      </c>
      <c r="AC617" s="18"/>
    </row>
    <row r="618" spans="1:29" x14ac:dyDescent="0.25">
      <c r="A618" s="18" t="s">
        <v>609</v>
      </c>
      <c r="B618" s="30">
        <v>1993</v>
      </c>
      <c r="C618" s="13">
        <v>227</v>
      </c>
      <c r="D618" s="14">
        <v>0.39700000000000002</v>
      </c>
      <c r="E618" s="14">
        <v>0.19800000000000001</v>
      </c>
      <c r="F618" s="13">
        <v>7</v>
      </c>
      <c r="G618" s="14">
        <v>0.39300000000000002</v>
      </c>
      <c r="H618" s="18" t="s">
        <v>3292</v>
      </c>
      <c r="I618" s="26" t="s">
        <v>186</v>
      </c>
      <c r="J618" s="4" t="s">
        <v>26</v>
      </c>
      <c r="L618" s="9">
        <v>1993</v>
      </c>
      <c r="N618" s="30" t="s">
        <v>610</v>
      </c>
      <c r="O618" s="13" t="s">
        <v>28</v>
      </c>
      <c r="P618" s="13">
        <f t="shared" si="23"/>
        <v>25</v>
      </c>
      <c r="Q618" s="15">
        <f t="shared" si="24"/>
        <v>9.08</v>
      </c>
      <c r="R618" s="13" t="s">
        <v>611</v>
      </c>
      <c r="S618" s="13"/>
      <c r="T618" s="13" t="s">
        <v>612</v>
      </c>
      <c r="U618" s="13" t="s">
        <v>613</v>
      </c>
      <c r="V618" s="13" t="s">
        <v>3980</v>
      </c>
      <c r="W618" s="13"/>
      <c r="X618" s="13" t="s">
        <v>4584</v>
      </c>
      <c r="Y618" s="13" t="s">
        <v>3980</v>
      </c>
      <c r="Z618" s="13" t="s">
        <v>3980</v>
      </c>
      <c r="AC618" s="18"/>
    </row>
    <row r="619" spans="1:29" x14ac:dyDescent="0.25">
      <c r="A619" s="18" t="s">
        <v>4888</v>
      </c>
      <c r="B619" s="30">
        <v>1971</v>
      </c>
      <c r="C619" s="13">
        <v>1901</v>
      </c>
      <c r="D619" s="14">
        <v>0.82</v>
      </c>
      <c r="E619" s="14">
        <v>0.621</v>
      </c>
      <c r="F619" s="13">
        <v>22</v>
      </c>
      <c r="G619" s="14">
        <v>0.85699999999999998</v>
      </c>
      <c r="I619" s="26" t="s">
        <v>186</v>
      </c>
      <c r="J619" s="18" t="s">
        <v>26</v>
      </c>
      <c r="K619" s="4"/>
      <c r="L619" s="9">
        <v>1971</v>
      </c>
      <c r="N619" s="30" t="s">
        <v>220</v>
      </c>
      <c r="O619" s="13" t="s">
        <v>28</v>
      </c>
      <c r="P619" s="13">
        <f t="shared" si="23"/>
        <v>47</v>
      </c>
      <c r="Q619" s="15">
        <f t="shared" si="24"/>
        <v>40.446808510638299</v>
      </c>
      <c r="R619" s="13" t="s">
        <v>173</v>
      </c>
      <c r="S619" s="13" t="s">
        <v>947</v>
      </c>
      <c r="T619" s="13" t="s">
        <v>1835</v>
      </c>
      <c r="U619" s="13" t="s">
        <v>1836</v>
      </c>
      <c r="V619" s="13" t="s">
        <v>4151</v>
      </c>
      <c r="W619" s="13"/>
      <c r="X619" s="13" t="s">
        <v>4585</v>
      </c>
      <c r="Y619" s="13" t="s">
        <v>3980</v>
      </c>
      <c r="Z619" s="13" t="s">
        <v>3980</v>
      </c>
      <c r="AC619" s="18"/>
    </row>
    <row r="620" spans="1:29" x14ac:dyDescent="0.25">
      <c r="A620" s="18" t="s">
        <v>955</v>
      </c>
      <c r="B620" s="30">
        <v>1993</v>
      </c>
      <c r="C620" s="13">
        <v>3382</v>
      </c>
      <c r="D620" s="14">
        <v>0.91</v>
      </c>
      <c r="E620" s="14">
        <v>0.79900000000000004</v>
      </c>
      <c r="F620" s="13">
        <v>32</v>
      </c>
      <c r="G620" s="14">
        <v>0.94399999999999995</v>
      </c>
      <c r="H620" s="18" t="s">
        <v>3388</v>
      </c>
      <c r="I620" s="26" t="s">
        <v>186</v>
      </c>
      <c r="J620" s="18" t="s">
        <v>26</v>
      </c>
      <c r="L620" s="9">
        <v>1993</v>
      </c>
      <c r="N620" s="30" t="s">
        <v>220</v>
      </c>
      <c r="O620" s="13" t="s">
        <v>28</v>
      </c>
      <c r="P620" s="13">
        <f t="shared" si="23"/>
        <v>25</v>
      </c>
      <c r="Q620" s="15">
        <f t="shared" si="24"/>
        <v>135.28</v>
      </c>
      <c r="R620" s="13" t="s">
        <v>956</v>
      </c>
      <c r="S620" s="13"/>
      <c r="T620" s="13" t="s">
        <v>957</v>
      </c>
      <c r="U620" s="13" t="s">
        <v>958</v>
      </c>
      <c r="V620" s="13" t="s">
        <v>4152</v>
      </c>
      <c r="W620" s="13"/>
      <c r="X620" s="13" t="s">
        <v>4586</v>
      </c>
      <c r="Y620" s="13" t="s">
        <v>3980</v>
      </c>
      <c r="Z620" s="13" t="s">
        <v>3980</v>
      </c>
      <c r="AC620" s="18"/>
    </row>
    <row r="621" spans="1:29" x14ac:dyDescent="0.25">
      <c r="A621" s="18" t="s">
        <v>2587</v>
      </c>
      <c r="B621" s="30">
        <v>1994</v>
      </c>
      <c r="C621" s="8">
        <v>1969</v>
      </c>
      <c r="D621" s="14">
        <v>0.82599999999999996</v>
      </c>
      <c r="E621" s="14">
        <v>0.63</v>
      </c>
      <c r="F621" s="8">
        <v>12</v>
      </c>
      <c r="G621" s="14">
        <v>0.60899999999999999</v>
      </c>
      <c r="I621" s="26" t="s">
        <v>151</v>
      </c>
      <c r="J621" s="18" t="s">
        <v>26</v>
      </c>
      <c r="L621" s="9">
        <f>B621</f>
        <v>1994</v>
      </c>
      <c r="N621" s="28" t="s">
        <v>72</v>
      </c>
      <c r="O621" s="13" t="s">
        <v>42</v>
      </c>
      <c r="P621" s="13">
        <f t="shared" si="23"/>
        <v>24</v>
      </c>
      <c r="Q621" s="15">
        <f t="shared" si="24"/>
        <v>82.041666666666671</v>
      </c>
      <c r="R621" s="18" t="s">
        <v>3860</v>
      </c>
      <c r="T621" s="18" t="s">
        <v>3861</v>
      </c>
      <c r="V621" s="18" t="s">
        <v>3980</v>
      </c>
      <c r="X621" s="18" t="s">
        <v>3980</v>
      </c>
      <c r="Y621" s="18" t="s">
        <v>3980</v>
      </c>
      <c r="Z621" s="18" t="s">
        <v>3980</v>
      </c>
      <c r="AC621" s="18"/>
    </row>
    <row r="622" spans="1:29" x14ac:dyDescent="0.25">
      <c r="A622" s="18" t="s">
        <v>1116</v>
      </c>
      <c r="B622" s="30">
        <v>2014</v>
      </c>
      <c r="C622" s="13">
        <v>177</v>
      </c>
      <c r="D622" s="14">
        <v>0.36499999999999999</v>
      </c>
      <c r="E622" s="14">
        <v>0.67</v>
      </c>
      <c r="F622" s="13">
        <v>6</v>
      </c>
      <c r="G622" s="14">
        <v>0.32200000000000001</v>
      </c>
      <c r="H622" s="18" t="s">
        <v>3624</v>
      </c>
      <c r="I622" s="26" t="s">
        <v>151</v>
      </c>
      <c r="J622" s="18" t="s">
        <v>105</v>
      </c>
      <c r="L622" s="9">
        <v>2014</v>
      </c>
      <c r="N622" s="30" t="s">
        <v>765</v>
      </c>
      <c r="O622" s="13" t="s">
        <v>42</v>
      </c>
      <c r="P622" s="13">
        <f t="shared" si="23"/>
        <v>4</v>
      </c>
      <c r="Q622" s="15">
        <f t="shared" si="24"/>
        <v>44.25</v>
      </c>
      <c r="R622" s="13" t="s">
        <v>1117</v>
      </c>
      <c r="S622" s="13"/>
      <c r="T622" s="13" t="s">
        <v>1118</v>
      </c>
      <c r="U622" s="13" t="s">
        <v>1119</v>
      </c>
      <c r="V622" s="13" t="s">
        <v>4153</v>
      </c>
      <c r="W622" s="13"/>
      <c r="X622" s="13" t="s">
        <v>4587</v>
      </c>
      <c r="Y622" s="13" t="s">
        <v>3980</v>
      </c>
      <c r="Z622" s="13" t="s">
        <v>3980</v>
      </c>
      <c r="AC622" s="18"/>
    </row>
    <row r="623" spans="1:29" x14ac:dyDescent="0.25">
      <c r="A623" s="18" t="s">
        <v>1381</v>
      </c>
      <c r="B623" s="30">
        <v>2006</v>
      </c>
      <c r="C623" s="13">
        <v>142</v>
      </c>
      <c r="D623" s="14">
        <v>0.33100000000000002</v>
      </c>
      <c r="E623" s="14">
        <v>0.61</v>
      </c>
      <c r="F623" s="13">
        <v>7</v>
      </c>
      <c r="G623" s="14">
        <v>0.39300000000000002</v>
      </c>
      <c r="H623" s="18" t="s">
        <v>3510</v>
      </c>
      <c r="I623" s="26" t="s">
        <v>151</v>
      </c>
      <c r="J623" s="4" t="s">
        <v>105</v>
      </c>
      <c r="K623" s="4"/>
      <c r="L623" s="9">
        <v>2006</v>
      </c>
      <c r="N623" s="30" t="s">
        <v>41</v>
      </c>
      <c r="O623" s="13" t="s">
        <v>42</v>
      </c>
      <c r="P623" s="13">
        <f t="shared" si="23"/>
        <v>12</v>
      </c>
      <c r="Q623" s="15">
        <f t="shared" si="24"/>
        <v>11.833333333333334</v>
      </c>
      <c r="R623" s="13" t="s">
        <v>1178</v>
      </c>
      <c r="S623" s="13"/>
      <c r="T623" s="13" t="s">
        <v>1382</v>
      </c>
      <c r="U623" s="13" t="s">
        <v>1383</v>
      </c>
      <c r="V623" s="13" t="s">
        <v>3980</v>
      </c>
      <c r="W623" s="13"/>
      <c r="X623" s="13" t="s">
        <v>3980</v>
      </c>
      <c r="Y623" s="13" t="s">
        <v>3980</v>
      </c>
      <c r="Z623" s="13" t="s">
        <v>3980</v>
      </c>
      <c r="AC623" s="18"/>
    </row>
    <row r="624" spans="1:29" x14ac:dyDescent="0.25">
      <c r="A624" s="18" t="s">
        <v>570</v>
      </c>
      <c r="B624" s="30">
        <v>2007</v>
      </c>
      <c r="C624" s="13">
        <v>877</v>
      </c>
      <c r="D624" s="14">
        <v>0.68</v>
      </c>
      <c r="E624" s="14">
        <v>0.77600000000000002</v>
      </c>
      <c r="F624" s="13">
        <v>13</v>
      </c>
      <c r="G624" s="14">
        <v>0.64500000000000002</v>
      </c>
      <c r="H624" s="18" t="s">
        <v>3282</v>
      </c>
      <c r="I624" s="26" t="s">
        <v>151</v>
      </c>
      <c r="J624" s="4" t="s">
        <v>54</v>
      </c>
      <c r="K624" s="4"/>
      <c r="L624" s="9">
        <v>2007</v>
      </c>
      <c r="N624" s="30" t="s">
        <v>67</v>
      </c>
      <c r="O624" s="13" t="s">
        <v>28</v>
      </c>
      <c r="P624" s="13">
        <f t="shared" si="23"/>
        <v>11</v>
      </c>
      <c r="Q624" s="15">
        <f t="shared" si="24"/>
        <v>79.727272727272734</v>
      </c>
      <c r="R624" s="13" t="s">
        <v>571</v>
      </c>
      <c r="S624" s="13"/>
      <c r="T624" s="13" t="s">
        <v>572</v>
      </c>
      <c r="U624" s="13" t="s">
        <v>573</v>
      </c>
      <c r="V624" s="13" t="s">
        <v>3980</v>
      </c>
      <c r="W624" s="13"/>
      <c r="X624" s="13" t="s">
        <v>4588</v>
      </c>
      <c r="Y624" s="13" t="s">
        <v>3980</v>
      </c>
      <c r="Z624" s="13" t="s">
        <v>3980</v>
      </c>
      <c r="AC624" s="18"/>
    </row>
    <row r="625" spans="1:29" x14ac:dyDescent="0.25">
      <c r="A625" s="18" t="s">
        <v>150</v>
      </c>
      <c r="B625" s="30">
        <v>2001</v>
      </c>
      <c r="C625" s="13">
        <v>120</v>
      </c>
      <c r="D625" s="14">
        <v>0.29299999999999998</v>
      </c>
      <c r="E625" s="14">
        <v>0.55400000000000005</v>
      </c>
      <c r="F625" s="13">
        <v>6</v>
      </c>
      <c r="G625" s="14">
        <v>0.32200000000000001</v>
      </c>
      <c r="H625" s="18" t="s">
        <v>3183</v>
      </c>
      <c r="I625" s="26" t="s">
        <v>151</v>
      </c>
      <c r="J625" s="18" t="s">
        <v>105</v>
      </c>
      <c r="L625" s="9">
        <v>2001</v>
      </c>
      <c r="N625" s="30" t="s">
        <v>152</v>
      </c>
      <c r="O625" s="13" t="s">
        <v>28</v>
      </c>
      <c r="P625" s="13">
        <f t="shared" si="23"/>
        <v>17</v>
      </c>
      <c r="Q625" s="15">
        <f t="shared" si="24"/>
        <v>7.0588235294117645</v>
      </c>
      <c r="R625" s="13" t="s">
        <v>153</v>
      </c>
      <c r="S625" s="13"/>
      <c r="T625" s="13" t="s">
        <v>154</v>
      </c>
      <c r="U625" s="13" t="s">
        <v>155</v>
      </c>
      <c r="V625" s="13" t="s">
        <v>3980</v>
      </c>
      <c r="W625" s="13"/>
      <c r="X625" s="13" t="s">
        <v>3980</v>
      </c>
      <c r="Y625" s="13" t="s">
        <v>3980</v>
      </c>
      <c r="Z625" s="13" t="s">
        <v>3980</v>
      </c>
      <c r="AC625" s="18"/>
    </row>
    <row r="626" spans="1:29" x14ac:dyDescent="0.25">
      <c r="A626" s="18" t="s">
        <v>487</v>
      </c>
      <c r="B626" s="30">
        <v>2001</v>
      </c>
      <c r="C626" s="13">
        <v>4777</v>
      </c>
      <c r="D626" s="14">
        <v>0.94</v>
      </c>
      <c r="E626" s="14">
        <v>0.86299999999999999</v>
      </c>
      <c r="F626" s="13">
        <v>27</v>
      </c>
      <c r="G626" s="14">
        <v>0.90700000000000003</v>
      </c>
      <c r="H626" s="18" t="s">
        <v>3261</v>
      </c>
      <c r="I626" s="26" t="s">
        <v>151</v>
      </c>
      <c r="J626" s="4" t="s">
        <v>26</v>
      </c>
      <c r="L626" s="9">
        <v>2001</v>
      </c>
      <c r="N626" s="30" t="s">
        <v>41</v>
      </c>
      <c r="O626" s="13" t="s">
        <v>28</v>
      </c>
      <c r="P626" s="13">
        <f t="shared" si="23"/>
        <v>17</v>
      </c>
      <c r="Q626" s="15">
        <f t="shared" si="24"/>
        <v>281</v>
      </c>
      <c r="R626" s="13" t="s">
        <v>488</v>
      </c>
      <c r="S626" s="13"/>
      <c r="T626" s="13" t="s">
        <v>489</v>
      </c>
      <c r="U626" s="13" t="s">
        <v>490</v>
      </c>
      <c r="V626" s="13" t="s">
        <v>4154</v>
      </c>
      <c r="W626" s="13"/>
      <c r="X626" s="13" t="s">
        <v>4589</v>
      </c>
      <c r="Y626" s="13" t="s">
        <v>3980</v>
      </c>
      <c r="Z626" s="13" t="s">
        <v>3980</v>
      </c>
      <c r="AC626" s="18"/>
    </row>
    <row r="627" spans="1:29" x14ac:dyDescent="0.25">
      <c r="A627" s="18" t="s">
        <v>2616</v>
      </c>
      <c r="B627" s="30">
        <v>2008</v>
      </c>
      <c r="C627" s="13">
        <v>37</v>
      </c>
      <c r="D627" s="14">
        <v>0.14599999999999999</v>
      </c>
      <c r="E627" s="14">
        <v>0.29399999999999998</v>
      </c>
      <c r="F627" s="13">
        <v>4</v>
      </c>
      <c r="G627" s="14">
        <v>0.19600000000000001</v>
      </c>
      <c r="I627" s="26" t="s">
        <v>759</v>
      </c>
      <c r="J627" s="18" t="s">
        <v>105</v>
      </c>
      <c r="K627" s="4"/>
      <c r="L627" s="9">
        <v>2008</v>
      </c>
      <c r="N627" s="30" t="s">
        <v>77</v>
      </c>
      <c r="O627" s="13" t="s">
        <v>42</v>
      </c>
      <c r="P627" s="13">
        <f t="shared" si="23"/>
        <v>10</v>
      </c>
      <c r="Q627" s="15">
        <f t="shared" si="24"/>
        <v>3.7</v>
      </c>
      <c r="R627" s="13" t="s">
        <v>2617</v>
      </c>
      <c r="S627" s="13"/>
      <c r="T627" s="13" t="s">
        <v>173</v>
      </c>
      <c r="U627" s="13" t="s">
        <v>2618</v>
      </c>
      <c r="V627" s="13" t="s">
        <v>3980</v>
      </c>
      <c r="W627" s="13"/>
      <c r="X627" s="13" t="s">
        <v>4590</v>
      </c>
      <c r="Y627" s="13" t="s">
        <v>3980</v>
      </c>
      <c r="Z627" s="13" t="s">
        <v>3980</v>
      </c>
      <c r="AC627" s="18"/>
    </row>
    <row r="628" spans="1:29" x14ac:dyDescent="0.25">
      <c r="A628" s="18" t="s">
        <v>2212</v>
      </c>
      <c r="B628" s="30">
        <v>2003</v>
      </c>
      <c r="C628" s="8">
        <v>634</v>
      </c>
      <c r="D628" s="14">
        <v>0.61199999999999999</v>
      </c>
      <c r="E628" s="14">
        <v>0.34300000000000003</v>
      </c>
      <c r="F628" s="8">
        <v>14</v>
      </c>
      <c r="G628" s="14">
        <v>0.67900000000000005</v>
      </c>
      <c r="H628" s="18" t="s">
        <v>3646</v>
      </c>
      <c r="I628" s="26" t="s">
        <v>759</v>
      </c>
      <c r="J628" s="4" t="s">
        <v>26</v>
      </c>
      <c r="L628" s="9">
        <f>B628</f>
        <v>2003</v>
      </c>
      <c r="N628" s="28" t="s">
        <v>67</v>
      </c>
      <c r="O628" s="13" t="s">
        <v>28</v>
      </c>
      <c r="P628" s="13">
        <f t="shared" si="23"/>
        <v>15</v>
      </c>
      <c r="Q628" s="15">
        <f t="shared" si="24"/>
        <v>42.266666666666666</v>
      </c>
      <c r="R628" s="18" t="s">
        <v>1145</v>
      </c>
      <c r="T628" s="18" t="s">
        <v>3828</v>
      </c>
      <c r="V628" s="18" t="s">
        <v>3980</v>
      </c>
      <c r="X628" s="18" t="s">
        <v>3980</v>
      </c>
      <c r="Y628" s="18" t="s">
        <v>3980</v>
      </c>
      <c r="Z628" s="18" t="s">
        <v>3980</v>
      </c>
      <c r="AC628" s="18"/>
    </row>
    <row r="629" spans="1:29" x14ac:dyDescent="0.25">
      <c r="A629" s="18" t="s">
        <v>4942</v>
      </c>
      <c r="B629" s="30">
        <v>2008</v>
      </c>
      <c r="C629" s="8">
        <v>51</v>
      </c>
      <c r="D629" s="14">
        <v>0.18</v>
      </c>
      <c r="E629" s="14">
        <v>0.35399999999999998</v>
      </c>
      <c r="F629" s="8">
        <v>2</v>
      </c>
      <c r="G629" s="14">
        <v>7.0999999999999994E-2</v>
      </c>
      <c r="I629" s="26" t="s">
        <v>759</v>
      </c>
      <c r="J629" s="4" t="s">
        <v>105</v>
      </c>
      <c r="L629" s="9">
        <f>B629</f>
        <v>2008</v>
      </c>
      <c r="N629" s="28" t="s">
        <v>759</v>
      </c>
      <c r="O629" s="13" t="s">
        <v>42</v>
      </c>
      <c r="P629" s="13">
        <f t="shared" si="23"/>
        <v>10</v>
      </c>
      <c r="Q629" s="15">
        <f t="shared" si="24"/>
        <v>5.0999999999999996</v>
      </c>
      <c r="R629" s="18" t="s">
        <v>2091</v>
      </c>
      <c r="T629" s="18" t="s">
        <v>3752</v>
      </c>
      <c r="V629" s="18" t="s">
        <v>3980</v>
      </c>
      <c r="X629" s="18" t="s">
        <v>3980</v>
      </c>
      <c r="Y629" s="18" t="s">
        <v>3980</v>
      </c>
      <c r="Z629" s="18" t="s">
        <v>3980</v>
      </c>
      <c r="AC629" s="18"/>
    </row>
    <row r="630" spans="1:29" x14ac:dyDescent="0.25">
      <c r="A630" s="18" t="s">
        <v>2191</v>
      </c>
      <c r="B630" s="30">
        <v>1991</v>
      </c>
      <c r="C630" s="8">
        <v>1178</v>
      </c>
      <c r="D630" s="14">
        <v>0.73599999999999999</v>
      </c>
      <c r="E630" s="14">
        <v>0.49199999999999999</v>
      </c>
      <c r="F630" s="8">
        <v>16</v>
      </c>
      <c r="G630" s="14">
        <v>0.74099999999999999</v>
      </c>
      <c r="H630" s="18" t="s">
        <v>3574</v>
      </c>
      <c r="I630" s="26" t="s">
        <v>759</v>
      </c>
      <c r="J630" s="4" t="s">
        <v>26</v>
      </c>
      <c r="L630" s="9">
        <f>B630</f>
        <v>1991</v>
      </c>
      <c r="N630" s="28" t="s">
        <v>27</v>
      </c>
      <c r="O630" s="13" t="s">
        <v>28</v>
      </c>
      <c r="P630" s="13">
        <f t="shared" si="23"/>
        <v>27</v>
      </c>
      <c r="Q630" s="15">
        <f t="shared" si="24"/>
        <v>43.629629629629626</v>
      </c>
      <c r="R630" s="18" t="s">
        <v>808</v>
      </c>
      <c r="T630" s="18" t="s">
        <v>3826</v>
      </c>
      <c r="V630" s="18" t="s">
        <v>3980</v>
      </c>
      <c r="X630" s="18" t="s">
        <v>3980</v>
      </c>
      <c r="Y630" s="18" t="s">
        <v>3980</v>
      </c>
      <c r="Z630" s="18" t="s">
        <v>3980</v>
      </c>
      <c r="AC630" s="18"/>
    </row>
    <row r="631" spans="1:29" x14ac:dyDescent="0.25">
      <c r="A631" s="18" t="s">
        <v>1547</v>
      </c>
      <c r="B631" s="30">
        <v>1999</v>
      </c>
      <c r="C631" s="8">
        <v>173</v>
      </c>
      <c r="D631" s="14">
        <v>0.36199999999999999</v>
      </c>
      <c r="E631" s="14">
        <v>0.35199999999999998</v>
      </c>
      <c r="F631" s="8">
        <v>8</v>
      </c>
      <c r="G631" s="14">
        <v>0.434</v>
      </c>
      <c r="I631" s="26" t="s">
        <v>759</v>
      </c>
      <c r="J631" s="4" t="s">
        <v>54</v>
      </c>
      <c r="L631" s="9">
        <f>B631</f>
        <v>1999</v>
      </c>
      <c r="N631" s="28" t="s">
        <v>1088</v>
      </c>
      <c r="O631" s="13" t="s">
        <v>28</v>
      </c>
      <c r="P631" s="13">
        <f t="shared" si="23"/>
        <v>19</v>
      </c>
      <c r="Q631" s="15">
        <f t="shared" si="24"/>
        <v>9.1052631578947363</v>
      </c>
      <c r="R631" s="18" t="s">
        <v>2138</v>
      </c>
      <c r="T631" s="18" t="s">
        <v>3791</v>
      </c>
      <c r="V631" s="18" t="s">
        <v>3980</v>
      </c>
      <c r="X631" s="18" t="s">
        <v>3980</v>
      </c>
      <c r="Y631" s="18" t="s">
        <v>3980</v>
      </c>
      <c r="Z631" s="18" t="s">
        <v>3980</v>
      </c>
      <c r="AC631" s="18"/>
    </row>
    <row r="632" spans="1:29" x14ac:dyDescent="0.25">
      <c r="A632" s="18" t="s">
        <v>5108</v>
      </c>
      <c r="B632" s="30">
        <v>1995</v>
      </c>
      <c r="C632" s="13">
        <v>17</v>
      </c>
      <c r="D632" s="14">
        <v>9.1999999999999998E-2</v>
      </c>
      <c r="E632" s="14">
        <v>8.5000000000000006E-2</v>
      </c>
      <c r="F632" s="13">
        <v>3</v>
      </c>
      <c r="G632" s="14">
        <v>0.13100000000000001</v>
      </c>
      <c r="I632" s="26" t="s">
        <v>759</v>
      </c>
      <c r="J632" s="18" t="s">
        <v>54</v>
      </c>
      <c r="L632" s="9">
        <v>1995</v>
      </c>
      <c r="N632" s="30" t="s">
        <v>220</v>
      </c>
      <c r="O632" s="13" t="s">
        <v>28</v>
      </c>
      <c r="P632" s="13">
        <f t="shared" si="23"/>
        <v>23</v>
      </c>
      <c r="Q632" s="15">
        <f t="shared" si="24"/>
        <v>0.73913043478260865</v>
      </c>
      <c r="R632" s="13" t="s">
        <v>1048</v>
      </c>
      <c r="S632" s="13" t="s">
        <v>480</v>
      </c>
      <c r="T632" s="13" t="s">
        <v>2913</v>
      </c>
      <c r="U632" s="13" t="s">
        <v>2105</v>
      </c>
      <c r="V632" s="13" t="s">
        <v>3980</v>
      </c>
      <c r="W632" s="13"/>
      <c r="X632" s="13" t="s">
        <v>3980</v>
      </c>
      <c r="Y632" s="13" t="s">
        <v>3980</v>
      </c>
      <c r="Z632" s="13" t="s">
        <v>3980</v>
      </c>
      <c r="AC632" s="18"/>
    </row>
    <row r="633" spans="1:29" x14ac:dyDescent="0.25">
      <c r="A633" s="18" t="s">
        <v>758</v>
      </c>
      <c r="B633" s="30">
        <v>2006</v>
      </c>
      <c r="C633" s="13">
        <v>909</v>
      </c>
      <c r="D633" s="14">
        <v>0.68700000000000006</v>
      </c>
      <c r="E633" s="14">
        <v>0.96399999999999997</v>
      </c>
      <c r="F633" s="13">
        <v>14</v>
      </c>
      <c r="G633" s="14">
        <v>0.67900000000000005</v>
      </c>
      <c r="H633" s="18" t="s">
        <v>3330</v>
      </c>
      <c r="I633" s="26" t="s">
        <v>759</v>
      </c>
      <c r="J633" s="4" t="s">
        <v>105</v>
      </c>
      <c r="L633" s="9">
        <v>2006</v>
      </c>
      <c r="N633" s="30" t="s">
        <v>760</v>
      </c>
      <c r="O633" s="13" t="s">
        <v>42</v>
      </c>
      <c r="P633" s="13">
        <f t="shared" si="23"/>
        <v>12</v>
      </c>
      <c r="Q633" s="15">
        <f t="shared" si="24"/>
        <v>75.75</v>
      </c>
      <c r="R633" s="13" t="s">
        <v>761</v>
      </c>
      <c r="S633" s="13"/>
      <c r="T633" s="13" t="s">
        <v>762</v>
      </c>
      <c r="U633" s="13"/>
      <c r="V633" s="13" t="s">
        <v>4155</v>
      </c>
      <c r="W633" s="13"/>
      <c r="X633" s="13" t="s">
        <v>4591</v>
      </c>
      <c r="Y633" s="13" t="s">
        <v>3980</v>
      </c>
      <c r="Z633" s="13" t="s">
        <v>3980</v>
      </c>
      <c r="AC633" s="18"/>
    </row>
    <row r="634" spans="1:29" x14ac:dyDescent="0.25">
      <c r="A634" s="18" t="s">
        <v>1454</v>
      </c>
      <c r="B634" s="30">
        <v>2012</v>
      </c>
      <c r="C634" s="13">
        <v>47</v>
      </c>
      <c r="D634" s="14">
        <v>0.17399999999999999</v>
      </c>
      <c r="E634" s="14">
        <v>0.34300000000000003</v>
      </c>
      <c r="F634" s="13">
        <v>2</v>
      </c>
      <c r="G634" s="14">
        <v>7.0999999999999994E-2</v>
      </c>
      <c r="I634" s="26" t="s">
        <v>830</v>
      </c>
      <c r="J634" s="4" t="s">
        <v>105</v>
      </c>
      <c r="L634" s="9">
        <v>2012</v>
      </c>
      <c r="M634" s="11"/>
      <c r="N634" s="30" t="s">
        <v>1379</v>
      </c>
      <c r="O634" s="13" t="s">
        <v>28</v>
      </c>
      <c r="P634" s="13">
        <f t="shared" si="23"/>
        <v>6</v>
      </c>
      <c r="Q634" s="15">
        <f t="shared" si="24"/>
        <v>7.833333333333333</v>
      </c>
      <c r="R634" s="13" t="s">
        <v>1455</v>
      </c>
      <c r="S634" s="13"/>
      <c r="T634" s="13" t="s">
        <v>1456</v>
      </c>
      <c r="U634" s="13" t="s">
        <v>1457</v>
      </c>
      <c r="V634" s="13" t="s">
        <v>4156</v>
      </c>
      <c r="W634" s="13"/>
      <c r="X634" s="13" t="s">
        <v>3980</v>
      </c>
      <c r="Y634" s="13" t="s">
        <v>3980</v>
      </c>
      <c r="Z634" s="13" t="s">
        <v>3980</v>
      </c>
      <c r="AC634" s="18"/>
    </row>
    <row r="635" spans="1:29" x14ac:dyDescent="0.25">
      <c r="A635" s="18" t="s">
        <v>2035</v>
      </c>
      <c r="B635" s="30">
        <v>1994</v>
      </c>
      <c r="C635" s="13">
        <v>129</v>
      </c>
      <c r="D635" s="14">
        <v>0.307</v>
      </c>
      <c r="E635" s="14">
        <v>0.28899999999999998</v>
      </c>
      <c r="F635" s="13">
        <v>7</v>
      </c>
      <c r="G635" s="14">
        <v>0.39300000000000002</v>
      </c>
      <c r="I635" s="26" t="s">
        <v>830</v>
      </c>
      <c r="J635" s="18" t="s">
        <v>54</v>
      </c>
      <c r="L635" s="9">
        <v>1994</v>
      </c>
      <c r="N635" s="30" t="s">
        <v>2036</v>
      </c>
      <c r="O635" s="13" t="s">
        <v>28</v>
      </c>
      <c r="P635" s="13">
        <f t="shared" si="23"/>
        <v>24</v>
      </c>
      <c r="Q635" s="15">
        <f t="shared" si="24"/>
        <v>5.375</v>
      </c>
      <c r="R635" s="13" t="s">
        <v>2037</v>
      </c>
      <c r="S635" s="13"/>
      <c r="T635" s="13" t="s">
        <v>2038</v>
      </c>
      <c r="U635" s="13" t="s">
        <v>2039</v>
      </c>
      <c r="V635" s="13" t="s">
        <v>3980</v>
      </c>
      <c r="W635" s="13"/>
      <c r="X635" s="13" t="s">
        <v>4592</v>
      </c>
      <c r="Y635" s="13" t="s">
        <v>3980</v>
      </c>
      <c r="Z635" s="13" t="s">
        <v>3980</v>
      </c>
      <c r="AC635" s="18"/>
    </row>
    <row r="636" spans="1:29" x14ac:dyDescent="0.25">
      <c r="A636" s="18" t="s">
        <v>2452</v>
      </c>
      <c r="B636" s="30">
        <v>1983</v>
      </c>
      <c r="C636" s="13">
        <v>575</v>
      </c>
      <c r="D636" s="14">
        <v>0.58799999999999997</v>
      </c>
      <c r="E636" s="14">
        <v>0.32300000000000001</v>
      </c>
      <c r="F636" s="13">
        <v>9</v>
      </c>
      <c r="G636" s="14">
        <v>0.48799999999999999</v>
      </c>
      <c r="I636" s="26" t="s">
        <v>830</v>
      </c>
      <c r="J636" s="18" t="s">
        <v>26</v>
      </c>
      <c r="K636" s="4"/>
      <c r="L636" s="9">
        <f>B636</f>
        <v>1983</v>
      </c>
      <c r="M636" s="11" t="s">
        <v>3132</v>
      </c>
      <c r="N636" s="30" t="s">
        <v>3045</v>
      </c>
      <c r="O636" s="13" t="s">
        <v>42</v>
      </c>
      <c r="P636" s="13">
        <f t="shared" si="23"/>
        <v>35</v>
      </c>
      <c r="Q636" s="15">
        <f t="shared" si="24"/>
        <v>16.428571428571427</v>
      </c>
      <c r="R636" s="13" t="s">
        <v>2453</v>
      </c>
      <c r="S636" s="13"/>
      <c r="T636" s="13" t="s">
        <v>2454</v>
      </c>
      <c r="U636" s="13"/>
      <c r="V636" s="13" t="s">
        <v>3980</v>
      </c>
      <c r="W636" s="13"/>
      <c r="X636" s="13" t="s">
        <v>3980</v>
      </c>
      <c r="Y636" s="13" t="s">
        <v>3980</v>
      </c>
      <c r="Z636" s="13" t="s">
        <v>3980</v>
      </c>
      <c r="AC636" s="18"/>
    </row>
    <row r="637" spans="1:29" x14ac:dyDescent="0.25">
      <c r="A637" s="18" t="s">
        <v>829</v>
      </c>
      <c r="B637" s="30">
        <v>2009</v>
      </c>
      <c r="C637" s="13">
        <v>245</v>
      </c>
      <c r="D637" s="14">
        <v>0.41</v>
      </c>
      <c r="E637" s="14">
        <v>0.71499999999999997</v>
      </c>
      <c r="F637" s="13">
        <v>3</v>
      </c>
      <c r="G637" s="14">
        <v>0.13100000000000001</v>
      </c>
      <c r="H637" s="18" t="s">
        <v>3347</v>
      </c>
      <c r="I637" s="26" t="s">
        <v>830</v>
      </c>
      <c r="J637" s="18" t="s">
        <v>105</v>
      </c>
      <c r="L637" s="9">
        <v>2009</v>
      </c>
      <c r="N637" s="30" t="s">
        <v>219</v>
      </c>
      <c r="O637" s="13" t="s">
        <v>42</v>
      </c>
      <c r="P637" s="13">
        <f t="shared" si="23"/>
        <v>9</v>
      </c>
      <c r="Q637" s="15">
        <f t="shared" si="24"/>
        <v>27.222222222222221</v>
      </c>
      <c r="R637" s="13" t="s">
        <v>831</v>
      </c>
      <c r="S637" s="13"/>
      <c r="T637" s="13" t="s">
        <v>227</v>
      </c>
      <c r="U637" s="13" t="s">
        <v>832</v>
      </c>
      <c r="V637" s="13" t="s">
        <v>3980</v>
      </c>
      <c r="W637" s="13"/>
      <c r="X637" s="13" t="s">
        <v>4593</v>
      </c>
      <c r="Y637" s="13" t="s">
        <v>3980</v>
      </c>
      <c r="Z637" s="13" t="s">
        <v>3980</v>
      </c>
      <c r="AC637" s="18"/>
    </row>
    <row r="638" spans="1:29" x14ac:dyDescent="0.25">
      <c r="A638" s="18" t="s">
        <v>2328</v>
      </c>
      <c r="B638" s="30">
        <v>2001</v>
      </c>
      <c r="C638" s="13">
        <v>131</v>
      </c>
      <c r="D638" s="14">
        <v>0.31</v>
      </c>
      <c r="E638" s="14">
        <v>0.29499999999999998</v>
      </c>
      <c r="F638" s="13">
        <v>4</v>
      </c>
      <c r="G638" s="14">
        <v>0.19600000000000001</v>
      </c>
      <c r="I638" s="26" t="s">
        <v>830</v>
      </c>
      <c r="J638" s="18" t="s">
        <v>54</v>
      </c>
      <c r="L638" s="9">
        <v>2001</v>
      </c>
      <c r="M638" s="11"/>
      <c r="N638" s="30" t="s">
        <v>152</v>
      </c>
      <c r="O638" s="13" t="s">
        <v>42</v>
      </c>
      <c r="P638" s="13">
        <f t="shared" si="23"/>
        <v>17</v>
      </c>
      <c r="Q638" s="15">
        <f t="shared" si="24"/>
        <v>7.7058823529411766</v>
      </c>
      <c r="R638" s="13" t="s">
        <v>2329</v>
      </c>
      <c r="S638" s="13"/>
      <c r="T638" s="13" t="s">
        <v>422</v>
      </c>
      <c r="U638" s="13" t="s">
        <v>2330</v>
      </c>
      <c r="V638" s="13" t="s">
        <v>3980</v>
      </c>
      <c r="W638" s="13"/>
      <c r="X638" s="13" t="s">
        <v>4594</v>
      </c>
      <c r="Y638" s="13" t="s">
        <v>3980</v>
      </c>
      <c r="Z638" s="13" t="s">
        <v>3980</v>
      </c>
      <c r="AC638" s="18"/>
    </row>
    <row r="639" spans="1:29" x14ac:dyDescent="0.25">
      <c r="A639" s="18" t="s">
        <v>3056</v>
      </c>
      <c r="B639" s="30">
        <v>1994</v>
      </c>
      <c r="C639" s="13">
        <v>4687</v>
      </c>
      <c r="D639" s="14">
        <v>0.93799999999999994</v>
      </c>
      <c r="E639" s="14">
        <v>0.85799999999999998</v>
      </c>
      <c r="F639" s="13">
        <v>32</v>
      </c>
      <c r="G639" s="14">
        <v>0.94399999999999995</v>
      </c>
      <c r="H639" s="18" t="s">
        <v>3675</v>
      </c>
      <c r="I639" s="26" t="s">
        <v>830</v>
      </c>
      <c r="J639" s="18" t="s">
        <v>26</v>
      </c>
      <c r="L639" s="9">
        <v>1994</v>
      </c>
      <c r="N639" s="30" t="s">
        <v>337</v>
      </c>
      <c r="O639" s="13" t="s">
        <v>28</v>
      </c>
      <c r="P639" s="13">
        <f t="shared" si="23"/>
        <v>24</v>
      </c>
      <c r="Q639" s="15">
        <f t="shared" si="24"/>
        <v>195.29166666666666</v>
      </c>
      <c r="R639" s="13" t="s">
        <v>3057</v>
      </c>
      <c r="S639" s="13"/>
      <c r="T639" s="13" t="s">
        <v>3058</v>
      </c>
      <c r="U639" s="13" t="s">
        <v>3059</v>
      </c>
      <c r="V639" s="13" t="s">
        <v>4157</v>
      </c>
      <c r="W639" s="13"/>
      <c r="X639" s="13" t="s">
        <v>3980</v>
      </c>
      <c r="Y639" s="13" t="s">
        <v>3980</v>
      </c>
      <c r="Z639" s="13" t="s">
        <v>3980</v>
      </c>
      <c r="AC639" s="18"/>
    </row>
    <row r="640" spans="1:29" x14ac:dyDescent="0.25">
      <c r="A640" s="18" t="s">
        <v>1738</v>
      </c>
      <c r="B640" s="30">
        <v>1981</v>
      </c>
      <c r="C640" s="13">
        <v>1210</v>
      </c>
      <c r="D640" s="14">
        <v>0.74099999999999999</v>
      </c>
      <c r="E640" s="14">
        <v>0.501</v>
      </c>
      <c r="F640" s="13">
        <v>17</v>
      </c>
      <c r="G640" s="14">
        <v>0.76400000000000001</v>
      </c>
      <c r="I640" s="26" t="s">
        <v>830</v>
      </c>
      <c r="J640" s="18" t="s">
        <v>26</v>
      </c>
      <c r="K640" s="4"/>
      <c r="L640" s="9">
        <v>1981</v>
      </c>
      <c r="N640" s="30" t="s">
        <v>94</v>
      </c>
      <c r="O640" s="13" t="s">
        <v>28</v>
      </c>
      <c r="P640" s="13">
        <f t="shared" si="23"/>
        <v>37</v>
      </c>
      <c r="Q640" s="15">
        <f t="shared" si="24"/>
        <v>32.702702702702702</v>
      </c>
      <c r="R640" s="13" t="s">
        <v>429</v>
      </c>
      <c r="S640" s="13"/>
      <c r="T640" s="13" t="s">
        <v>1739</v>
      </c>
      <c r="U640" s="13" t="s">
        <v>1740</v>
      </c>
      <c r="V640" s="13" t="s">
        <v>3980</v>
      </c>
      <c r="W640" s="13"/>
      <c r="X640" s="13" t="s">
        <v>3980</v>
      </c>
      <c r="Y640" s="13" t="s">
        <v>3980</v>
      </c>
      <c r="Z640" s="13" t="s">
        <v>3980</v>
      </c>
      <c r="AC640" s="18"/>
    </row>
    <row r="641" spans="1:31" x14ac:dyDescent="0.25">
      <c r="A641" s="18" t="s">
        <v>5086</v>
      </c>
      <c r="B641" s="30">
        <v>1996</v>
      </c>
      <c r="C641" s="13">
        <v>832</v>
      </c>
      <c r="D641" s="14">
        <v>0.66400000000000003</v>
      </c>
      <c r="E641" s="14">
        <v>0.41</v>
      </c>
      <c r="F641" s="13">
        <v>16</v>
      </c>
      <c r="G641" s="14">
        <v>0.74099999999999999</v>
      </c>
      <c r="H641" s="18" t="s">
        <v>3681</v>
      </c>
      <c r="I641" s="26" t="s">
        <v>830</v>
      </c>
      <c r="J641" s="4" t="s">
        <v>26</v>
      </c>
      <c r="L641" s="9">
        <v>1996</v>
      </c>
      <c r="N641" s="30" t="s">
        <v>41</v>
      </c>
      <c r="O641" s="13" t="s">
        <v>42</v>
      </c>
      <c r="P641" s="13">
        <f t="shared" si="23"/>
        <v>22</v>
      </c>
      <c r="Q641" s="15">
        <f t="shared" si="24"/>
        <v>37.81818181818182</v>
      </c>
      <c r="R641" s="13" t="s">
        <v>2820</v>
      </c>
      <c r="S641" s="13" t="s">
        <v>669</v>
      </c>
      <c r="T641" s="13" t="s">
        <v>2821</v>
      </c>
      <c r="U641" s="13"/>
      <c r="V641" s="13" t="s">
        <v>4158</v>
      </c>
      <c r="W641" s="13"/>
      <c r="X641" s="13" t="s">
        <v>4595</v>
      </c>
      <c r="Y641" s="13" t="s">
        <v>3980</v>
      </c>
      <c r="Z641" s="13" t="s">
        <v>3980</v>
      </c>
      <c r="AC641" s="18"/>
      <c r="AD641" s="27"/>
      <c r="AE641" s="27"/>
    </row>
    <row r="642" spans="1:31" x14ac:dyDescent="0.25">
      <c r="A642" s="18" t="s">
        <v>2654</v>
      </c>
      <c r="B642" s="30">
        <v>1985</v>
      </c>
      <c r="C642" s="13">
        <v>675</v>
      </c>
      <c r="D642" s="14">
        <v>0.625</v>
      </c>
      <c r="E642" s="14">
        <v>0.35</v>
      </c>
      <c r="F642" s="13">
        <v>11</v>
      </c>
      <c r="G642" s="14">
        <v>0.56000000000000005</v>
      </c>
      <c r="I642" s="26" t="s">
        <v>830</v>
      </c>
      <c r="J642" s="18" t="s">
        <v>26</v>
      </c>
      <c r="L642" s="9">
        <v>1985</v>
      </c>
      <c r="N642" s="30" t="s">
        <v>830</v>
      </c>
      <c r="O642" s="13" t="s">
        <v>28</v>
      </c>
      <c r="P642" s="13">
        <f t="shared" ref="P642:P705" si="26">2018-L642</f>
        <v>33</v>
      </c>
      <c r="Q642" s="15">
        <f t="shared" ref="Q642:Q705" si="27">C642/P642</f>
        <v>20.454545454545453</v>
      </c>
      <c r="R642" s="13" t="s">
        <v>260</v>
      </c>
      <c r="S642" s="13"/>
      <c r="T642" s="13" t="s">
        <v>2655</v>
      </c>
      <c r="U642" s="13" t="s">
        <v>2656</v>
      </c>
      <c r="V642" s="13" t="s">
        <v>4159</v>
      </c>
      <c r="W642" s="13"/>
      <c r="X642" s="13" t="s">
        <v>3980</v>
      </c>
      <c r="Y642" s="13" t="s">
        <v>3980</v>
      </c>
      <c r="Z642" s="13" t="s">
        <v>3980</v>
      </c>
      <c r="AC642" s="18"/>
      <c r="AD642" s="18"/>
      <c r="AE642" s="16"/>
    </row>
    <row r="643" spans="1:31" x14ac:dyDescent="0.25">
      <c r="A643" s="18" t="s">
        <v>2065</v>
      </c>
      <c r="B643" s="30">
        <v>1977</v>
      </c>
      <c r="C643" s="8">
        <v>44</v>
      </c>
      <c r="D643" s="14">
        <v>0.16</v>
      </c>
      <c r="E643" s="14">
        <v>8.4000000000000005E-2</v>
      </c>
      <c r="F643" s="8">
        <v>2</v>
      </c>
      <c r="G643" s="14">
        <v>7.0999999999999994E-2</v>
      </c>
      <c r="I643" s="26" t="s">
        <v>162</v>
      </c>
      <c r="J643" s="4" t="s">
        <v>26</v>
      </c>
      <c r="L643" s="9">
        <f>B643</f>
        <v>1977</v>
      </c>
      <c r="N643" s="28" t="s">
        <v>1242</v>
      </c>
      <c r="O643" s="13" t="s">
        <v>28</v>
      </c>
      <c r="P643" s="13">
        <f t="shared" si="26"/>
        <v>41</v>
      </c>
      <c r="Q643" s="15">
        <f t="shared" si="27"/>
        <v>1.0731707317073171</v>
      </c>
      <c r="R643" s="18" t="s">
        <v>3846</v>
      </c>
      <c r="T643" s="18" t="s">
        <v>3847</v>
      </c>
      <c r="V643" s="18" t="s">
        <v>3980</v>
      </c>
      <c r="X643" s="18" t="s">
        <v>3980</v>
      </c>
      <c r="Y643" s="18" t="s">
        <v>3980</v>
      </c>
      <c r="Z643" s="18" t="s">
        <v>3980</v>
      </c>
      <c r="AC643" s="18"/>
      <c r="AE643" s="27"/>
    </row>
    <row r="644" spans="1:31" x14ac:dyDescent="0.25">
      <c r="A644" s="18" t="s">
        <v>5104</v>
      </c>
      <c r="B644" s="30">
        <v>2009</v>
      </c>
      <c r="C644" s="13">
        <v>92</v>
      </c>
      <c r="D644" s="14">
        <v>0.25</v>
      </c>
      <c r="E644" s="14">
        <v>0.47699999999999998</v>
      </c>
      <c r="F644" s="13">
        <v>4</v>
      </c>
      <c r="G644" s="14">
        <v>0.19600000000000001</v>
      </c>
      <c r="I644" s="26" t="s">
        <v>162</v>
      </c>
      <c r="J644" s="4" t="s">
        <v>105</v>
      </c>
      <c r="K644" s="4"/>
      <c r="L644" s="9">
        <v>2009</v>
      </c>
      <c r="N644" s="30" t="s">
        <v>34</v>
      </c>
      <c r="O644" s="13" t="s">
        <v>28</v>
      </c>
      <c r="P644" s="13">
        <f t="shared" si="26"/>
        <v>9</v>
      </c>
      <c r="Q644" s="15">
        <f t="shared" si="27"/>
        <v>10.222222222222221</v>
      </c>
      <c r="R644" s="13" t="s">
        <v>978</v>
      </c>
      <c r="S644" s="13" t="s">
        <v>62</v>
      </c>
      <c r="T644" s="13" t="s">
        <v>2911</v>
      </c>
      <c r="U644" s="13"/>
      <c r="V644" s="13" t="s">
        <v>4160</v>
      </c>
      <c r="W644" s="13"/>
      <c r="X644" s="13" t="s">
        <v>4596</v>
      </c>
      <c r="Y644" s="13" t="s">
        <v>3980</v>
      </c>
      <c r="Z644" s="13" t="s">
        <v>3980</v>
      </c>
      <c r="AC644" s="18"/>
      <c r="AE644" s="18"/>
    </row>
    <row r="645" spans="1:31" x14ac:dyDescent="0.25">
      <c r="A645" s="18" t="s">
        <v>2476</v>
      </c>
      <c r="B645" s="30">
        <v>1988</v>
      </c>
      <c r="C645" s="8">
        <v>54</v>
      </c>
      <c r="D645" s="14">
        <v>0.185</v>
      </c>
      <c r="E645" s="14">
        <v>9.5000000000000001E-2</v>
      </c>
      <c r="F645" s="8">
        <v>4</v>
      </c>
      <c r="G645" s="14">
        <v>0.19600000000000001</v>
      </c>
      <c r="I645" s="26" t="s">
        <v>162</v>
      </c>
      <c r="J645" s="4" t="s">
        <v>26</v>
      </c>
      <c r="L645" s="9">
        <f>B645</f>
        <v>1988</v>
      </c>
      <c r="N645" s="28" t="s">
        <v>152</v>
      </c>
      <c r="O645" s="13" t="s">
        <v>28</v>
      </c>
      <c r="P645" s="13">
        <f t="shared" si="26"/>
        <v>30</v>
      </c>
      <c r="Q645" s="15">
        <f t="shared" si="27"/>
        <v>1.8</v>
      </c>
      <c r="R645" s="18" t="s">
        <v>746</v>
      </c>
      <c r="T645" s="18" t="s">
        <v>3857</v>
      </c>
      <c r="V645" s="18" t="s">
        <v>3980</v>
      </c>
      <c r="X645" s="18" t="s">
        <v>3980</v>
      </c>
      <c r="Y645" s="18" t="s">
        <v>3980</v>
      </c>
      <c r="Z645" s="18" t="s">
        <v>3980</v>
      </c>
      <c r="AC645" s="18"/>
      <c r="AE645" s="16"/>
    </row>
    <row r="646" spans="1:31" x14ac:dyDescent="0.25">
      <c r="A646" s="18" t="s">
        <v>5084</v>
      </c>
      <c r="B646" s="30">
        <v>2006</v>
      </c>
      <c r="C646" s="13">
        <v>421</v>
      </c>
      <c r="D646" s="14">
        <v>0.51900000000000002</v>
      </c>
      <c r="E646" s="14">
        <v>0.83099999999999996</v>
      </c>
      <c r="F646" s="13">
        <v>12</v>
      </c>
      <c r="G646" s="14">
        <v>0.60899999999999999</v>
      </c>
      <c r="H646" s="18" t="s">
        <v>3700</v>
      </c>
      <c r="I646" s="26" t="s">
        <v>162</v>
      </c>
      <c r="J646" s="4" t="s">
        <v>105</v>
      </c>
      <c r="L646" s="9">
        <v>2006</v>
      </c>
      <c r="N646" s="30" t="s">
        <v>830</v>
      </c>
      <c r="O646" s="13" t="s">
        <v>42</v>
      </c>
      <c r="P646" s="13">
        <f t="shared" si="26"/>
        <v>12</v>
      </c>
      <c r="Q646" s="15">
        <f t="shared" si="27"/>
        <v>35.083333333333336</v>
      </c>
      <c r="R646" s="13" t="s">
        <v>2809</v>
      </c>
      <c r="S646" s="13" t="s">
        <v>164</v>
      </c>
      <c r="T646" s="13" t="s">
        <v>2810</v>
      </c>
      <c r="U646" s="13"/>
      <c r="V646" s="13" t="s">
        <v>4161</v>
      </c>
      <c r="W646" s="13"/>
      <c r="X646" s="13" t="s">
        <v>4597</v>
      </c>
      <c r="Y646" s="13" t="s">
        <v>3980</v>
      </c>
      <c r="Z646" s="13" t="s">
        <v>3980</v>
      </c>
      <c r="AC646" s="18"/>
      <c r="AE646" s="16"/>
    </row>
    <row r="647" spans="1:31" x14ac:dyDescent="0.25">
      <c r="A647" s="28" t="s">
        <v>4835</v>
      </c>
      <c r="B647" s="30">
        <v>2010</v>
      </c>
      <c r="C647" s="13">
        <v>8</v>
      </c>
      <c r="D647" s="14">
        <v>5.7000000000000002E-2</v>
      </c>
      <c r="E647" s="14">
        <v>0.108</v>
      </c>
      <c r="F647" s="13">
        <v>1</v>
      </c>
      <c r="G647" s="14">
        <v>0</v>
      </c>
      <c r="I647" s="26" t="s">
        <v>162</v>
      </c>
      <c r="J647" s="4" t="s">
        <v>105</v>
      </c>
      <c r="L647" s="9">
        <f>B647</f>
        <v>2010</v>
      </c>
      <c r="M647" s="11" t="s">
        <v>3132</v>
      </c>
      <c r="N647" s="30" t="s">
        <v>364</v>
      </c>
      <c r="O647" s="13" t="s">
        <v>42</v>
      </c>
      <c r="P647" s="13">
        <f t="shared" si="26"/>
        <v>8</v>
      </c>
      <c r="Q647" s="15">
        <f t="shared" si="27"/>
        <v>1</v>
      </c>
      <c r="R647" s="13" t="s">
        <v>1501</v>
      </c>
      <c r="S647" s="13" t="s">
        <v>669</v>
      </c>
      <c r="T647" s="13" t="s">
        <v>1502</v>
      </c>
      <c r="U647" s="13"/>
      <c r="V647" s="13" t="s">
        <v>3980</v>
      </c>
      <c r="W647" s="13"/>
      <c r="X647" s="13" t="s">
        <v>3980</v>
      </c>
      <c r="Y647" s="13" t="s">
        <v>3980</v>
      </c>
      <c r="Z647" s="13" t="s">
        <v>3980</v>
      </c>
      <c r="AC647" s="18"/>
      <c r="AE647" s="13"/>
    </row>
    <row r="648" spans="1:31" x14ac:dyDescent="0.25">
      <c r="A648" s="18" t="s">
        <v>1572</v>
      </c>
      <c r="B648" s="30">
        <v>1994</v>
      </c>
      <c r="C648" s="8">
        <v>1</v>
      </c>
      <c r="D648" s="14">
        <v>0</v>
      </c>
      <c r="E648" s="14">
        <v>0</v>
      </c>
      <c r="F648" s="8">
        <v>1</v>
      </c>
      <c r="G648" s="14">
        <v>0</v>
      </c>
      <c r="I648" s="26" t="s">
        <v>162</v>
      </c>
      <c r="J648" s="4" t="s">
        <v>54</v>
      </c>
      <c r="L648" s="9">
        <f>B648</f>
        <v>1994</v>
      </c>
      <c r="M648" s="20" t="s">
        <v>3132</v>
      </c>
      <c r="N648" s="28" t="s">
        <v>3103</v>
      </c>
      <c r="O648" s="13" t="s">
        <v>42</v>
      </c>
      <c r="P648" s="13">
        <f t="shared" si="26"/>
        <v>24</v>
      </c>
      <c r="Q648" s="15">
        <f t="shared" si="27"/>
        <v>4.1666666666666664E-2</v>
      </c>
      <c r="R648" s="18" t="s">
        <v>3792</v>
      </c>
      <c r="T648" s="18" t="s">
        <v>3793</v>
      </c>
      <c r="V648" s="18" t="s">
        <v>3980</v>
      </c>
      <c r="X648" s="18" t="s">
        <v>3980</v>
      </c>
      <c r="Y648" s="18" t="s">
        <v>3980</v>
      </c>
      <c r="Z648" s="18" t="s">
        <v>3980</v>
      </c>
      <c r="AC648" s="18"/>
      <c r="AE648" s="13"/>
    </row>
    <row r="649" spans="1:31" x14ac:dyDescent="0.25">
      <c r="A649" s="18" t="s">
        <v>2985</v>
      </c>
      <c r="B649" s="30">
        <v>1981</v>
      </c>
      <c r="C649" s="13">
        <v>2</v>
      </c>
      <c r="D649" s="14">
        <v>2.3E-2</v>
      </c>
      <c r="E649" s="14">
        <v>8.9999999999999993E-3</v>
      </c>
      <c r="F649" s="13">
        <v>1</v>
      </c>
      <c r="G649" s="14">
        <v>0</v>
      </c>
      <c r="I649" s="26" t="s">
        <v>162</v>
      </c>
      <c r="J649" s="4" t="s">
        <v>26</v>
      </c>
      <c r="L649" s="9">
        <v>1981</v>
      </c>
      <c r="N649" s="30" t="s">
        <v>2986</v>
      </c>
      <c r="O649" s="13" t="s">
        <v>28</v>
      </c>
      <c r="P649" s="13">
        <f t="shared" si="26"/>
        <v>37</v>
      </c>
      <c r="Q649" s="15">
        <f t="shared" si="27"/>
        <v>5.4054054054054057E-2</v>
      </c>
      <c r="R649" s="13" t="s">
        <v>2987</v>
      </c>
      <c r="S649" s="13"/>
      <c r="T649" s="13" t="s">
        <v>2988</v>
      </c>
      <c r="U649" s="13"/>
      <c r="V649" s="13" t="s">
        <v>3980</v>
      </c>
      <c r="W649" s="13"/>
      <c r="X649" s="13" t="s">
        <v>4598</v>
      </c>
      <c r="Y649" s="13" t="s">
        <v>3980</v>
      </c>
      <c r="Z649" s="13" t="s">
        <v>3980</v>
      </c>
      <c r="AC649" s="18"/>
      <c r="AE649" s="13"/>
    </row>
    <row r="650" spans="1:31" x14ac:dyDescent="0.25">
      <c r="A650" s="18" t="s">
        <v>2606</v>
      </c>
      <c r="B650" s="30">
        <v>2014</v>
      </c>
      <c r="C650" s="8">
        <v>93</v>
      </c>
      <c r="D650" s="14">
        <v>0.251</v>
      </c>
      <c r="E650" s="14">
        <v>0.48</v>
      </c>
      <c r="F650" s="8">
        <v>6</v>
      </c>
      <c r="G650" s="14">
        <v>0.32200000000000001</v>
      </c>
      <c r="H650" s="18" t="s">
        <v>3651</v>
      </c>
      <c r="I650" s="18" t="s">
        <v>775</v>
      </c>
      <c r="J650" s="4" t="s">
        <v>105</v>
      </c>
      <c r="L650" s="9">
        <f>B650</f>
        <v>2014</v>
      </c>
      <c r="N650" s="28" t="s">
        <v>128</v>
      </c>
      <c r="O650" s="13" t="s">
        <v>28</v>
      </c>
      <c r="P650" s="13">
        <f t="shared" si="26"/>
        <v>4</v>
      </c>
      <c r="Q650" s="15">
        <f t="shared" si="27"/>
        <v>23.25</v>
      </c>
      <c r="R650" s="18" t="s">
        <v>2607</v>
      </c>
      <c r="T650" s="18" t="s">
        <v>3731</v>
      </c>
      <c r="V650" s="18" t="s">
        <v>3980</v>
      </c>
      <c r="X650" s="18" t="s">
        <v>3980</v>
      </c>
      <c r="Y650" s="18" t="s">
        <v>3980</v>
      </c>
      <c r="Z650" s="18" t="s">
        <v>3980</v>
      </c>
      <c r="AC650" s="18"/>
      <c r="AE650" s="13"/>
    </row>
    <row r="651" spans="1:31" x14ac:dyDescent="0.25">
      <c r="A651" s="18" t="s">
        <v>5129</v>
      </c>
      <c r="B651" s="30">
        <v>1991</v>
      </c>
      <c r="C651" s="13">
        <v>415</v>
      </c>
      <c r="D651" s="14">
        <v>0.51300000000000001</v>
      </c>
      <c r="E651" s="14">
        <v>0.27300000000000002</v>
      </c>
      <c r="F651" s="13">
        <v>9</v>
      </c>
      <c r="G651" s="14">
        <v>0.48799999999999999</v>
      </c>
      <c r="I651" s="18" t="s">
        <v>775</v>
      </c>
      <c r="J651" s="18" t="s">
        <v>26</v>
      </c>
      <c r="L651" s="9">
        <f>B651</f>
        <v>1991</v>
      </c>
      <c r="N651" s="30" t="s">
        <v>3154</v>
      </c>
      <c r="O651" s="13" t="s">
        <v>28</v>
      </c>
      <c r="P651" s="13">
        <f t="shared" si="26"/>
        <v>27</v>
      </c>
      <c r="Q651" s="15">
        <f t="shared" si="27"/>
        <v>15.37037037037037</v>
      </c>
      <c r="R651" s="13" t="s">
        <v>3002</v>
      </c>
      <c r="S651" s="13"/>
      <c r="T651" s="13" t="s">
        <v>3003</v>
      </c>
      <c r="U651" s="13"/>
      <c r="V651" s="13" t="s">
        <v>3980</v>
      </c>
      <c r="W651" s="13"/>
      <c r="X651" s="13" t="s">
        <v>3980</v>
      </c>
      <c r="Y651" s="13" t="s">
        <v>3980</v>
      </c>
      <c r="Z651" s="13" t="s">
        <v>3980</v>
      </c>
      <c r="AC651" s="18"/>
      <c r="AE651" s="13"/>
    </row>
    <row r="652" spans="1:31" x14ac:dyDescent="0.25">
      <c r="A652" s="18" t="s">
        <v>4961</v>
      </c>
      <c r="B652" s="30">
        <v>2004</v>
      </c>
      <c r="C652" s="13">
        <v>7</v>
      </c>
      <c r="D652" s="14">
        <v>5.3999999999999999E-2</v>
      </c>
      <c r="E652" s="14">
        <v>5.0999999999999997E-2</v>
      </c>
      <c r="F652" s="13">
        <v>1</v>
      </c>
      <c r="G652" s="14">
        <v>0</v>
      </c>
      <c r="I652" s="18" t="s">
        <v>775</v>
      </c>
      <c r="J652" s="18" t="s">
        <v>54</v>
      </c>
      <c r="K652" s="4"/>
      <c r="L652" s="9">
        <f>B652</f>
        <v>2004</v>
      </c>
      <c r="N652" s="30" t="s">
        <v>775</v>
      </c>
      <c r="O652" s="13" t="s">
        <v>28</v>
      </c>
      <c r="P652" s="13">
        <f t="shared" si="26"/>
        <v>14</v>
      </c>
      <c r="Q652" s="15">
        <f t="shared" si="27"/>
        <v>0.5</v>
      </c>
      <c r="R652" s="13" t="s">
        <v>808</v>
      </c>
      <c r="S652" s="13"/>
      <c r="T652" s="13" t="s">
        <v>2168</v>
      </c>
      <c r="U652" s="13"/>
      <c r="V652" s="13" t="s">
        <v>3980</v>
      </c>
      <c r="W652" s="13"/>
      <c r="X652" s="13" t="s">
        <v>3980</v>
      </c>
      <c r="Y652" s="13" t="s">
        <v>3980</v>
      </c>
      <c r="Z652" s="13" t="s">
        <v>3980</v>
      </c>
      <c r="AC652" s="18"/>
      <c r="AE652" s="13"/>
    </row>
    <row r="653" spans="1:31" x14ac:dyDescent="0.25">
      <c r="A653" s="18" t="s">
        <v>4962</v>
      </c>
      <c r="B653" s="30">
        <v>1973</v>
      </c>
      <c r="C653" s="13">
        <v>1751</v>
      </c>
      <c r="D653" s="14">
        <v>0.81100000000000005</v>
      </c>
      <c r="E653" s="14">
        <v>0.60499999999999998</v>
      </c>
      <c r="F653" s="13">
        <v>16</v>
      </c>
      <c r="G653" s="14">
        <v>0.74099999999999999</v>
      </c>
      <c r="I653" s="18" t="s">
        <v>775</v>
      </c>
      <c r="J653" s="18" t="s">
        <v>26</v>
      </c>
      <c r="K653" s="4"/>
      <c r="L653" s="9">
        <f>B653</f>
        <v>1973</v>
      </c>
      <c r="N653" s="30" t="s">
        <v>128</v>
      </c>
      <c r="O653" s="13" t="s">
        <v>28</v>
      </c>
      <c r="P653" s="13">
        <f t="shared" si="26"/>
        <v>45</v>
      </c>
      <c r="Q653" s="15">
        <f t="shared" si="27"/>
        <v>38.911111111111111</v>
      </c>
      <c r="R653" s="13" t="s">
        <v>808</v>
      </c>
      <c r="S653" s="13"/>
      <c r="T653" s="13" t="s">
        <v>2173</v>
      </c>
      <c r="U653" s="13"/>
      <c r="V653" s="13" t="s">
        <v>3980</v>
      </c>
      <c r="W653" s="13"/>
      <c r="X653" s="13" t="s">
        <v>3980</v>
      </c>
      <c r="Y653" s="13" t="s">
        <v>3980</v>
      </c>
      <c r="Z653" s="13" t="s">
        <v>3980</v>
      </c>
      <c r="AC653" s="18"/>
      <c r="AE653" s="13"/>
    </row>
    <row r="654" spans="1:31" x14ac:dyDescent="0.25">
      <c r="A654" s="18" t="s">
        <v>4963</v>
      </c>
      <c r="B654" s="30">
        <v>1998</v>
      </c>
      <c r="C654" s="13">
        <v>125</v>
      </c>
      <c r="D654" s="14">
        <v>0.30199999999999999</v>
      </c>
      <c r="E654" s="14">
        <v>0.28000000000000003</v>
      </c>
      <c r="F654" s="13">
        <v>4</v>
      </c>
      <c r="G654" s="14">
        <v>0.19600000000000001</v>
      </c>
      <c r="I654" s="18" t="s">
        <v>775</v>
      </c>
      <c r="J654" s="18" t="s">
        <v>54</v>
      </c>
      <c r="L654" s="9">
        <f>B654</f>
        <v>1998</v>
      </c>
      <c r="M654" s="11"/>
      <c r="N654" s="30" t="s">
        <v>3128</v>
      </c>
      <c r="O654" s="13" t="s">
        <v>28</v>
      </c>
      <c r="P654" s="13">
        <f t="shared" si="26"/>
        <v>20</v>
      </c>
      <c r="Q654" s="15">
        <f t="shared" si="27"/>
        <v>6.25</v>
      </c>
      <c r="R654" s="13" t="s">
        <v>808</v>
      </c>
      <c r="S654" s="13"/>
      <c r="T654" s="13" t="s">
        <v>2174</v>
      </c>
      <c r="U654" s="13"/>
      <c r="V654" s="13" t="s">
        <v>3980</v>
      </c>
      <c r="W654" s="13"/>
      <c r="X654" s="13" t="s">
        <v>3980</v>
      </c>
      <c r="Y654" s="13" t="s">
        <v>3980</v>
      </c>
      <c r="Z654" s="13" t="s">
        <v>3980</v>
      </c>
      <c r="AC654" s="18"/>
      <c r="AE654" s="13"/>
    </row>
    <row r="655" spans="1:31" x14ac:dyDescent="0.25">
      <c r="A655" s="18" t="s">
        <v>774</v>
      </c>
      <c r="B655" s="30">
        <v>2014</v>
      </c>
      <c r="C655" s="13">
        <v>100</v>
      </c>
      <c r="D655" s="14">
        <v>0.26300000000000001</v>
      </c>
      <c r="E655" s="14">
        <v>0.505</v>
      </c>
      <c r="F655" s="13">
        <v>5</v>
      </c>
      <c r="G655" s="14">
        <v>0.27400000000000002</v>
      </c>
      <c r="H655" s="18" t="s">
        <v>3333</v>
      </c>
      <c r="I655" s="18" t="s">
        <v>775</v>
      </c>
      <c r="J655" s="18" t="s">
        <v>105</v>
      </c>
      <c r="K655" s="4"/>
      <c r="L655" s="9">
        <v>2014</v>
      </c>
      <c r="N655" s="30" t="s">
        <v>3078</v>
      </c>
      <c r="O655" s="13" t="s">
        <v>28</v>
      </c>
      <c r="P655" s="13">
        <f t="shared" si="26"/>
        <v>4</v>
      </c>
      <c r="Q655" s="15">
        <f t="shared" si="27"/>
        <v>25</v>
      </c>
      <c r="R655" s="13" t="s">
        <v>776</v>
      </c>
      <c r="S655" s="13"/>
      <c r="T655" s="13" t="s">
        <v>777</v>
      </c>
      <c r="U655" s="13"/>
      <c r="V655" s="13" t="s">
        <v>3980</v>
      </c>
      <c r="W655" s="13"/>
      <c r="X655" s="13" t="s">
        <v>3980</v>
      </c>
      <c r="Y655" s="13" t="s">
        <v>3980</v>
      </c>
      <c r="Z655" s="13" t="s">
        <v>3980</v>
      </c>
      <c r="AC655" s="18"/>
      <c r="AE655" s="13"/>
    </row>
    <row r="656" spans="1:31" x14ac:dyDescent="0.25">
      <c r="A656" s="18" t="s">
        <v>2869</v>
      </c>
      <c r="B656" s="30">
        <v>2012</v>
      </c>
      <c r="C656" s="13">
        <v>6</v>
      </c>
      <c r="D656" s="14">
        <v>4.8000000000000001E-2</v>
      </c>
      <c r="E656" s="14">
        <v>9.8000000000000004E-2</v>
      </c>
      <c r="F656" s="13">
        <v>2</v>
      </c>
      <c r="G656" s="14">
        <v>7.0999999999999994E-2</v>
      </c>
      <c r="I656" s="18" t="s">
        <v>775</v>
      </c>
      <c r="J656" s="18" t="s">
        <v>105</v>
      </c>
      <c r="K656" s="4"/>
      <c r="L656" s="9">
        <f>B656</f>
        <v>2012</v>
      </c>
      <c r="N656" s="30" t="s">
        <v>3152</v>
      </c>
      <c r="O656" s="13" t="s">
        <v>42</v>
      </c>
      <c r="P656" s="13">
        <f t="shared" si="26"/>
        <v>6</v>
      </c>
      <c r="Q656" s="15">
        <f t="shared" si="27"/>
        <v>1</v>
      </c>
      <c r="R656" s="13" t="s">
        <v>2870</v>
      </c>
      <c r="S656" s="13"/>
      <c r="T656" s="13" t="s">
        <v>2871</v>
      </c>
      <c r="U656" s="13"/>
      <c r="V656" s="13" t="s">
        <v>3980</v>
      </c>
      <c r="W656" s="13"/>
      <c r="X656" s="13" t="s">
        <v>3980</v>
      </c>
      <c r="Y656" s="13" t="s">
        <v>3980</v>
      </c>
      <c r="Z656" s="13" t="s">
        <v>3980</v>
      </c>
      <c r="AC656" s="18"/>
      <c r="AE656" s="13"/>
    </row>
    <row r="657" spans="1:31" x14ac:dyDescent="0.25">
      <c r="A657" s="18" t="s">
        <v>5038</v>
      </c>
      <c r="B657" s="30">
        <v>1977</v>
      </c>
      <c r="C657" s="13">
        <v>251</v>
      </c>
      <c r="D657" s="14">
        <v>0.41599999999999998</v>
      </c>
      <c r="E657" s="14">
        <v>0.21099999999999999</v>
      </c>
      <c r="F657" s="13">
        <v>8</v>
      </c>
      <c r="G657" s="14">
        <v>0.434</v>
      </c>
      <c r="I657" s="18" t="s">
        <v>775</v>
      </c>
      <c r="J657" s="18" t="s">
        <v>26</v>
      </c>
      <c r="L657" s="9">
        <f>B657</f>
        <v>1977</v>
      </c>
      <c r="N657" s="30" t="s">
        <v>114</v>
      </c>
      <c r="O657" s="13" t="s">
        <v>42</v>
      </c>
      <c r="P657" s="13">
        <f t="shared" si="26"/>
        <v>41</v>
      </c>
      <c r="Q657" s="15">
        <f t="shared" si="27"/>
        <v>6.1219512195121952</v>
      </c>
      <c r="R657" s="13" t="s">
        <v>2631</v>
      </c>
      <c r="S657" s="13"/>
      <c r="T657" s="13" t="s">
        <v>2632</v>
      </c>
      <c r="U657" s="13"/>
      <c r="V657" s="13" t="s">
        <v>3980</v>
      </c>
      <c r="W657" s="13"/>
      <c r="X657" s="13" t="s">
        <v>3980</v>
      </c>
      <c r="Y657" s="13" t="s">
        <v>3980</v>
      </c>
      <c r="Z657" s="13" t="s">
        <v>3980</v>
      </c>
      <c r="AC657" s="18"/>
      <c r="AE657" s="13"/>
    </row>
    <row r="658" spans="1:31" x14ac:dyDescent="0.25">
      <c r="A658" s="18" t="s">
        <v>2434</v>
      </c>
      <c r="B658" s="30">
        <v>2007</v>
      </c>
      <c r="C658" s="13">
        <v>275</v>
      </c>
      <c r="D658" s="14">
        <v>0.43</v>
      </c>
      <c r="E658" s="14">
        <v>0.435</v>
      </c>
      <c r="F658" s="13">
        <v>8</v>
      </c>
      <c r="G658" s="14">
        <v>0.434</v>
      </c>
      <c r="I658" s="26" t="s">
        <v>318</v>
      </c>
      <c r="J658" s="18" t="s">
        <v>54</v>
      </c>
      <c r="L658" s="9">
        <v>2007</v>
      </c>
      <c r="M658" s="11"/>
      <c r="N658" s="30" t="s">
        <v>318</v>
      </c>
      <c r="O658" s="13" t="s">
        <v>42</v>
      </c>
      <c r="P658" s="13">
        <f t="shared" si="26"/>
        <v>11</v>
      </c>
      <c r="Q658" s="15">
        <f t="shared" si="27"/>
        <v>25</v>
      </c>
      <c r="R658" s="13" t="s">
        <v>2435</v>
      </c>
      <c r="S658" s="13"/>
      <c r="T658" s="13" t="s">
        <v>2436</v>
      </c>
      <c r="U658" s="13" t="s">
        <v>2437</v>
      </c>
      <c r="V658" s="13" t="s">
        <v>3980</v>
      </c>
      <c r="W658" s="13"/>
      <c r="X658" s="13" t="s">
        <v>3980</v>
      </c>
      <c r="Y658" s="13" t="s">
        <v>3980</v>
      </c>
      <c r="Z658" s="13" t="s">
        <v>3980</v>
      </c>
      <c r="AC658" s="18"/>
      <c r="AE658" s="13"/>
    </row>
    <row r="659" spans="1:31" x14ac:dyDescent="0.25">
      <c r="A659" s="18" t="s">
        <v>2677</v>
      </c>
      <c r="B659" s="30">
        <v>2009</v>
      </c>
      <c r="C659" s="13">
        <v>137</v>
      </c>
      <c r="D659" s="14">
        <v>0.32</v>
      </c>
      <c r="E659" s="14">
        <v>0.30599999999999999</v>
      </c>
      <c r="F659" s="13">
        <v>6</v>
      </c>
      <c r="G659" s="14">
        <v>0.32200000000000001</v>
      </c>
      <c r="I659" s="26" t="s">
        <v>318</v>
      </c>
      <c r="J659" s="18" t="s">
        <v>54</v>
      </c>
      <c r="K659" s="4"/>
      <c r="L659" s="9">
        <v>2009</v>
      </c>
      <c r="N659" s="30" t="s">
        <v>88</v>
      </c>
      <c r="O659" s="13" t="s">
        <v>28</v>
      </c>
      <c r="P659" s="13">
        <f t="shared" si="26"/>
        <v>9</v>
      </c>
      <c r="Q659" s="15">
        <f t="shared" si="27"/>
        <v>15.222222222222221</v>
      </c>
      <c r="R659" s="13" t="s">
        <v>2678</v>
      </c>
      <c r="S659" s="13"/>
      <c r="T659" s="13" t="s">
        <v>1575</v>
      </c>
      <c r="U659" s="13" t="s">
        <v>2679</v>
      </c>
      <c r="V659" s="13" t="s">
        <v>3980</v>
      </c>
      <c r="W659" s="13"/>
      <c r="X659" s="13" t="s">
        <v>4600</v>
      </c>
      <c r="Y659" s="13" t="s">
        <v>3980</v>
      </c>
      <c r="Z659" s="13" t="s">
        <v>3980</v>
      </c>
      <c r="AC659" s="18"/>
      <c r="AE659" s="13"/>
    </row>
    <row r="660" spans="1:31" x14ac:dyDescent="0.25">
      <c r="A660" s="18" t="s">
        <v>1573</v>
      </c>
      <c r="B660" s="30">
        <v>2008</v>
      </c>
      <c r="C660" s="13">
        <v>124</v>
      </c>
      <c r="D660" s="14">
        <v>0.3</v>
      </c>
      <c r="E660" s="14">
        <v>0.56399999999999995</v>
      </c>
      <c r="F660" s="13">
        <v>4</v>
      </c>
      <c r="G660" s="14">
        <v>0.19600000000000001</v>
      </c>
      <c r="I660" s="26" t="s">
        <v>318</v>
      </c>
      <c r="J660" s="18" t="s">
        <v>105</v>
      </c>
      <c r="L660" s="9">
        <v>2008</v>
      </c>
      <c r="N660" s="30" t="s">
        <v>88</v>
      </c>
      <c r="O660" s="13" t="s">
        <v>28</v>
      </c>
      <c r="P660" s="13">
        <f t="shared" si="26"/>
        <v>10</v>
      </c>
      <c r="Q660" s="15">
        <f t="shared" si="27"/>
        <v>12.4</v>
      </c>
      <c r="R660" s="13" t="s">
        <v>1574</v>
      </c>
      <c r="S660" s="13"/>
      <c r="T660" s="13" t="s">
        <v>1575</v>
      </c>
      <c r="U660" s="13" t="s">
        <v>1576</v>
      </c>
      <c r="V660" s="13" t="s">
        <v>3980</v>
      </c>
      <c r="W660" s="13"/>
      <c r="X660" s="13" t="s">
        <v>4599</v>
      </c>
      <c r="Y660" s="13" t="s">
        <v>3980</v>
      </c>
      <c r="Z660" s="13" t="s">
        <v>3980</v>
      </c>
      <c r="AC660" s="18"/>
      <c r="AE660" s="13"/>
    </row>
    <row r="661" spans="1:31" x14ac:dyDescent="0.25">
      <c r="A661" s="18" t="s">
        <v>5046</v>
      </c>
      <c r="B661" s="30">
        <v>1971</v>
      </c>
      <c r="C661" s="13">
        <v>389</v>
      </c>
      <c r="D661" s="14">
        <v>0.497</v>
      </c>
      <c r="E661" s="14">
        <v>0.53500000000000003</v>
      </c>
      <c r="F661" s="13">
        <v>11</v>
      </c>
      <c r="G661" s="14">
        <v>0.56000000000000005</v>
      </c>
      <c r="I661" s="26" t="s">
        <v>318</v>
      </c>
      <c r="J661" s="18" t="s">
        <v>54</v>
      </c>
      <c r="L661" s="9">
        <v>1971</v>
      </c>
      <c r="M661" s="11"/>
      <c r="N661" s="30" t="s">
        <v>272</v>
      </c>
      <c r="O661" s="13" t="s">
        <v>28</v>
      </c>
      <c r="P661" s="13">
        <f t="shared" si="26"/>
        <v>47</v>
      </c>
      <c r="Q661" s="15">
        <f t="shared" si="27"/>
        <v>8.2765957446808507</v>
      </c>
      <c r="R661" s="13" t="s">
        <v>2662</v>
      </c>
      <c r="S661" s="13" t="s">
        <v>164</v>
      </c>
      <c r="T661" s="13" t="s">
        <v>2663</v>
      </c>
      <c r="U661" s="13" t="s">
        <v>2664</v>
      </c>
      <c r="V661" s="13" t="s">
        <v>4162</v>
      </c>
      <c r="W661" s="13"/>
      <c r="X661" s="13" t="s">
        <v>4601</v>
      </c>
      <c r="Y661" s="13" t="s">
        <v>3980</v>
      </c>
      <c r="Z661" s="13" t="s">
        <v>3980</v>
      </c>
      <c r="AC661" s="18"/>
      <c r="AE661" s="13"/>
    </row>
    <row r="662" spans="1:31" x14ac:dyDescent="0.25">
      <c r="A662" s="18" t="s">
        <v>1870</v>
      </c>
      <c r="B662" s="30">
        <v>1989</v>
      </c>
      <c r="C662" s="13">
        <v>55</v>
      </c>
      <c r="D662" s="14">
        <v>0.186</v>
      </c>
      <c r="E662" s="14">
        <v>0.154</v>
      </c>
      <c r="F662" s="13">
        <v>4</v>
      </c>
      <c r="G662" s="14">
        <v>0.19600000000000001</v>
      </c>
      <c r="I662" s="26" t="s">
        <v>318</v>
      </c>
      <c r="J662" s="18" t="s">
        <v>54</v>
      </c>
      <c r="L662" s="9">
        <v>1989</v>
      </c>
      <c r="N662" s="30" t="s">
        <v>192</v>
      </c>
      <c r="O662" s="13" t="s">
        <v>42</v>
      </c>
      <c r="P662" s="13">
        <f t="shared" si="26"/>
        <v>29</v>
      </c>
      <c r="Q662" s="15">
        <f t="shared" si="27"/>
        <v>1.896551724137931</v>
      </c>
      <c r="R662" s="13" t="s">
        <v>1871</v>
      </c>
      <c r="S662" s="13"/>
      <c r="T662" s="13" t="s">
        <v>1872</v>
      </c>
      <c r="U662" s="13" t="s">
        <v>1873</v>
      </c>
      <c r="V662" s="13" t="s">
        <v>3980</v>
      </c>
      <c r="W662" s="13"/>
      <c r="X662" s="13" t="s">
        <v>4602</v>
      </c>
      <c r="Y662" s="13" t="s">
        <v>3980</v>
      </c>
      <c r="Z662" s="13" t="s">
        <v>3980</v>
      </c>
      <c r="AC662" s="18"/>
      <c r="AE662" s="13"/>
    </row>
    <row r="663" spans="1:31" x14ac:dyDescent="0.25">
      <c r="A663" s="18" t="s">
        <v>317</v>
      </c>
      <c r="B663" s="30">
        <v>1987</v>
      </c>
      <c r="C663" s="13">
        <v>2009</v>
      </c>
      <c r="D663" s="14">
        <v>0.83499999999999996</v>
      </c>
      <c r="E663" s="14">
        <v>0.64400000000000002</v>
      </c>
      <c r="F663" s="13">
        <v>24</v>
      </c>
      <c r="G663" s="14">
        <v>0.88300000000000001</v>
      </c>
      <c r="H663" s="18" t="s">
        <v>3221</v>
      </c>
      <c r="I663" s="26" t="s">
        <v>318</v>
      </c>
      <c r="J663" s="18" t="s">
        <v>26</v>
      </c>
      <c r="L663" s="9">
        <v>1987</v>
      </c>
      <c r="N663" s="30" t="s">
        <v>123</v>
      </c>
      <c r="O663" s="13" t="s">
        <v>28</v>
      </c>
      <c r="P663" s="13">
        <f t="shared" si="26"/>
        <v>31</v>
      </c>
      <c r="Q663" s="15">
        <f t="shared" si="27"/>
        <v>64.806451612903231</v>
      </c>
      <c r="R663" s="13" t="s">
        <v>319</v>
      </c>
      <c r="S663" s="13"/>
      <c r="T663" s="13" t="s">
        <v>320</v>
      </c>
      <c r="U663" s="13" t="s">
        <v>321</v>
      </c>
      <c r="V663" s="13" t="s">
        <v>4163</v>
      </c>
      <c r="W663" s="13"/>
      <c r="X663" s="13" t="s">
        <v>4603</v>
      </c>
      <c r="Y663" s="13" t="s">
        <v>3980</v>
      </c>
      <c r="Z663" s="13" t="s">
        <v>3980</v>
      </c>
      <c r="AC663" s="18"/>
      <c r="AE663" s="13"/>
    </row>
    <row r="664" spans="1:31" x14ac:dyDescent="0.25">
      <c r="A664" s="18" t="s">
        <v>5058</v>
      </c>
      <c r="B664" s="30">
        <v>1973</v>
      </c>
      <c r="C664" s="13">
        <v>310</v>
      </c>
      <c r="D664" s="14">
        <v>0.45100000000000001</v>
      </c>
      <c r="E664" s="14">
        <v>0.24099999999999999</v>
      </c>
      <c r="F664" s="13">
        <v>9</v>
      </c>
      <c r="G664" s="14">
        <v>0.48799999999999999</v>
      </c>
      <c r="I664" s="26" t="s">
        <v>318</v>
      </c>
      <c r="J664" s="18" t="s">
        <v>26</v>
      </c>
      <c r="K664" s="4"/>
      <c r="L664" s="9">
        <v>1973</v>
      </c>
      <c r="N664" s="30" t="s">
        <v>72</v>
      </c>
      <c r="O664" s="13" t="s">
        <v>28</v>
      </c>
      <c r="P664" s="13">
        <f t="shared" si="26"/>
        <v>45</v>
      </c>
      <c r="Q664" s="15">
        <f t="shared" si="27"/>
        <v>6.8888888888888893</v>
      </c>
      <c r="R664" s="13" t="s">
        <v>2730</v>
      </c>
      <c r="S664" s="13" t="s">
        <v>215</v>
      </c>
      <c r="T664" s="13" t="s">
        <v>2731</v>
      </c>
      <c r="U664" s="13" t="s">
        <v>2732</v>
      </c>
      <c r="V664" s="13" t="s">
        <v>3980</v>
      </c>
      <c r="W664" s="13"/>
      <c r="X664" s="13" t="s">
        <v>3980</v>
      </c>
      <c r="Y664" s="13" t="s">
        <v>3980</v>
      </c>
      <c r="Z664" s="13" t="s">
        <v>3980</v>
      </c>
      <c r="AC664" s="18"/>
      <c r="AE664" s="13"/>
    </row>
    <row r="665" spans="1:31" x14ac:dyDescent="0.25">
      <c r="A665" s="18" t="s">
        <v>2416</v>
      </c>
      <c r="B665" s="30">
        <v>1966</v>
      </c>
      <c r="C665" s="13">
        <v>223</v>
      </c>
      <c r="D665" s="14">
        <v>0.39500000000000002</v>
      </c>
      <c r="E665" s="14">
        <v>0.19500000000000001</v>
      </c>
      <c r="F665" s="13">
        <v>7</v>
      </c>
      <c r="G665" s="14">
        <v>0.39300000000000002</v>
      </c>
      <c r="I665" s="26" t="s">
        <v>318</v>
      </c>
      <c r="J665" s="18" t="s">
        <v>26</v>
      </c>
      <c r="L665" s="9">
        <v>1966</v>
      </c>
      <c r="N665" s="30" t="s">
        <v>2417</v>
      </c>
      <c r="O665" s="13" t="s">
        <v>28</v>
      </c>
      <c r="P665" s="13">
        <f t="shared" si="26"/>
        <v>52</v>
      </c>
      <c r="Q665" s="15">
        <f t="shared" si="27"/>
        <v>4.2884615384615383</v>
      </c>
      <c r="R665" s="13" t="s">
        <v>2418</v>
      </c>
      <c r="S665" s="13"/>
      <c r="T665" s="13" t="s">
        <v>2419</v>
      </c>
      <c r="U665" s="13" t="s">
        <v>2420</v>
      </c>
      <c r="V665" s="13" t="s">
        <v>4164</v>
      </c>
      <c r="W665" s="13"/>
      <c r="X665" s="13" t="s">
        <v>4604</v>
      </c>
      <c r="Y665" s="13" t="s">
        <v>3980</v>
      </c>
      <c r="Z665" s="13" t="s">
        <v>3980</v>
      </c>
      <c r="AC665" s="18"/>
      <c r="AE665" s="13"/>
    </row>
    <row r="666" spans="1:31" x14ac:dyDescent="0.25">
      <c r="A666" s="18" t="s">
        <v>1163</v>
      </c>
      <c r="B666" s="30">
        <v>2014</v>
      </c>
      <c r="C666" s="13">
        <v>18</v>
      </c>
      <c r="D666" s="14">
        <v>9.5000000000000001E-2</v>
      </c>
      <c r="E666" s="14">
        <v>0.189</v>
      </c>
      <c r="F666" s="13">
        <v>2</v>
      </c>
      <c r="G666" s="14">
        <v>7.0999999999999994E-2</v>
      </c>
      <c r="H666" s="18" t="s">
        <v>3447</v>
      </c>
      <c r="I666" s="26" t="s">
        <v>318</v>
      </c>
      <c r="J666" s="18" t="s">
        <v>105</v>
      </c>
      <c r="L666" s="9">
        <v>2014</v>
      </c>
      <c r="M666" s="11"/>
      <c r="N666" s="30" t="s">
        <v>830</v>
      </c>
      <c r="O666" s="13" t="s">
        <v>42</v>
      </c>
      <c r="P666" s="13">
        <f t="shared" si="26"/>
        <v>4</v>
      </c>
      <c r="Q666" s="15">
        <f t="shared" si="27"/>
        <v>4.5</v>
      </c>
      <c r="R666" s="13" t="s">
        <v>1164</v>
      </c>
      <c r="S666" s="13"/>
      <c r="T666" s="13" t="s">
        <v>1165</v>
      </c>
      <c r="U666" s="13"/>
      <c r="V666" s="13" t="s">
        <v>3980</v>
      </c>
      <c r="W666" s="13"/>
      <c r="X666" s="13" t="s">
        <v>4605</v>
      </c>
      <c r="Y666" s="13" t="s">
        <v>3980</v>
      </c>
      <c r="Z666" s="13" t="s">
        <v>3980</v>
      </c>
      <c r="AC666" s="18"/>
      <c r="AE666" s="13"/>
    </row>
    <row r="667" spans="1:31" x14ac:dyDescent="0.25">
      <c r="A667" s="18" t="s">
        <v>1797</v>
      </c>
      <c r="B667" s="30">
        <v>2002</v>
      </c>
      <c r="C667" s="13">
        <v>352</v>
      </c>
      <c r="D667" s="14">
        <v>0.47599999999999998</v>
      </c>
      <c r="E667" s="14">
        <v>0.79600000000000004</v>
      </c>
      <c r="F667" s="13">
        <v>3</v>
      </c>
      <c r="G667" s="14">
        <v>0.13100000000000001</v>
      </c>
      <c r="I667" s="26" t="s">
        <v>318</v>
      </c>
      <c r="J667" s="4" t="s">
        <v>105</v>
      </c>
      <c r="K667" s="4"/>
      <c r="L667" s="9">
        <v>2002</v>
      </c>
      <c r="N667" s="30" t="s">
        <v>168</v>
      </c>
      <c r="O667" s="13" t="s">
        <v>42</v>
      </c>
      <c r="P667" s="13">
        <f t="shared" si="26"/>
        <v>16</v>
      </c>
      <c r="Q667" s="15">
        <f t="shared" si="27"/>
        <v>22</v>
      </c>
      <c r="R667" s="13" t="s">
        <v>1798</v>
      </c>
      <c r="S667" s="13"/>
      <c r="T667" s="13" t="s">
        <v>1799</v>
      </c>
      <c r="U667" s="13" t="s">
        <v>1800</v>
      </c>
      <c r="V667" s="13" t="s">
        <v>3980</v>
      </c>
      <c r="W667" s="13"/>
      <c r="X667" s="13" t="s">
        <v>4606</v>
      </c>
      <c r="Y667" s="13" t="s">
        <v>3980</v>
      </c>
      <c r="Z667" s="13" t="s">
        <v>3980</v>
      </c>
      <c r="AC667" s="18"/>
      <c r="AE667" s="13"/>
    </row>
    <row r="668" spans="1:31" x14ac:dyDescent="0.25">
      <c r="A668" s="18" t="s">
        <v>581</v>
      </c>
      <c r="B668" s="30">
        <v>1998</v>
      </c>
      <c r="C668" s="13">
        <v>751</v>
      </c>
      <c r="D668" s="14">
        <v>0.64500000000000002</v>
      </c>
      <c r="E668" s="14">
        <v>0.38200000000000001</v>
      </c>
      <c r="F668" s="13">
        <v>14</v>
      </c>
      <c r="G668" s="14">
        <v>0.67900000000000005</v>
      </c>
      <c r="H668" s="18" t="s">
        <v>3285</v>
      </c>
      <c r="I668" s="26" t="s">
        <v>318</v>
      </c>
      <c r="J668" s="4" t="s">
        <v>26</v>
      </c>
      <c r="L668" s="9">
        <v>1998</v>
      </c>
      <c r="M668" s="11"/>
      <c r="N668" s="30" t="s">
        <v>123</v>
      </c>
      <c r="O668" s="13" t="s">
        <v>42</v>
      </c>
      <c r="P668" s="13">
        <f t="shared" si="26"/>
        <v>20</v>
      </c>
      <c r="Q668" s="15">
        <f t="shared" si="27"/>
        <v>37.549999999999997</v>
      </c>
      <c r="R668" s="13" t="s">
        <v>582</v>
      </c>
      <c r="S668" s="13"/>
      <c r="T668" s="13" t="s">
        <v>583</v>
      </c>
      <c r="U668" s="13" t="s">
        <v>584</v>
      </c>
      <c r="V668" s="13" t="s">
        <v>4165</v>
      </c>
      <c r="W668" s="13"/>
      <c r="X668" s="13" t="s">
        <v>4607</v>
      </c>
      <c r="Y668" s="13" t="s">
        <v>3980</v>
      </c>
      <c r="Z668" s="13" t="s">
        <v>3980</v>
      </c>
      <c r="AC668" s="18"/>
      <c r="AE668" s="13"/>
    </row>
    <row r="669" spans="1:31" x14ac:dyDescent="0.25">
      <c r="A669" s="18" t="s">
        <v>987</v>
      </c>
      <c r="B669" s="30">
        <v>1997</v>
      </c>
      <c r="C669" s="13">
        <v>2096</v>
      </c>
      <c r="D669" s="14">
        <v>0.84399999999999997</v>
      </c>
      <c r="E669" s="14">
        <v>0.66200000000000003</v>
      </c>
      <c r="F669" s="13">
        <v>23</v>
      </c>
      <c r="G669" s="14">
        <v>0.874</v>
      </c>
      <c r="H669" s="18" t="s">
        <v>3619</v>
      </c>
      <c r="I669" s="26" t="s">
        <v>988</v>
      </c>
      <c r="J669" s="18" t="s">
        <v>26</v>
      </c>
      <c r="L669" s="9">
        <v>1997</v>
      </c>
      <c r="M669" s="11"/>
      <c r="N669" s="30" t="s">
        <v>277</v>
      </c>
      <c r="O669" s="13" t="s">
        <v>42</v>
      </c>
      <c r="P669" s="13">
        <f t="shared" si="26"/>
        <v>21</v>
      </c>
      <c r="Q669" s="15">
        <f t="shared" si="27"/>
        <v>99.80952380952381</v>
      </c>
      <c r="R669" s="13" t="s">
        <v>989</v>
      </c>
      <c r="S669" s="13"/>
      <c r="T669" s="13" t="s">
        <v>990</v>
      </c>
      <c r="U669" s="13" t="s">
        <v>991</v>
      </c>
      <c r="V669" s="13" t="s">
        <v>4166</v>
      </c>
      <c r="W669" s="13"/>
      <c r="X669" s="13" t="s">
        <v>4608</v>
      </c>
      <c r="Y669" s="13" t="s">
        <v>3980</v>
      </c>
      <c r="Z669" s="13" t="s">
        <v>3980</v>
      </c>
      <c r="AC669" s="18"/>
      <c r="AE669" s="13"/>
    </row>
    <row r="670" spans="1:31" x14ac:dyDescent="0.25">
      <c r="A670" s="18" t="s">
        <v>1231</v>
      </c>
      <c r="B670" s="30">
        <v>1982</v>
      </c>
      <c r="C670" s="13">
        <v>3</v>
      </c>
      <c r="D670" s="14">
        <v>3.2000000000000001E-2</v>
      </c>
      <c r="E670" s="14">
        <v>1.2999999999999999E-2</v>
      </c>
      <c r="F670" s="13">
        <v>1</v>
      </c>
      <c r="G670" s="14">
        <v>0</v>
      </c>
      <c r="H670" s="18" t="s">
        <v>3627</v>
      </c>
      <c r="I670" s="26" t="s">
        <v>988</v>
      </c>
      <c r="J670" s="18" t="s">
        <v>26</v>
      </c>
      <c r="K670" s="4"/>
      <c r="L670" s="9">
        <v>1982</v>
      </c>
      <c r="N670" s="30" t="s">
        <v>47</v>
      </c>
      <c r="O670" s="13" t="s">
        <v>28</v>
      </c>
      <c r="P670" s="13">
        <f t="shared" si="26"/>
        <v>36</v>
      </c>
      <c r="Q670" s="15">
        <f t="shared" si="27"/>
        <v>8.3333333333333329E-2</v>
      </c>
      <c r="R670" s="13" t="s">
        <v>386</v>
      </c>
      <c r="S670" s="13"/>
      <c r="T670" s="13" t="s">
        <v>488</v>
      </c>
      <c r="U670" s="13" t="s">
        <v>1232</v>
      </c>
      <c r="V670" s="13" t="s">
        <v>3980</v>
      </c>
      <c r="W670" s="13"/>
      <c r="X670" s="13" t="s">
        <v>4609</v>
      </c>
      <c r="Y670" s="13" t="s">
        <v>3980</v>
      </c>
      <c r="Z670" s="13" t="s">
        <v>3980</v>
      </c>
      <c r="AC670" s="18"/>
      <c r="AE670" s="16"/>
    </row>
    <row r="671" spans="1:31" x14ac:dyDescent="0.25">
      <c r="A671" s="18" t="s">
        <v>1168</v>
      </c>
      <c r="B671" s="30">
        <v>2001</v>
      </c>
      <c r="C671" s="13">
        <v>332</v>
      </c>
      <c r="D671" s="14">
        <v>0.46600000000000003</v>
      </c>
      <c r="E671" s="14">
        <v>0.48099999999999998</v>
      </c>
      <c r="F671" s="13">
        <v>7</v>
      </c>
      <c r="G671" s="14">
        <v>0.39300000000000002</v>
      </c>
      <c r="H671" s="18" t="s">
        <v>3449</v>
      </c>
      <c r="I671" s="26" t="s">
        <v>988</v>
      </c>
      <c r="J671" s="18" t="s">
        <v>54</v>
      </c>
      <c r="K671" s="4"/>
      <c r="L671" s="9">
        <v>2001</v>
      </c>
      <c r="N671" s="30" t="s">
        <v>1169</v>
      </c>
      <c r="O671" s="13" t="s">
        <v>42</v>
      </c>
      <c r="P671" s="13">
        <f t="shared" si="26"/>
        <v>17</v>
      </c>
      <c r="Q671" s="15">
        <f t="shared" si="27"/>
        <v>19.529411764705884</v>
      </c>
      <c r="R671" s="13" t="s">
        <v>1170</v>
      </c>
      <c r="S671" s="13"/>
      <c r="T671" s="13" t="s">
        <v>1171</v>
      </c>
      <c r="U671" s="13" t="s">
        <v>1172</v>
      </c>
      <c r="V671" s="13" t="s">
        <v>4167</v>
      </c>
      <c r="W671" s="13"/>
      <c r="X671" s="13" t="s">
        <v>4610</v>
      </c>
      <c r="Y671" s="13" t="s">
        <v>3980</v>
      </c>
      <c r="Z671" s="13" t="s">
        <v>3980</v>
      </c>
      <c r="AC671" s="18"/>
      <c r="AE671" s="13"/>
    </row>
    <row r="672" spans="1:31" x14ac:dyDescent="0.25">
      <c r="A672" s="18" t="s">
        <v>1523</v>
      </c>
      <c r="B672" s="30">
        <v>1992</v>
      </c>
      <c r="C672" s="13">
        <v>1371</v>
      </c>
      <c r="D672" s="14">
        <v>0.76400000000000001</v>
      </c>
      <c r="E672" s="14">
        <v>0.53</v>
      </c>
      <c r="F672" s="13">
        <v>19</v>
      </c>
      <c r="G672" s="14">
        <v>0.81299999999999994</v>
      </c>
      <c r="I672" s="26" t="s">
        <v>988</v>
      </c>
      <c r="J672" s="4" t="s">
        <v>26</v>
      </c>
      <c r="L672" s="9">
        <v>1992</v>
      </c>
      <c r="N672" s="30" t="s">
        <v>1524</v>
      </c>
      <c r="O672" s="13" t="s">
        <v>28</v>
      </c>
      <c r="P672" s="13">
        <f t="shared" si="26"/>
        <v>26</v>
      </c>
      <c r="Q672" s="15">
        <f t="shared" si="27"/>
        <v>52.730769230769234</v>
      </c>
      <c r="R672" s="13" t="s">
        <v>153</v>
      </c>
      <c r="S672" s="13"/>
      <c r="T672" s="13" t="s">
        <v>1525</v>
      </c>
      <c r="U672" s="13" t="s">
        <v>1526</v>
      </c>
      <c r="V672" s="13" t="s">
        <v>3980</v>
      </c>
      <c r="W672" s="13"/>
      <c r="X672" s="13" t="s">
        <v>3980</v>
      </c>
      <c r="Y672" s="13" t="s">
        <v>3980</v>
      </c>
      <c r="Z672" s="13" t="s">
        <v>3980</v>
      </c>
      <c r="AC672" s="18"/>
      <c r="AE672" s="16"/>
    </row>
    <row r="673" spans="1:31" x14ac:dyDescent="0.25">
      <c r="A673" s="18" t="s">
        <v>5031</v>
      </c>
      <c r="B673" s="30">
        <v>2008</v>
      </c>
      <c r="C673" s="13">
        <v>315</v>
      </c>
      <c r="D673" s="14">
        <v>0.45700000000000002</v>
      </c>
      <c r="E673" s="14">
        <v>0.46700000000000003</v>
      </c>
      <c r="F673" s="13">
        <v>13</v>
      </c>
      <c r="G673" s="14">
        <v>0.64500000000000002</v>
      </c>
      <c r="H673" s="18" t="s">
        <v>3704</v>
      </c>
      <c r="I673" s="26" t="s">
        <v>988</v>
      </c>
      <c r="J673" s="18" t="s">
        <v>54</v>
      </c>
      <c r="K673" s="4"/>
      <c r="L673" s="9">
        <v>2008</v>
      </c>
      <c r="N673" s="30" t="s">
        <v>168</v>
      </c>
      <c r="O673" s="13" t="s">
        <v>28</v>
      </c>
      <c r="P673" s="13">
        <f t="shared" si="26"/>
        <v>10</v>
      </c>
      <c r="Q673" s="15">
        <f t="shared" si="27"/>
        <v>31.5</v>
      </c>
      <c r="R673" s="13" t="s">
        <v>84</v>
      </c>
      <c r="S673" s="13" t="s">
        <v>90</v>
      </c>
      <c r="T673" s="13" t="s">
        <v>2525</v>
      </c>
      <c r="U673" s="13" t="s">
        <v>2526</v>
      </c>
      <c r="V673" s="13" t="s">
        <v>4168</v>
      </c>
      <c r="W673" s="13"/>
      <c r="X673" s="13" t="s">
        <v>4611</v>
      </c>
      <c r="Y673" s="13" t="s">
        <v>3980</v>
      </c>
      <c r="Z673" s="13" t="s">
        <v>3980</v>
      </c>
      <c r="AC673" s="18"/>
      <c r="AE673" s="18"/>
    </row>
    <row r="674" spans="1:31" x14ac:dyDescent="0.25">
      <c r="A674" s="18" t="s">
        <v>2444</v>
      </c>
      <c r="B674" s="30">
        <v>2008</v>
      </c>
      <c r="C674" s="13">
        <v>471</v>
      </c>
      <c r="D674" s="14">
        <v>0.54100000000000004</v>
      </c>
      <c r="E674" s="14">
        <v>0.59499999999999997</v>
      </c>
      <c r="F674" s="13">
        <v>11</v>
      </c>
      <c r="G674" s="14">
        <v>0.56000000000000005</v>
      </c>
      <c r="I674" s="26" t="s">
        <v>988</v>
      </c>
      <c r="J674" s="18" t="s">
        <v>54</v>
      </c>
      <c r="L674" s="9">
        <v>2008</v>
      </c>
      <c r="N674" s="30" t="s">
        <v>83</v>
      </c>
      <c r="O674" s="13" t="s">
        <v>28</v>
      </c>
      <c r="P674" s="13">
        <f t="shared" si="26"/>
        <v>10</v>
      </c>
      <c r="Q674" s="15">
        <f t="shared" si="27"/>
        <v>47.1</v>
      </c>
      <c r="R674" s="13" t="s">
        <v>2445</v>
      </c>
      <c r="S674" s="13"/>
      <c r="T674" s="13" t="s">
        <v>2446</v>
      </c>
      <c r="U674" s="13" t="s">
        <v>2447</v>
      </c>
      <c r="V674" s="13" t="s">
        <v>3980</v>
      </c>
      <c r="W674" s="13"/>
      <c r="X674" s="13" t="s">
        <v>4612</v>
      </c>
      <c r="Y674" s="13" t="s">
        <v>3980</v>
      </c>
      <c r="Z674" s="13" t="s">
        <v>3980</v>
      </c>
      <c r="AC674" s="18"/>
      <c r="AE674" s="16"/>
    </row>
    <row r="675" spans="1:31" x14ac:dyDescent="0.25">
      <c r="A675" s="18" t="s">
        <v>2061</v>
      </c>
      <c r="B675" s="30">
        <v>1996</v>
      </c>
      <c r="C675" s="13">
        <v>61</v>
      </c>
      <c r="D675" s="14">
        <v>0.19800000000000001</v>
      </c>
      <c r="E675" s="14">
        <v>0.107</v>
      </c>
      <c r="F675" s="13">
        <v>4</v>
      </c>
      <c r="G675" s="14">
        <v>0.19600000000000001</v>
      </c>
      <c r="I675" s="26" t="s">
        <v>988</v>
      </c>
      <c r="J675" s="18" t="s">
        <v>26</v>
      </c>
      <c r="L675" s="9">
        <v>1996</v>
      </c>
      <c r="M675" s="11"/>
      <c r="N675" s="30" t="s">
        <v>40</v>
      </c>
      <c r="O675" s="13" t="s">
        <v>28</v>
      </c>
      <c r="P675" s="13">
        <f t="shared" si="26"/>
        <v>22</v>
      </c>
      <c r="Q675" s="15">
        <f t="shared" si="27"/>
        <v>2.7727272727272729</v>
      </c>
      <c r="R675" s="13" t="s">
        <v>2062</v>
      </c>
      <c r="S675" s="13"/>
      <c r="T675" s="13" t="s">
        <v>2063</v>
      </c>
      <c r="U675" s="13" t="s">
        <v>2064</v>
      </c>
      <c r="V675" s="13" t="s">
        <v>4169</v>
      </c>
      <c r="W675" s="13"/>
      <c r="X675" s="13" t="s">
        <v>4613</v>
      </c>
      <c r="Y675" s="13" t="s">
        <v>3980</v>
      </c>
      <c r="Z675" s="13" t="s">
        <v>3980</v>
      </c>
      <c r="AC675" s="18"/>
      <c r="AE675" s="16"/>
    </row>
    <row r="676" spans="1:31" x14ac:dyDescent="0.25">
      <c r="A676" s="18" t="s">
        <v>5050</v>
      </c>
      <c r="B676" s="30">
        <v>2006</v>
      </c>
      <c r="C676" s="13">
        <v>356</v>
      </c>
      <c r="D676" s="14">
        <v>0.47799999999999998</v>
      </c>
      <c r="E676" s="14">
        <v>0.498</v>
      </c>
      <c r="F676" s="13">
        <v>9</v>
      </c>
      <c r="G676" s="14">
        <v>0.48799999999999999</v>
      </c>
      <c r="H676" s="18" t="s">
        <v>3699</v>
      </c>
      <c r="I676" s="18" t="s">
        <v>988</v>
      </c>
      <c r="J676" s="18" t="s">
        <v>54</v>
      </c>
      <c r="L676" s="9">
        <v>2006</v>
      </c>
      <c r="M676" s="11"/>
      <c r="N676" s="30" t="s">
        <v>2672</v>
      </c>
      <c r="O676" s="13" t="s">
        <v>28</v>
      </c>
      <c r="P676" s="13">
        <f t="shared" si="26"/>
        <v>12</v>
      </c>
      <c r="Q676" s="15">
        <f t="shared" si="27"/>
        <v>29.666666666666668</v>
      </c>
      <c r="R676" s="13" t="s">
        <v>811</v>
      </c>
      <c r="S676" s="13" t="s">
        <v>30</v>
      </c>
      <c r="T676" s="13" t="s">
        <v>2673</v>
      </c>
      <c r="U676" s="13" t="s">
        <v>2674</v>
      </c>
      <c r="V676" s="13" t="s">
        <v>4170</v>
      </c>
      <c r="W676" s="13"/>
      <c r="X676" s="13" t="s">
        <v>4614</v>
      </c>
      <c r="Y676" s="13" t="s">
        <v>3980</v>
      </c>
      <c r="Z676" s="13" t="s">
        <v>3980</v>
      </c>
      <c r="AC676" s="18"/>
      <c r="AE676" s="13"/>
    </row>
    <row r="677" spans="1:31" x14ac:dyDescent="0.25">
      <c r="A677" s="18" t="s">
        <v>2619</v>
      </c>
      <c r="B677" s="30">
        <v>2011</v>
      </c>
      <c r="C677" s="13">
        <v>35</v>
      </c>
      <c r="D677" s="14">
        <v>0.13800000000000001</v>
      </c>
      <c r="E677" s="14">
        <v>0.28000000000000003</v>
      </c>
      <c r="F677" s="13">
        <v>2</v>
      </c>
      <c r="G677" s="14">
        <v>7.0999999999999994E-2</v>
      </c>
      <c r="I677" s="18" t="s">
        <v>181</v>
      </c>
      <c r="J677" t="s">
        <v>105</v>
      </c>
      <c r="K677" s="4"/>
      <c r="L677" s="9">
        <v>2011</v>
      </c>
      <c r="N677" s="30" t="s">
        <v>219</v>
      </c>
      <c r="O677" s="13" t="s">
        <v>28</v>
      </c>
      <c r="P677" s="13">
        <f t="shared" si="26"/>
        <v>7</v>
      </c>
      <c r="Q677" s="15">
        <f t="shared" si="27"/>
        <v>5</v>
      </c>
      <c r="R677" s="13" t="s">
        <v>2620</v>
      </c>
      <c r="S677" s="13"/>
      <c r="T677" s="13" t="s">
        <v>2621</v>
      </c>
      <c r="U677" s="13" t="s">
        <v>2622</v>
      </c>
      <c r="V677" s="13" t="s">
        <v>3980</v>
      </c>
      <c r="W677" s="13"/>
      <c r="X677" s="13" t="s">
        <v>4615</v>
      </c>
      <c r="Y677" s="13" t="s">
        <v>3980</v>
      </c>
      <c r="Z677" s="13" t="s">
        <v>3980</v>
      </c>
      <c r="AC677" s="18"/>
      <c r="AE677" s="16"/>
    </row>
    <row r="678" spans="1:31" x14ac:dyDescent="0.25">
      <c r="A678" s="18" t="s">
        <v>2310</v>
      </c>
      <c r="B678" s="30">
        <v>1995</v>
      </c>
      <c r="C678" s="13">
        <v>1497</v>
      </c>
      <c r="D678" s="14">
        <v>0.78300000000000003</v>
      </c>
      <c r="E678" s="14">
        <v>0.56699999999999995</v>
      </c>
      <c r="F678" s="13">
        <v>16</v>
      </c>
      <c r="G678" s="14">
        <v>0.74099999999999999</v>
      </c>
      <c r="H678" s="18" t="s">
        <v>4988</v>
      </c>
      <c r="I678" s="18" t="s">
        <v>181</v>
      </c>
      <c r="J678" s="18" t="s">
        <v>26</v>
      </c>
      <c r="L678" s="9">
        <v>1995</v>
      </c>
      <c r="N678" s="30" t="s">
        <v>40</v>
      </c>
      <c r="O678" s="13" t="s">
        <v>28</v>
      </c>
      <c r="P678" s="13">
        <f t="shared" si="26"/>
        <v>23</v>
      </c>
      <c r="Q678" s="15">
        <f t="shared" si="27"/>
        <v>65.086956521739125</v>
      </c>
      <c r="R678" s="13" t="s">
        <v>2311</v>
      </c>
      <c r="S678" s="13"/>
      <c r="T678" s="13" t="s">
        <v>2312</v>
      </c>
      <c r="U678" s="13" t="s">
        <v>2313</v>
      </c>
      <c r="V678" s="13" t="s">
        <v>3980</v>
      </c>
      <c r="W678" s="13"/>
      <c r="X678" s="13" t="s">
        <v>4616</v>
      </c>
      <c r="Y678" s="13" t="s">
        <v>3980</v>
      </c>
      <c r="Z678" s="13" t="s">
        <v>3980</v>
      </c>
      <c r="AC678" s="18"/>
      <c r="AE678" s="13"/>
    </row>
    <row r="679" spans="1:31" x14ac:dyDescent="0.25">
      <c r="A679" s="18" t="s">
        <v>810</v>
      </c>
      <c r="B679" s="30">
        <v>2005</v>
      </c>
      <c r="C679" s="13">
        <v>535</v>
      </c>
      <c r="D679" s="14">
        <v>0.56799999999999995</v>
      </c>
      <c r="E679" s="14">
        <v>0.63800000000000001</v>
      </c>
      <c r="F679" s="13">
        <v>10</v>
      </c>
      <c r="G679" s="14">
        <v>0.52200000000000002</v>
      </c>
      <c r="H679" s="18" t="s">
        <v>3342</v>
      </c>
      <c r="I679" s="18" t="s">
        <v>181</v>
      </c>
      <c r="J679" s="18" t="s">
        <v>54</v>
      </c>
      <c r="K679" s="4"/>
      <c r="L679" s="9">
        <v>2005</v>
      </c>
      <c r="N679" s="30" t="s">
        <v>67</v>
      </c>
      <c r="O679" s="13" t="s">
        <v>28</v>
      </c>
      <c r="P679" s="13">
        <f t="shared" si="26"/>
        <v>13</v>
      </c>
      <c r="Q679" s="15">
        <f t="shared" si="27"/>
        <v>41.153846153846153</v>
      </c>
      <c r="R679" s="13" t="s">
        <v>811</v>
      </c>
      <c r="S679" s="13"/>
      <c r="T679" s="13" t="s">
        <v>812</v>
      </c>
      <c r="U679" s="13" t="s">
        <v>813</v>
      </c>
      <c r="V679" s="13" t="s">
        <v>4171</v>
      </c>
      <c r="W679" s="13"/>
      <c r="X679" s="13" t="s">
        <v>4617</v>
      </c>
      <c r="Y679" s="13" t="s">
        <v>3980</v>
      </c>
      <c r="Z679" s="13" t="s">
        <v>3980</v>
      </c>
      <c r="AC679" s="18"/>
      <c r="AE679" s="13"/>
    </row>
    <row r="680" spans="1:31" x14ac:dyDescent="0.25">
      <c r="A680" s="18" t="s">
        <v>4959</v>
      </c>
      <c r="B680" s="30">
        <v>1986</v>
      </c>
      <c r="C680" s="13">
        <v>879</v>
      </c>
      <c r="D680" s="14">
        <v>0.68</v>
      </c>
      <c r="E680" s="14">
        <v>0.42299999999999999</v>
      </c>
      <c r="F680" s="13">
        <v>14</v>
      </c>
      <c r="G680" s="14">
        <v>0.67900000000000005</v>
      </c>
      <c r="I680" s="18" t="s">
        <v>181</v>
      </c>
      <c r="J680" s="18" t="s">
        <v>26</v>
      </c>
      <c r="L680" s="9">
        <v>1986</v>
      </c>
      <c r="N680" s="30" t="s">
        <v>181</v>
      </c>
      <c r="O680" s="13" t="s">
        <v>28</v>
      </c>
      <c r="P680" s="13">
        <f t="shared" si="26"/>
        <v>32</v>
      </c>
      <c r="Q680" s="15">
        <f t="shared" si="27"/>
        <v>27.46875</v>
      </c>
      <c r="R680" s="13" t="s">
        <v>808</v>
      </c>
      <c r="S680" s="13" t="s">
        <v>62</v>
      </c>
      <c r="T680" s="13" t="s">
        <v>2184</v>
      </c>
      <c r="U680" s="13" t="s">
        <v>2185</v>
      </c>
      <c r="V680" s="13" t="s">
        <v>4172</v>
      </c>
      <c r="W680" s="13"/>
      <c r="X680" s="13" t="s">
        <v>3980</v>
      </c>
      <c r="Y680" s="13" t="s">
        <v>3980</v>
      </c>
      <c r="Z680" s="13" t="s">
        <v>3980</v>
      </c>
      <c r="AC680" s="18"/>
      <c r="AE680" s="13"/>
    </row>
    <row r="681" spans="1:31" x14ac:dyDescent="0.25">
      <c r="A681" s="18" t="s">
        <v>5115</v>
      </c>
      <c r="B681" s="30">
        <v>1986</v>
      </c>
      <c r="C681" s="13">
        <v>435</v>
      </c>
      <c r="D681" s="14">
        <v>0.52500000000000002</v>
      </c>
      <c r="E681" s="14">
        <v>0.28199999999999997</v>
      </c>
      <c r="F681" s="13">
        <v>9</v>
      </c>
      <c r="G681" s="14">
        <v>0.48799999999999999</v>
      </c>
      <c r="H681" s="18" t="s">
        <v>4819</v>
      </c>
      <c r="I681" s="18" t="s">
        <v>181</v>
      </c>
      <c r="J681" s="4" t="s">
        <v>26</v>
      </c>
      <c r="L681" s="9">
        <v>1986</v>
      </c>
      <c r="N681" s="30" t="s">
        <v>41</v>
      </c>
      <c r="O681" s="13" t="s">
        <v>42</v>
      </c>
      <c r="P681" s="13">
        <f t="shared" si="26"/>
        <v>32</v>
      </c>
      <c r="Q681" s="15">
        <f t="shared" si="27"/>
        <v>13.59375</v>
      </c>
      <c r="R681" s="13" t="s">
        <v>535</v>
      </c>
      <c r="S681" s="13" t="s">
        <v>669</v>
      </c>
      <c r="T681" s="13" t="s">
        <v>2948</v>
      </c>
      <c r="U681" s="13"/>
      <c r="V681" s="13" t="s">
        <v>4173</v>
      </c>
      <c r="W681" s="13"/>
      <c r="X681" s="13" t="s">
        <v>4618</v>
      </c>
      <c r="Y681" s="13" t="s">
        <v>3980</v>
      </c>
      <c r="Z681" s="13" t="s">
        <v>3980</v>
      </c>
      <c r="AC681" s="18"/>
      <c r="AE681" s="16"/>
    </row>
    <row r="682" spans="1:31" x14ac:dyDescent="0.25">
      <c r="A682" s="18" t="s">
        <v>459</v>
      </c>
      <c r="B682" s="30">
        <v>2008</v>
      </c>
      <c r="C682" s="13">
        <v>946</v>
      </c>
      <c r="D682" s="14">
        <v>0.69099999999999995</v>
      </c>
      <c r="E682" s="14">
        <v>0.78700000000000003</v>
      </c>
      <c r="F682" s="13">
        <v>12</v>
      </c>
      <c r="G682" s="14">
        <v>0.60899999999999999</v>
      </c>
      <c r="H682" s="18" t="s">
        <v>3254</v>
      </c>
      <c r="I682" s="18" t="s">
        <v>181</v>
      </c>
      <c r="J682" s="18" t="s">
        <v>54</v>
      </c>
      <c r="K682" s="4"/>
      <c r="L682" s="9">
        <v>2008</v>
      </c>
      <c r="N682" s="30" t="s">
        <v>94</v>
      </c>
      <c r="O682" s="13" t="s">
        <v>28</v>
      </c>
      <c r="P682" s="13">
        <f t="shared" si="26"/>
        <v>10</v>
      </c>
      <c r="Q682" s="15">
        <f t="shared" si="27"/>
        <v>94.6</v>
      </c>
      <c r="R682" s="13" t="s">
        <v>460</v>
      </c>
      <c r="S682" s="13"/>
      <c r="T682" s="13" t="s">
        <v>461</v>
      </c>
      <c r="U682" s="13" t="s">
        <v>462</v>
      </c>
      <c r="V682" s="13" t="s">
        <v>4174</v>
      </c>
      <c r="W682" s="13"/>
      <c r="X682" s="13" t="s">
        <v>4619</v>
      </c>
      <c r="Y682" s="13" t="s">
        <v>3980</v>
      </c>
      <c r="Z682" s="13" t="s">
        <v>3980</v>
      </c>
      <c r="AC682" s="18"/>
      <c r="AE682" s="13"/>
    </row>
    <row r="683" spans="1:31" x14ac:dyDescent="0.25">
      <c r="A683" s="18" t="s">
        <v>2283</v>
      </c>
      <c r="B683" s="30">
        <v>1999</v>
      </c>
      <c r="C683" s="13">
        <v>715</v>
      </c>
      <c r="D683" s="14">
        <v>0.63</v>
      </c>
      <c r="E683" s="14">
        <v>0.36199999999999999</v>
      </c>
      <c r="F683" s="13">
        <v>14</v>
      </c>
      <c r="G683" s="14">
        <v>0.67900000000000005</v>
      </c>
      <c r="I683" s="18" t="s">
        <v>181</v>
      </c>
      <c r="J683" s="18" t="s">
        <v>26</v>
      </c>
      <c r="K683" s="4"/>
      <c r="L683" s="9">
        <v>1999</v>
      </c>
      <c r="N683" s="30" t="s">
        <v>41</v>
      </c>
      <c r="O683" s="13" t="s">
        <v>28</v>
      </c>
      <c r="P683" s="13">
        <f t="shared" si="26"/>
        <v>19</v>
      </c>
      <c r="Q683" s="15">
        <f t="shared" si="27"/>
        <v>37.631578947368418</v>
      </c>
      <c r="R683" s="13" t="s">
        <v>2284</v>
      </c>
      <c r="S683" s="13"/>
      <c r="T683" s="13" t="s">
        <v>2285</v>
      </c>
      <c r="U683" s="13" t="s">
        <v>2286</v>
      </c>
      <c r="V683" s="13" t="s">
        <v>3980</v>
      </c>
      <c r="W683" s="13"/>
      <c r="X683" s="13" t="s">
        <v>4620</v>
      </c>
      <c r="Y683" s="13" t="s">
        <v>3980</v>
      </c>
      <c r="Z683" s="13" t="s">
        <v>3980</v>
      </c>
      <c r="AC683" s="18"/>
      <c r="AE683" s="16"/>
    </row>
    <row r="684" spans="1:31" x14ac:dyDescent="0.25">
      <c r="A684" s="18" t="s">
        <v>2270</v>
      </c>
      <c r="B684" s="30">
        <v>2011</v>
      </c>
      <c r="C684" s="13">
        <v>84</v>
      </c>
      <c r="D684" s="14">
        <v>0.23499999999999999</v>
      </c>
      <c r="E684" s="14">
        <v>0.45200000000000001</v>
      </c>
      <c r="F684" s="13">
        <v>5</v>
      </c>
      <c r="G684" s="14">
        <v>0.27400000000000002</v>
      </c>
      <c r="H684" s="18" t="s">
        <v>4980</v>
      </c>
      <c r="I684" s="18" t="s">
        <v>181</v>
      </c>
      <c r="J684" s="4" t="s">
        <v>105</v>
      </c>
      <c r="L684" s="9">
        <f>B684</f>
        <v>2011</v>
      </c>
      <c r="N684" s="30" t="s">
        <v>152</v>
      </c>
      <c r="O684" s="13" t="s">
        <v>42</v>
      </c>
      <c r="P684" s="13">
        <f t="shared" si="26"/>
        <v>7</v>
      </c>
      <c r="Q684" s="15">
        <f t="shared" si="27"/>
        <v>12</v>
      </c>
      <c r="R684" s="13" t="s">
        <v>2268</v>
      </c>
      <c r="S684" s="13"/>
      <c r="T684" s="13" t="s">
        <v>347</v>
      </c>
      <c r="U684" s="13"/>
      <c r="V684" s="13" t="s">
        <v>3980</v>
      </c>
      <c r="W684" s="13"/>
      <c r="X684" s="13" t="s">
        <v>3980</v>
      </c>
      <c r="Y684" s="13" t="s">
        <v>3980</v>
      </c>
      <c r="Z684" s="13" t="s">
        <v>3980</v>
      </c>
      <c r="AC684" s="18"/>
      <c r="AE684" s="13"/>
    </row>
    <row r="685" spans="1:31" x14ac:dyDescent="0.25">
      <c r="A685" s="18" t="s">
        <v>4806</v>
      </c>
      <c r="B685" s="30">
        <v>1993</v>
      </c>
      <c r="C685" s="8">
        <v>2273</v>
      </c>
      <c r="D685" s="14">
        <v>0.85599999999999998</v>
      </c>
      <c r="E685" s="14">
        <v>0.69</v>
      </c>
      <c r="F685" s="8">
        <v>27</v>
      </c>
      <c r="G685" s="14">
        <v>0.90700000000000003</v>
      </c>
      <c r="H685" s="18" t="s">
        <v>5142</v>
      </c>
      <c r="I685" s="18" t="s">
        <v>181</v>
      </c>
      <c r="J685" s="18" t="s">
        <v>26</v>
      </c>
      <c r="L685" s="9">
        <v>1993</v>
      </c>
      <c r="M685" s="11"/>
      <c r="N685" s="30" t="s">
        <v>4812</v>
      </c>
      <c r="O685" s="13" t="s">
        <v>42</v>
      </c>
      <c r="P685" s="13">
        <f t="shared" si="26"/>
        <v>25</v>
      </c>
      <c r="Q685" s="15">
        <f t="shared" si="27"/>
        <v>90.92</v>
      </c>
      <c r="R685" s="13" t="s">
        <v>4809</v>
      </c>
      <c r="S685" s="13"/>
      <c r="T685" s="13" t="s">
        <v>4808</v>
      </c>
      <c r="U685" s="13"/>
      <c r="V685" s="27" t="s">
        <v>4810</v>
      </c>
      <c r="W685" s="13"/>
      <c r="X685" s="27" t="s">
        <v>4811</v>
      </c>
      <c r="Y685" s="36" t="s">
        <v>4807</v>
      </c>
      <c r="Z685" s="13"/>
      <c r="AC685" s="18"/>
      <c r="AE685" s="13"/>
    </row>
    <row r="686" spans="1:31" x14ac:dyDescent="0.25">
      <c r="A686" s="18" t="s">
        <v>1652</v>
      </c>
      <c r="B686" s="30">
        <v>2008</v>
      </c>
      <c r="C686" s="13">
        <v>250</v>
      </c>
      <c r="D686" s="14">
        <v>0.41499999999999998</v>
      </c>
      <c r="E686" s="14">
        <v>0.42399999999999999</v>
      </c>
      <c r="F686" s="13">
        <v>6</v>
      </c>
      <c r="G686" s="14">
        <v>0.32200000000000001</v>
      </c>
      <c r="I686" s="18" t="s">
        <v>181</v>
      </c>
      <c r="J686" s="18" t="s">
        <v>54</v>
      </c>
      <c r="L686" s="9">
        <v>2008</v>
      </c>
      <c r="M686" s="11"/>
      <c r="N686" s="30" t="s">
        <v>564</v>
      </c>
      <c r="O686" s="13" t="s">
        <v>42</v>
      </c>
      <c r="P686" s="13">
        <f t="shared" si="26"/>
        <v>10</v>
      </c>
      <c r="Q686" s="15">
        <f t="shared" si="27"/>
        <v>25</v>
      </c>
      <c r="R686" s="13" t="s">
        <v>1648</v>
      </c>
      <c r="S686" s="13"/>
      <c r="T686" s="13" t="s">
        <v>1653</v>
      </c>
      <c r="U686" s="13" t="s">
        <v>1654</v>
      </c>
      <c r="V686" s="13" t="s">
        <v>4175</v>
      </c>
      <c r="W686" s="13"/>
      <c r="X686" s="13" t="s">
        <v>4621</v>
      </c>
      <c r="Y686" s="13" t="s">
        <v>3980</v>
      </c>
      <c r="Z686" s="13" t="s">
        <v>3980</v>
      </c>
      <c r="AC686" s="18"/>
      <c r="AE686" s="13"/>
    </row>
    <row r="687" spans="1:31" x14ac:dyDescent="0.25">
      <c r="A687" s="18" t="s">
        <v>4885</v>
      </c>
      <c r="B687" s="30">
        <v>1971</v>
      </c>
      <c r="C687" s="13">
        <v>1030</v>
      </c>
      <c r="D687" s="14">
        <v>0.70499999999999996</v>
      </c>
      <c r="E687" s="14">
        <v>0.46</v>
      </c>
      <c r="F687" s="13">
        <v>16</v>
      </c>
      <c r="G687" s="14">
        <v>0.74099999999999999</v>
      </c>
      <c r="I687" s="18" t="s">
        <v>181</v>
      </c>
      <c r="J687" s="18" t="s">
        <v>26</v>
      </c>
      <c r="L687" s="9">
        <v>1971</v>
      </c>
      <c r="M687" s="11"/>
      <c r="N687" s="30" t="s">
        <v>1818</v>
      </c>
      <c r="O687" s="13" t="s">
        <v>28</v>
      </c>
      <c r="P687" s="13">
        <f t="shared" si="26"/>
        <v>47</v>
      </c>
      <c r="Q687" s="15">
        <f t="shared" si="27"/>
        <v>21.914893617021278</v>
      </c>
      <c r="R687" s="13" t="s">
        <v>173</v>
      </c>
      <c r="S687" s="13" t="s">
        <v>1024</v>
      </c>
      <c r="T687" s="13" t="s">
        <v>1819</v>
      </c>
      <c r="U687" s="13" t="s">
        <v>1820</v>
      </c>
      <c r="V687" s="13" t="s">
        <v>3980</v>
      </c>
      <c r="W687" s="13"/>
      <c r="X687" s="13" t="s">
        <v>4622</v>
      </c>
      <c r="Y687" s="13" t="s">
        <v>3980</v>
      </c>
      <c r="Z687" s="13" t="s">
        <v>3980</v>
      </c>
      <c r="AC687" s="18"/>
      <c r="AE687" s="13"/>
    </row>
    <row r="688" spans="1:31" x14ac:dyDescent="0.25">
      <c r="A688" s="18" t="s">
        <v>2104</v>
      </c>
      <c r="B688" s="30">
        <v>1998</v>
      </c>
      <c r="C688" s="13">
        <v>487</v>
      </c>
      <c r="D688" s="14">
        <v>0.54800000000000004</v>
      </c>
      <c r="E688" s="14">
        <v>0.61299999999999999</v>
      </c>
      <c r="F688" s="13">
        <v>8</v>
      </c>
      <c r="G688" s="14">
        <v>0.434</v>
      </c>
      <c r="I688" s="18" t="s">
        <v>181</v>
      </c>
      <c r="J688" s="18" t="s">
        <v>54</v>
      </c>
      <c r="L688" s="9">
        <v>1998</v>
      </c>
      <c r="N688" s="30" t="s">
        <v>146</v>
      </c>
      <c r="O688" s="13" t="s">
        <v>42</v>
      </c>
      <c r="P688" s="13">
        <f t="shared" si="26"/>
        <v>20</v>
      </c>
      <c r="Q688" s="15">
        <f t="shared" si="27"/>
        <v>24.35</v>
      </c>
      <c r="R688" s="13" t="s">
        <v>2101</v>
      </c>
      <c r="S688" s="13"/>
      <c r="T688" s="13" t="s">
        <v>1502</v>
      </c>
      <c r="U688" s="13" t="s">
        <v>2105</v>
      </c>
      <c r="V688" s="13" t="s">
        <v>4176</v>
      </c>
      <c r="W688" s="13"/>
      <c r="X688" s="13" t="s">
        <v>4623</v>
      </c>
      <c r="Y688" s="13" t="s">
        <v>3980</v>
      </c>
      <c r="Z688" s="13" t="s">
        <v>3980</v>
      </c>
      <c r="AC688" s="18"/>
      <c r="AE688" s="16"/>
    </row>
    <row r="689" spans="1:31" x14ac:dyDescent="0.25">
      <c r="A689" s="18" t="s">
        <v>2894</v>
      </c>
      <c r="B689" s="30">
        <v>2006</v>
      </c>
      <c r="C689" s="13">
        <v>136</v>
      </c>
      <c r="D689" s="14">
        <v>0.32</v>
      </c>
      <c r="E689" s="14">
        <v>0.59199999999999997</v>
      </c>
      <c r="F689" s="13">
        <v>6</v>
      </c>
      <c r="G689" s="14">
        <v>0.32200000000000001</v>
      </c>
      <c r="I689" s="18" t="s">
        <v>181</v>
      </c>
      <c r="J689" s="18" t="s">
        <v>105</v>
      </c>
      <c r="K689" s="4"/>
      <c r="L689" s="9">
        <v>2006</v>
      </c>
      <c r="N689" s="30" t="s">
        <v>67</v>
      </c>
      <c r="O689" s="13" t="s">
        <v>42</v>
      </c>
      <c r="P689" s="13">
        <f t="shared" si="26"/>
        <v>12</v>
      </c>
      <c r="Q689" s="15">
        <f t="shared" si="27"/>
        <v>11.333333333333334</v>
      </c>
      <c r="R689" s="13" t="s">
        <v>1054</v>
      </c>
      <c r="S689" s="13"/>
      <c r="T689" s="13" t="s">
        <v>2895</v>
      </c>
      <c r="U689" s="13" t="s">
        <v>2896</v>
      </c>
      <c r="V689" s="13" t="s">
        <v>3980</v>
      </c>
      <c r="W689" s="13"/>
      <c r="X689" s="13" t="s">
        <v>4624</v>
      </c>
      <c r="Y689" s="13" t="s">
        <v>3980</v>
      </c>
      <c r="Z689" s="13" t="s">
        <v>3980</v>
      </c>
      <c r="AC689" s="18"/>
      <c r="AE689" s="18"/>
    </row>
    <row r="690" spans="1:31" x14ac:dyDescent="0.25">
      <c r="A690" s="18" t="s">
        <v>526</v>
      </c>
      <c r="B690" s="30">
        <v>2000</v>
      </c>
      <c r="C690" s="13">
        <v>15502</v>
      </c>
      <c r="D690" s="14">
        <v>0.99099999999999999</v>
      </c>
      <c r="E690" s="14">
        <v>0.97899999999999998</v>
      </c>
      <c r="F690" s="13">
        <v>45</v>
      </c>
      <c r="G690" s="14">
        <v>0.98699999999999999</v>
      </c>
      <c r="H690" s="18" t="s">
        <v>3270</v>
      </c>
      <c r="I690" s="18" t="s">
        <v>181</v>
      </c>
      <c r="J690" s="18" t="s">
        <v>26</v>
      </c>
      <c r="K690" s="4"/>
      <c r="L690" s="9">
        <v>2000</v>
      </c>
      <c r="N690" s="30" t="s">
        <v>181</v>
      </c>
      <c r="O690" s="13" t="s">
        <v>28</v>
      </c>
      <c r="P690" s="13">
        <f t="shared" si="26"/>
        <v>18</v>
      </c>
      <c r="Q690" s="15">
        <f t="shared" si="27"/>
        <v>861.22222222222217</v>
      </c>
      <c r="R690" s="13" t="s">
        <v>527</v>
      </c>
      <c r="S690" s="13"/>
      <c r="T690" s="13" t="s">
        <v>528</v>
      </c>
      <c r="U690" s="13" t="s">
        <v>529</v>
      </c>
      <c r="V690" s="13" t="s">
        <v>4177</v>
      </c>
      <c r="W690" s="13"/>
      <c r="X690" s="13" t="s">
        <v>4625</v>
      </c>
      <c r="Y690" s="13" t="s">
        <v>3980</v>
      </c>
      <c r="Z690" s="13" t="s">
        <v>3980</v>
      </c>
      <c r="AC690" s="18"/>
      <c r="AE690" s="13"/>
    </row>
    <row r="691" spans="1:31" x14ac:dyDescent="0.25">
      <c r="A691" s="18" t="s">
        <v>180</v>
      </c>
      <c r="B691" s="30">
        <v>2010</v>
      </c>
      <c r="C691" s="13">
        <v>743</v>
      </c>
      <c r="D691" s="14">
        <v>0.64200000000000002</v>
      </c>
      <c r="E691" s="14">
        <v>0.93600000000000005</v>
      </c>
      <c r="F691" s="13">
        <v>10</v>
      </c>
      <c r="G691" s="14">
        <v>0.52200000000000002</v>
      </c>
      <c r="H691" s="18" t="s">
        <v>3189</v>
      </c>
      <c r="I691" s="18" t="s">
        <v>181</v>
      </c>
      <c r="J691" s="18" t="s">
        <v>105</v>
      </c>
      <c r="K691" s="4"/>
      <c r="L691" s="9">
        <v>2010</v>
      </c>
      <c r="N691" s="30" t="s">
        <v>119</v>
      </c>
      <c r="O691" s="13" t="s">
        <v>28</v>
      </c>
      <c r="P691" s="13">
        <f t="shared" si="26"/>
        <v>8</v>
      </c>
      <c r="Q691" s="15">
        <f t="shared" si="27"/>
        <v>92.875</v>
      </c>
      <c r="R691" s="13" t="s">
        <v>182</v>
      </c>
      <c r="S691" s="13"/>
      <c r="T691" s="13" t="s">
        <v>183</v>
      </c>
      <c r="U691" s="13" t="s">
        <v>184</v>
      </c>
      <c r="V691" s="13" t="s">
        <v>4178</v>
      </c>
      <c r="W691" s="13"/>
      <c r="X691" s="13" t="s">
        <v>4626</v>
      </c>
      <c r="Y691" s="13" t="s">
        <v>3980</v>
      </c>
      <c r="Z691" s="13" t="s">
        <v>3980</v>
      </c>
      <c r="AC691" s="18"/>
      <c r="AE691" s="13"/>
    </row>
    <row r="692" spans="1:31" x14ac:dyDescent="0.25">
      <c r="A692" s="18" t="s">
        <v>2836</v>
      </c>
      <c r="B692" s="30">
        <v>2008</v>
      </c>
      <c r="C692" s="13">
        <v>76</v>
      </c>
      <c r="D692" s="14">
        <v>0.22500000000000001</v>
      </c>
      <c r="E692" s="14">
        <v>0.186</v>
      </c>
      <c r="F692" s="13">
        <v>5</v>
      </c>
      <c r="G692" s="14">
        <v>0.27400000000000002</v>
      </c>
      <c r="I692" s="18" t="s">
        <v>181</v>
      </c>
      <c r="J692" s="18" t="s">
        <v>54</v>
      </c>
      <c r="L692" s="9">
        <v>2008</v>
      </c>
      <c r="N692" s="30" t="s">
        <v>77</v>
      </c>
      <c r="O692" s="13" t="s">
        <v>28</v>
      </c>
      <c r="P692" s="13">
        <f t="shared" si="26"/>
        <v>10</v>
      </c>
      <c r="Q692" s="15">
        <f t="shared" si="27"/>
        <v>7.6</v>
      </c>
      <c r="R692" s="13" t="s">
        <v>2837</v>
      </c>
      <c r="S692" s="13"/>
      <c r="T692" s="13" t="s">
        <v>2838</v>
      </c>
      <c r="U692" s="13" t="s">
        <v>2839</v>
      </c>
      <c r="V692" s="13" t="s">
        <v>3980</v>
      </c>
      <c r="W692" s="13"/>
      <c r="X692" s="13" t="s">
        <v>4627</v>
      </c>
      <c r="Y692" s="13" t="s">
        <v>3980</v>
      </c>
      <c r="Z692" s="13" t="s">
        <v>3980</v>
      </c>
      <c r="AC692" s="18"/>
      <c r="AE692" s="13"/>
    </row>
    <row r="693" spans="1:31" x14ac:dyDescent="0.25">
      <c r="A693" s="18" t="s">
        <v>2688</v>
      </c>
      <c r="B693" s="30">
        <v>1998</v>
      </c>
      <c r="C693" s="13">
        <v>1604</v>
      </c>
      <c r="D693" s="14">
        <v>0.8</v>
      </c>
      <c r="E693" s="14">
        <v>0.59199999999999997</v>
      </c>
      <c r="F693" s="13">
        <v>17</v>
      </c>
      <c r="G693" s="14">
        <v>0.76400000000000001</v>
      </c>
      <c r="I693" s="18" t="s">
        <v>181</v>
      </c>
      <c r="J693" s="18" t="s">
        <v>26</v>
      </c>
      <c r="L693" s="9">
        <v>1998</v>
      </c>
      <c r="N693" s="30" t="s">
        <v>152</v>
      </c>
      <c r="O693" s="13" t="s">
        <v>42</v>
      </c>
      <c r="P693" s="13">
        <f t="shared" si="26"/>
        <v>20</v>
      </c>
      <c r="Q693" s="15">
        <f t="shared" si="27"/>
        <v>80.2</v>
      </c>
      <c r="R693" s="13" t="s">
        <v>244</v>
      </c>
      <c r="S693" s="13"/>
      <c r="T693" s="13" t="s">
        <v>2689</v>
      </c>
      <c r="U693" s="13" t="s">
        <v>2690</v>
      </c>
      <c r="V693" s="13" t="s">
        <v>4179</v>
      </c>
      <c r="W693" s="13"/>
      <c r="X693" s="13" t="s">
        <v>4628</v>
      </c>
      <c r="Y693" s="13" t="s">
        <v>3980</v>
      </c>
      <c r="Z693" s="13" t="s">
        <v>3980</v>
      </c>
      <c r="AC693" s="18"/>
      <c r="AE693" s="13"/>
    </row>
    <row r="694" spans="1:31" x14ac:dyDescent="0.25">
      <c r="A694" s="18" t="s">
        <v>1779</v>
      </c>
      <c r="B694" s="30">
        <v>1986</v>
      </c>
      <c r="C694" s="13">
        <v>95</v>
      </c>
      <c r="D694" s="14">
        <v>0.25600000000000001</v>
      </c>
      <c r="E694" s="14">
        <v>0.22</v>
      </c>
      <c r="F694" s="13">
        <v>4</v>
      </c>
      <c r="G694" s="14">
        <v>0.19600000000000001</v>
      </c>
      <c r="I694" s="18" t="s">
        <v>181</v>
      </c>
      <c r="J694" s="18" t="s">
        <v>54</v>
      </c>
      <c r="K694" s="4"/>
      <c r="L694" s="9">
        <v>1986</v>
      </c>
      <c r="N694" s="30" t="s">
        <v>67</v>
      </c>
      <c r="O694" s="13" t="s">
        <v>28</v>
      </c>
      <c r="P694" s="13">
        <f t="shared" si="26"/>
        <v>32</v>
      </c>
      <c r="Q694" s="15">
        <f t="shared" si="27"/>
        <v>2.96875</v>
      </c>
      <c r="R694" s="13" t="s">
        <v>1780</v>
      </c>
      <c r="S694" s="13"/>
      <c r="T694" s="13" t="s">
        <v>1781</v>
      </c>
      <c r="U694" s="13" t="s">
        <v>1782</v>
      </c>
      <c r="V694" s="13" t="s">
        <v>3980</v>
      </c>
      <c r="W694" s="13"/>
      <c r="X694" s="13" t="s">
        <v>4629</v>
      </c>
      <c r="Y694" s="13" t="s">
        <v>3980</v>
      </c>
      <c r="Z694" s="13" t="s">
        <v>3980</v>
      </c>
      <c r="AC694" s="18"/>
      <c r="AE694" s="16"/>
    </row>
    <row r="695" spans="1:31" x14ac:dyDescent="0.25">
      <c r="A695" s="18" t="s">
        <v>2575</v>
      </c>
      <c r="B695" s="30">
        <v>2005</v>
      </c>
      <c r="C695" s="13">
        <v>1079</v>
      </c>
      <c r="D695" s="14">
        <v>0.71499999999999997</v>
      </c>
      <c r="E695" s="14">
        <v>0.82199999999999995</v>
      </c>
      <c r="F695" s="13">
        <v>15</v>
      </c>
      <c r="G695" s="14">
        <v>0.71</v>
      </c>
      <c r="I695" s="18" t="s">
        <v>181</v>
      </c>
      <c r="J695" s="18" t="s">
        <v>54</v>
      </c>
      <c r="K695" s="4"/>
      <c r="L695" s="9">
        <v>2005</v>
      </c>
      <c r="N695" s="30" t="s">
        <v>77</v>
      </c>
      <c r="O695" s="13" t="s">
        <v>42</v>
      </c>
      <c r="P695" s="13">
        <f t="shared" si="26"/>
        <v>13</v>
      </c>
      <c r="Q695" s="15">
        <f t="shared" si="27"/>
        <v>83</v>
      </c>
      <c r="R695" s="13" t="s">
        <v>2576</v>
      </c>
      <c r="S695" s="13"/>
      <c r="T695" s="13" t="s">
        <v>2577</v>
      </c>
      <c r="U695" s="13" t="s">
        <v>2578</v>
      </c>
      <c r="V695" s="13" t="s">
        <v>4180</v>
      </c>
      <c r="W695" s="13"/>
      <c r="X695" s="13" t="s">
        <v>4630</v>
      </c>
      <c r="Y695" s="13" t="s">
        <v>3980</v>
      </c>
      <c r="Z695" s="13" t="s">
        <v>3980</v>
      </c>
      <c r="AC695" s="18"/>
      <c r="AE695" s="16"/>
    </row>
    <row r="696" spans="1:31" s="18" customFormat="1" x14ac:dyDescent="0.25">
      <c r="A696" s="18" t="s">
        <v>1568</v>
      </c>
      <c r="B696" s="30">
        <v>2007</v>
      </c>
      <c r="C696" s="13">
        <v>321</v>
      </c>
      <c r="D696" s="14">
        <v>0.46300000000000002</v>
      </c>
      <c r="E696" s="14">
        <v>0.47199999999999998</v>
      </c>
      <c r="F696" s="13">
        <v>10</v>
      </c>
      <c r="G696" s="14">
        <v>0.52200000000000002</v>
      </c>
      <c r="H696" s="18" t="s">
        <v>3584</v>
      </c>
      <c r="I696" s="26" t="s">
        <v>40</v>
      </c>
      <c r="J696" s="18" t="s">
        <v>54</v>
      </c>
      <c r="L696" s="9">
        <v>2007</v>
      </c>
      <c r="M696" s="11"/>
      <c r="N696" s="30" t="s">
        <v>187</v>
      </c>
      <c r="O696" s="13" t="s">
        <v>28</v>
      </c>
      <c r="P696" s="13">
        <f t="shared" si="26"/>
        <v>11</v>
      </c>
      <c r="Q696" s="15">
        <f t="shared" si="27"/>
        <v>29.181818181818183</v>
      </c>
      <c r="R696" s="13" t="s">
        <v>1569</v>
      </c>
      <c r="S696" s="13"/>
      <c r="T696" s="13" t="s">
        <v>1570</v>
      </c>
      <c r="U696" s="13" t="s">
        <v>1571</v>
      </c>
      <c r="V696" s="27" t="s">
        <v>4181</v>
      </c>
      <c r="W696" s="13"/>
      <c r="X696" s="13" t="s">
        <v>4631</v>
      </c>
      <c r="Y696" s="13" t="s">
        <v>3980</v>
      </c>
      <c r="Z696" s="13" t="s">
        <v>3980</v>
      </c>
      <c r="AE696" s="13"/>
    </row>
    <row r="697" spans="1:31" x14ac:dyDescent="0.25">
      <c r="A697" s="18" t="s">
        <v>863</v>
      </c>
      <c r="B697" s="30">
        <v>2008</v>
      </c>
      <c r="C697" s="13">
        <v>390</v>
      </c>
      <c r="D697" s="14">
        <v>0.499</v>
      </c>
      <c r="E697" s="14">
        <v>0.81399999999999995</v>
      </c>
      <c r="F697" s="13">
        <v>8</v>
      </c>
      <c r="G697" s="14">
        <v>0.434</v>
      </c>
      <c r="H697" s="18" t="s">
        <v>3359</v>
      </c>
      <c r="I697" s="26" t="s">
        <v>40</v>
      </c>
      <c r="J697" s="4" t="s">
        <v>105</v>
      </c>
      <c r="K697" s="4"/>
      <c r="L697" s="9">
        <v>2008</v>
      </c>
      <c r="N697" s="30" t="s">
        <v>181</v>
      </c>
      <c r="O697" s="13" t="s">
        <v>28</v>
      </c>
      <c r="P697" s="13">
        <f t="shared" si="26"/>
        <v>10</v>
      </c>
      <c r="Q697" s="15">
        <f t="shared" si="27"/>
        <v>39</v>
      </c>
      <c r="R697" s="13" t="s">
        <v>558</v>
      </c>
      <c r="S697" s="13"/>
      <c r="T697" s="13" t="s">
        <v>864</v>
      </c>
      <c r="U697" s="13" t="s">
        <v>865</v>
      </c>
      <c r="V697" s="13" t="s">
        <v>3980</v>
      </c>
      <c r="W697" s="13"/>
      <c r="X697" s="13" t="s">
        <v>3980</v>
      </c>
      <c r="Y697" s="13" t="s">
        <v>3980</v>
      </c>
      <c r="Z697" s="13" t="s">
        <v>3980</v>
      </c>
      <c r="AC697" s="18"/>
      <c r="AE697" s="16"/>
    </row>
    <row r="698" spans="1:31" x14ac:dyDescent="0.25">
      <c r="A698" s="18" t="s">
        <v>5021</v>
      </c>
      <c r="B698" s="30">
        <v>1997</v>
      </c>
      <c r="C698" s="13">
        <v>435</v>
      </c>
      <c r="D698" s="14">
        <v>0.52500000000000002</v>
      </c>
      <c r="E698" s="14">
        <v>0.56999999999999995</v>
      </c>
      <c r="F698" s="13">
        <v>10</v>
      </c>
      <c r="G698" s="14">
        <v>0.52200000000000002</v>
      </c>
      <c r="H698" s="18" t="s">
        <v>3201</v>
      </c>
      <c r="I698" s="26" t="s">
        <v>40</v>
      </c>
      <c r="J698" s="18" t="s">
        <v>54</v>
      </c>
      <c r="L698" s="9">
        <v>1997</v>
      </c>
      <c r="N698" s="30" t="s">
        <v>111</v>
      </c>
      <c r="O698" s="13" t="s">
        <v>42</v>
      </c>
      <c r="P698" s="13">
        <f t="shared" si="26"/>
        <v>21</v>
      </c>
      <c r="Q698" s="15">
        <f t="shared" si="27"/>
        <v>20.714285714285715</v>
      </c>
      <c r="R698" s="13" t="s">
        <v>238</v>
      </c>
      <c r="S698" s="13" t="s">
        <v>239</v>
      </c>
      <c r="T698" s="13" t="s">
        <v>240</v>
      </c>
      <c r="U698" s="13" t="s">
        <v>241</v>
      </c>
      <c r="V698" s="13" t="s">
        <v>3980</v>
      </c>
      <c r="W698" s="13"/>
      <c r="X698" s="13" t="s">
        <v>4632</v>
      </c>
      <c r="Y698" s="13" t="s">
        <v>3980</v>
      </c>
      <c r="Z698" s="13" t="s">
        <v>3980</v>
      </c>
      <c r="AC698" s="18"/>
      <c r="AE698" s="16"/>
    </row>
    <row r="699" spans="1:31" x14ac:dyDescent="0.25">
      <c r="A699" s="18" t="s">
        <v>537</v>
      </c>
      <c r="B699" s="30">
        <v>2011</v>
      </c>
      <c r="C699" s="13">
        <v>60</v>
      </c>
      <c r="D699" s="14">
        <v>0.19700000000000001</v>
      </c>
      <c r="E699" s="14">
        <v>0.378</v>
      </c>
      <c r="F699" s="13">
        <v>4</v>
      </c>
      <c r="G699" s="14">
        <v>0.19600000000000001</v>
      </c>
      <c r="H699" s="18" t="s">
        <v>3273</v>
      </c>
      <c r="I699" s="26" t="s">
        <v>40</v>
      </c>
      <c r="J699" s="18" t="s">
        <v>105</v>
      </c>
      <c r="K699" s="4"/>
      <c r="L699" s="9">
        <v>2011</v>
      </c>
      <c r="N699" s="30" t="s">
        <v>181</v>
      </c>
      <c r="O699" s="13" t="s">
        <v>28</v>
      </c>
      <c r="P699" s="13">
        <f t="shared" si="26"/>
        <v>7</v>
      </c>
      <c r="Q699" s="15">
        <f t="shared" si="27"/>
        <v>8.5714285714285712</v>
      </c>
      <c r="R699" s="13" t="s">
        <v>153</v>
      </c>
      <c r="S699" s="13"/>
      <c r="T699" s="13" t="s">
        <v>538</v>
      </c>
      <c r="U699" s="13" t="s">
        <v>539</v>
      </c>
      <c r="V699" s="13" t="s">
        <v>3980</v>
      </c>
      <c r="W699" s="13"/>
      <c r="X699" s="13" t="s">
        <v>4633</v>
      </c>
      <c r="Y699" s="13" t="s">
        <v>3980</v>
      </c>
      <c r="Z699" s="13" t="s">
        <v>3980</v>
      </c>
      <c r="AC699" s="18"/>
      <c r="AE699" s="13"/>
    </row>
    <row r="700" spans="1:31" x14ac:dyDescent="0.25">
      <c r="A700" s="18" t="s">
        <v>455</v>
      </c>
      <c r="B700" s="30">
        <v>2001</v>
      </c>
      <c r="C700" s="13">
        <v>549</v>
      </c>
      <c r="D700" s="14">
        <v>0.57699999999999996</v>
      </c>
      <c r="E700" s="14">
        <v>0.65300000000000002</v>
      </c>
      <c r="F700" s="13">
        <v>11</v>
      </c>
      <c r="G700" s="14">
        <v>0.56000000000000005</v>
      </c>
      <c r="H700" s="18" t="s">
        <v>3253</v>
      </c>
      <c r="I700" s="26" t="s">
        <v>40</v>
      </c>
      <c r="J700" s="18" t="s">
        <v>54</v>
      </c>
      <c r="K700" s="4"/>
      <c r="L700" s="9">
        <v>2001</v>
      </c>
      <c r="N700" s="30" t="s">
        <v>192</v>
      </c>
      <c r="O700" s="13" t="s">
        <v>42</v>
      </c>
      <c r="P700" s="13">
        <f t="shared" si="26"/>
        <v>17</v>
      </c>
      <c r="Q700" s="15">
        <f t="shared" si="27"/>
        <v>32.294117647058826</v>
      </c>
      <c r="R700" s="13" t="s">
        <v>456</v>
      </c>
      <c r="S700" s="13"/>
      <c r="T700" s="13" t="s">
        <v>457</v>
      </c>
      <c r="U700" s="13" t="s">
        <v>458</v>
      </c>
      <c r="V700" s="13" t="s">
        <v>3980</v>
      </c>
      <c r="W700" s="13"/>
      <c r="X700" s="13" t="s">
        <v>4634</v>
      </c>
      <c r="Y700" s="13" t="s">
        <v>3980</v>
      </c>
      <c r="Z700" s="13" t="s">
        <v>3980</v>
      </c>
      <c r="AC700" s="18"/>
      <c r="AE700" s="13"/>
    </row>
    <row r="701" spans="1:31" x14ac:dyDescent="0.25">
      <c r="A701" s="18" t="s">
        <v>373</v>
      </c>
      <c r="B701" s="30">
        <v>2006</v>
      </c>
      <c r="C701" s="13">
        <v>650</v>
      </c>
      <c r="D701" s="14">
        <v>0.61699999999999999</v>
      </c>
      <c r="E701" s="14">
        <v>0.71</v>
      </c>
      <c r="F701" s="13">
        <v>11</v>
      </c>
      <c r="G701" s="14">
        <v>0.56000000000000005</v>
      </c>
      <c r="H701" s="18" t="s">
        <v>3233</v>
      </c>
      <c r="I701" s="26" t="s">
        <v>40</v>
      </c>
      <c r="J701" s="18" t="s">
        <v>54</v>
      </c>
      <c r="L701" s="9">
        <v>2006</v>
      </c>
      <c r="N701" s="30" t="s">
        <v>192</v>
      </c>
      <c r="O701" s="13" t="s">
        <v>28</v>
      </c>
      <c r="P701" s="13">
        <f t="shared" si="26"/>
        <v>12</v>
      </c>
      <c r="Q701" s="15">
        <f t="shared" si="27"/>
        <v>54.166666666666664</v>
      </c>
      <c r="R701" s="13" t="s">
        <v>374</v>
      </c>
      <c r="S701" s="13"/>
      <c r="T701" s="13" t="s">
        <v>170</v>
      </c>
      <c r="U701" s="13" t="s">
        <v>375</v>
      </c>
      <c r="V701" s="13" t="s">
        <v>4182</v>
      </c>
      <c r="W701" s="13"/>
      <c r="X701" s="13" t="s">
        <v>4635</v>
      </c>
      <c r="Y701" s="13" t="s">
        <v>3980</v>
      </c>
      <c r="Z701" s="13" t="s">
        <v>3980</v>
      </c>
      <c r="AC701" s="18"/>
      <c r="AE701" s="13"/>
    </row>
    <row r="702" spans="1:31" x14ac:dyDescent="0.25">
      <c r="A702" s="18" t="s">
        <v>39</v>
      </c>
      <c r="B702" s="30">
        <v>1995</v>
      </c>
      <c r="C702" s="13">
        <v>2382</v>
      </c>
      <c r="D702" s="14">
        <v>0.86699999999999999</v>
      </c>
      <c r="E702" s="14">
        <v>0.70799999999999996</v>
      </c>
      <c r="F702" s="13">
        <v>22</v>
      </c>
      <c r="G702" s="14">
        <v>0.85699999999999998</v>
      </c>
      <c r="H702" s="18" t="s">
        <v>3164</v>
      </c>
      <c r="I702" s="26" t="s">
        <v>40</v>
      </c>
      <c r="J702" s="18" t="s">
        <v>26</v>
      </c>
      <c r="K702" s="4"/>
      <c r="L702" s="9">
        <v>1995</v>
      </c>
      <c r="N702" s="30" t="s">
        <v>41</v>
      </c>
      <c r="O702" s="13" t="s">
        <v>42</v>
      </c>
      <c r="P702" s="13">
        <f t="shared" si="26"/>
        <v>23</v>
      </c>
      <c r="Q702" s="15">
        <f t="shared" si="27"/>
        <v>103.56521739130434</v>
      </c>
      <c r="R702" s="13" t="s">
        <v>43</v>
      </c>
      <c r="S702" s="13"/>
      <c r="T702" s="13" t="s">
        <v>44</v>
      </c>
      <c r="U702" s="13" t="s">
        <v>45</v>
      </c>
      <c r="V702" s="13" t="s">
        <v>4183</v>
      </c>
      <c r="W702" s="13"/>
      <c r="X702" s="13" t="s">
        <v>4636</v>
      </c>
      <c r="Y702" s="13" t="s">
        <v>3980</v>
      </c>
      <c r="Z702" s="13" t="s">
        <v>3980</v>
      </c>
      <c r="AC702" s="18"/>
      <c r="AE702" s="13"/>
    </row>
    <row r="703" spans="1:31" x14ac:dyDescent="0.25">
      <c r="A703" s="18" t="s">
        <v>176</v>
      </c>
      <c r="B703" s="30">
        <v>1987</v>
      </c>
      <c r="C703" s="13">
        <v>2481</v>
      </c>
      <c r="D703" s="14">
        <v>0.872</v>
      </c>
      <c r="E703" s="14">
        <v>0.71699999999999997</v>
      </c>
      <c r="F703" s="13">
        <v>22</v>
      </c>
      <c r="G703" s="14">
        <v>0.85699999999999998</v>
      </c>
      <c r="H703" s="18" t="s">
        <v>3188</v>
      </c>
      <c r="I703" s="26" t="s">
        <v>40</v>
      </c>
      <c r="J703" s="18" t="s">
        <v>26</v>
      </c>
      <c r="K703" s="4"/>
      <c r="L703" s="9">
        <v>1987</v>
      </c>
      <c r="N703" s="30" t="s">
        <v>41</v>
      </c>
      <c r="O703" s="13" t="s">
        <v>28</v>
      </c>
      <c r="P703" s="13">
        <f t="shared" si="26"/>
        <v>31</v>
      </c>
      <c r="Q703" s="15">
        <f t="shared" si="27"/>
        <v>80.032258064516128</v>
      </c>
      <c r="R703" s="13" t="s">
        <v>177</v>
      </c>
      <c r="S703" s="13"/>
      <c r="T703" s="13" t="s">
        <v>178</v>
      </c>
      <c r="U703" s="13" t="s">
        <v>179</v>
      </c>
      <c r="V703" s="13" t="s">
        <v>3980</v>
      </c>
      <c r="W703" s="13"/>
      <c r="X703" s="13" t="s">
        <v>4637</v>
      </c>
      <c r="Y703" s="13" t="s">
        <v>3980</v>
      </c>
      <c r="Z703" s="13" t="s">
        <v>3980</v>
      </c>
      <c r="AC703" s="18"/>
      <c r="AE703" s="16"/>
    </row>
    <row r="704" spans="1:31" x14ac:dyDescent="0.25">
      <c r="A704" s="18" t="s">
        <v>110</v>
      </c>
      <c r="B704" s="30">
        <v>1990</v>
      </c>
      <c r="C704" s="13">
        <v>2031</v>
      </c>
      <c r="D704" s="14">
        <v>0.83699999999999997</v>
      </c>
      <c r="E704" s="14">
        <v>0.64900000000000002</v>
      </c>
      <c r="F704" s="13">
        <v>26</v>
      </c>
      <c r="G704" s="14">
        <v>0.90200000000000002</v>
      </c>
      <c r="H704" s="18" t="s">
        <v>3176</v>
      </c>
      <c r="I704" s="26" t="s">
        <v>40</v>
      </c>
      <c r="J704" s="18" t="s">
        <v>26</v>
      </c>
      <c r="K704" s="4"/>
      <c r="L704" s="9">
        <v>1990</v>
      </c>
      <c r="N704" s="30" t="s">
        <v>111</v>
      </c>
      <c r="O704" s="13" t="s">
        <v>28</v>
      </c>
      <c r="P704" s="13">
        <f t="shared" si="26"/>
        <v>28</v>
      </c>
      <c r="Q704" s="15">
        <f t="shared" si="27"/>
        <v>72.535714285714292</v>
      </c>
      <c r="R704" s="13" t="s">
        <v>89</v>
      </c>
      <c r="S704" s="13"/>
      <c r="T704" s="13" t="s">
        <v>112</v>
      </c>
      <c r="U704" s="13" t="s">
        <v>113</v>
      </c>
      <c r="V704" s="13" t="s">
        <v>4184</v>
      </c>
      <c r="W704" s="13"/>
      <c r="X704" s="13" t="s">
        <v>3980</v>
      </c>
      <c r="Y704" s="13" t="s">
        <v>3980</v>
      </c>
      <c r="Z704" s="13" t="s">
        <v>3980</v>
      </c>
      <c r="AC704" s="18"/>
      <c r="AE704" s="18"/>
    </row>
    <row r="705" spans="1:31" x14ac:dyDescent="0.25">
      <c r="A705" s="18" t="s">
        <v>405</v>
      </c>
      <c r="B705" s="30">
        <v>2009</v>
      </c>
      <c r="C705" s="13">
        <v>164</v>
      </c>
      <c r="D705" s="14">
        <v>0.35299999999999998</v>
      </c>
      <c r="E705" s="14">
        <v>0.34</v>
      </c>
      <c r="F705" s="13">
        <v>8</v>
      </c>
      <c r="G705" s="14">
        <v>0.434</v>
      </c>
      <c r="H705" s="18" t="s">
        <v>3240</v>
      </c>
      <c r="I705" s="26" t="s">
        <v>40</v>
      </c>
      <c r="J705" s="18" t="s">
        <v>54</v>
      </c>
      <c r="L705" s="9">
        <v>2009</v>
      </c>
      <c r="N705" s="30" t="s">
        <v>94</v>
      </c>
      <c r="O705" s="13" t="s">
        <v>28</v>
      </c>
      <c r="P705" s="13">
        <f t="shared" si="26"/>
        <v>9</v>
      </c>
      <c r="Q705" s="15">
        <f t="shared" si="27"/>
        <v>18.222222222222221</v>
      </c>
      <c r="R705" s="13" t="s">
        <v>406</v>
      </c>
      <c r="S705" s="13"/>
      <c r="T705" s="13" t="s">
        <v>407</v>
      </c>
      <c r="U705" s="13" t="s">
        <v>408</v>
      </c>
      <c r="V705" s="13" t="s">
        <v>4185</v>
      </c>
      <c r="W705" s="13"/>
      <c r="X705" s="13" t="s">
        <v>4638</v>
      </c>
      <c r="Y705" s="13" t="s">
        <v>3980</v>
      </c>
      <c r="Z705" s="13" t="s">
        <v>3980</v>
      </c>
      <c r="AC705" s="18"/>
    </row>
    <row r="706" spans="1:31" x14ac:dyDescent="0.25">
      <c r="A706" s="18" t="s">
        <v>2137</v>
      </c>
      <c r="B706" s="30">
        <v>2000</v>
      </c>
      <c r="C706" s="13">
        <v>549</v>
      </c>
      <c r="D706" s="14">
        <v>0.57699999999999996</v>
      </c>
      <c r="E706" s="14">
        <v>0.65300000000000002</v>
      </c>
      <c r="F706" s="13">
        <v>11</v>
      </c>
      <c r="G706" s="14">
        <v>0.56000000000000005</v>
      </c>
      <c r="I706" s="26" t="s">
        <v>717</v>
      </c>
      <c r="J706" s="18" t="s">
        <v>54</v>
      </c>
      <c r="K706" s="4"/>
      <c r="L706" s="9">
        <v>2000</v>
      </c>
      <c r="M706" s="11"/>
      <c r="N706" s="30" t="s">
        <v>83</v>
      </c>
      <c r="O706" s="13" t="s">
        <v>28</v>
      </c>
      <c r="P706" s="13">
        <f t="shared" ref="P706:P769" si="28">2018-L706</f>
        <v>18</v>
      </c>
      <c r="Q706" s="15">
        <f t="shared" ref="Q706:Q769" si="29">C706/P706</f>
        <v>30.5</v>
      </c>
      <c r="R706" s="13" t="s">
        <v>1340</v>
      </c>
      <c r="S706" s="13"/>
      <c r="T706" s="13" t="s">
        <v>2138</v>
      </c>
      <c r="U706" s="13" t="s">
        <v>2139</v>
      </c>
      <c r="V706" s="13" t="s">
        <v>4186</v>
      </c>
      <c r="W706" s="13"/>
      <c r="X706" s="13" t="s">
        <v>4639</v>
      </c>
      <c r="Y706" s="13" t="s">
        <v>3980</v>
      </c>
      <c r="Z706" s="13" t="s">
        <v>3980</v>
      </c>
      <c r="AC706" s="18"/>
      <c r="AE706" s="13"/>
    </row>
    <row r="707" spans="1:31" x14ac:dyDescent="0.25">
      <c r="A707" s="28" t="s">
        <v>4866</v>
      </c>
      <c r="B707" s="30">
        <v>1980</v>
      </c>
      <c r="C707" s="13">
        <v>739</v>
      </c>
      <c r="D707" s="14">
        <v>0.64</v>
      </c>
      <c r="E707" s="14">
        <v>0.373</v>
      </c>
      <c r="F707" s="13">
        <v>15</v>
      </c>
      <c r="G707" s="14">
        <v>0.71</v>
      </c>
      <c r="I707" s="26" t="s">
        <v>717</v>
      </c>
      <c r="J707" s="18" t="s">
        <v>26</v>
      </c>
      <c r="L707" s="9">
        <v>1980</v>
      </c>
      <c r="N707" s="30" t="s">
        <v>77</v>
      </c>
      <c r="O707" s="13" t="s">
        <v>28</v>
      </c>
      <c r="P707" s="13">
        <f t="shared" si="28"/>
        <v>38</v>
      </c>
      <c r="Q707" s="15">
        <f t="shared" si="29"/>
        <v>19.44736842105263</v>
      </c>
      <c r="R707" s="13" t="s">
        <v>1391</v>
      </c>
      <c r="S707" s="13" t="s">
        <v>859</v>
      </c>
      <c r="T707" s="13" t="s">
        <v>1713</v>
      </c>
      <c r="U707" s="13" t="s">
        <v>1714</v>
      </c>
      <c r="V707" s="13" t="s">
        <v>4187</v>
      </c>
      <c r="W707" s="13"/>
      <c r="X707" s="13" t="s">
        <v>4640</v>
      </c>
      <c r="Y707" s="13" t="s">
        <v>3980</v>
      </c>
      <c r="Z707" s="13" t="s">
        <v>3980</v>
      </c>
      <c r="AC707" s="18"/>
      <c r="AE707" s="13"/>
    </row>
    <row r="708" spans="1:31" x14ac:dyDescent="0.25">
      <c r="A708" s="18" t="s">
        <v>4964</v>
      </c>
      <c r="B708" s="30">
        <v>1968</v>
      </c>
      <c r="C708" s="13">
        <v>175</v>
      </c>
      <c r="D708" s="14">
        <v>0.36299999999999999</v>
      </c>
      <c r="E708" s="14">
        <v>0.17299999999999999</v>
      </c>
      <c r="F708" s="13">
        <v>3</v>
      </c>
      <c r="G708" s="14">
        <v>0.13100000000000001</v>
      </c>
      <c r="I708" s="26" t="s">
        <v>717</v>
      </c>
      <c r="J708" s="18" t="s">
        <v>26</v>
      </c>
      <c r="L708" s="9">
        <v>1968</v>
      </c>
      <c r="N708" s="30" t="s">
        <v>1169</v>
      </c>
      <c r="O708" s="13" t="s">
        <v>28</v>
      </c>
      <c r="P708" s="13">
        <f t="shared" si="28"/>
        <v>50</v>
      </c>
      <c r="Q708" s="15">
        <f t="shared" si="29"/>
        <v>3.5</v>
      </c>
      <c r="R708" s="13" t="s">
        <v>808</v>
      </c>
      <c r="S708" s="13" t="s">
        <v>480</v>
      </c>
      <c r="T708" s="13" t="s">
        <v>2201</v>
      </c>
      <c r="U708" s="13" t="s">
        <v>2202</v>
      </c>
      <c r="V708" s="13" t="s">
        <v>3980</v>
      </c>
      <c r="W708" s="13"/>
      <c r="X708" s="13" t="s">
        <v>3980</v>
      </c>
      <c r="Y708" s="13" t="s">
        <v>3980</v>
      </c>
      <c r="Z708" s="13" t="s">
        <v>3980</v>
      </c>
      <c r="AC708" s="18"/>
      <c r="AE708" s="18"/>
    </row>
    <row r="709" spans="1:31" x14ac:dyDescent="0.25">
      <c r="A709" s="18" t="s">
        <v>3706</v>
      </c>
      <c r="B709" s="30">
        <v>2010</v>
      </c>
      <c r="C709" s="13">
        <v>389</v>
      </c>
      <c r="D709" s="14">
        <v>0.497</v>
      </c>
      <c r="E709" s="14">
        <v>0.53500000000000003</v>
      </c>
      <c r="F709" s="13">
        <v>11</v>
      </c>
      <c r="G709" s="14">
        <v>0.56000000000000005</v>
      </c>
      <c r="H709" s="18" t="s">
        <v>3708</v>
      </c>
      <c r="I709" s="26" t="s">
        <v>717</v>
      </c>
      <c r="J709" s="18" t="s">
        <v>54</v>
      </c>
      <c r="K709" s="4"/>
      <c r="L709" s="9">
        <v>2010</v>
      </c>
      <c r="N709" s="30" t="s">
        <v>1818</v>
      </c>
      <c r="O709" s="13" t="s">
        <v>28</v>
      </c>
      <c r="P709" s="13">
        <f t="shared" si="28"/>
        <v>8</v>
      </c>
      <c r="Q709" s="15">
        <f t="shared" si="29"/>
        <v>48.625</v>
      </c>
      <c r="R709" s="13" t="s">
        <v>2675</v>
      </c>
      <c r="S709" s="13" t="s">
        <v>756</v>
      </c>
      <c r="T709" s="13" t="s">
        <v>3707</v>
      </c>
      <c r="U709" s="13" t="s">
        <v>2676</v>
      </c>
      <c r="V709" s="13" t="s">
        <v>3980</v>
      </c>
      <c r="W709" s="13"/>
      <c r="X709" s="13" t="s">
        <v>3980</v>
      </c>
      <c r="Y709" s="13" t="s">
        <v>3980</v>
      </c>
      <c r="Z709" s="13" t="s">
        <v>3980</v>
      </c>
      <c r="AC709" s="18"/>
      <c r="AE709" s="13"/>
    </row>
    <row r="710" spans="1:31" x14ac:dyDescent="0.25">
      <c r="A710" s="18" t="s">
        <v>1127</v>
      </c>
      <c r="B710" s="30">
        <v>2001</v>
      </c>
      <c r="C710" s="13">
        <v>1395</v>
      </c>
      <c r="D710" s="14">
        <v>0.77</v>
      </c>
      <c r="E710" s="14">
        <v>0.54200000000000004</v>
      </c>
      <c r="F710" s="13">
        <v>17</v>
      </c>
      <c r="G710" s="14">
        <v>0.76400000000000001</v>
      </c>
      <c r="H710" s="18" t="s">
        <v>3437</v>
      </c>
      <c r="I710" s="26" t="s">
        <v>717</v>
      </c>
      <c r="J710" s="18" t="s">
        <v>26</v>
      </c>
      <c r="L710" s="9">
        <v>2001</v>
      </c>
      <c r="M710" s="11"/>
      <c r="N710" s="30" t="s">
        <v>94</v>
      </c>
      <c r="O710" s="13" t="s">
        <v>42</v>
      </c>
      <c r="P710" s="13">
        <f t="shared" si="28"/>
        <v>17</v>
      </c>
      <c r="Q710" s="15">
        <f t="shared" si="29"/>
        <v>82.058823529411768</v>
      </c>
      <c r="R710" s="13" t="s">
        <v>1128</v>
      </c>
      <c r="S710" s="13"/>
      <c r="T710" s="13" t="s">
        <v>1129</v>
      </c>
      <c r="U710" s="13" t="s">
        <v>1130</v>
      </c>
      <c r="V710" s="13" t="s">
        <v>3980</v>
      </c>
      <c r="W710" s="13"/>
      <c r="X710" s="13" t="s">
        <v>4641</v>
      </c>
      <c r="Y710" s="13" t="s">
        <v>3980</v>
      </c>
      <c r="Z710" s="13" t="s">
        <v>3980</v>
      </c>
      <c r="AC710" s="18"/>
      <c r="AE710" s="13"/>
    </row>
    <row r="711" spans="1:31" x14ac:dyDescent="0.25">
      <c r="A711" s="18" t="s">
        <v>1180</v>
      </c>
      <c r="B711" s="30">
        <v>2010</v>
      </c>
      <c r="C711" s="13">
        <v>589</v>
      </c>
      <c r="D711" s="14">
        <v>0.59699999999999998</v>
      </c>
      <c r="E711" s="14">
        <v>0.90100000000000002</v>
      </c>
      <c r="F711" s="13">
        <v>8</v>
      </c>
      <c r="G711" s="14">
        <v>0.434</v>
      </c>
      <c r="H711" s="18" t="s">
        <v>3452</v>
      </c>
      <c r="I711" s="26" t="s">
        <v>717</v>
      </c>
      <c r="J711" s="4" t="s">
        <v>105</v>
      </c>
      <c r="L711" s="9">
        <v>2010</v>
      </c>
      <c r="N711" s="30" t="s">
        <v>1181</v>
      </c>
      <c r="O711" s="13" t="s">
        <v>28</v>
      </c>
      <c r="P711" s="13">
        <f t="shared" si="28"/>
        <v>8</v>
      </c>
      <c r="Q711" s="15">
        <f t="shared" si="29"/>
        <v>73.625</v>
      </c>
      <c r="R711" s="13" t="s">
        <v>1182</v>
      </c>
      <c r="S711" s="13"/>
      <c r="T711" s="13" t="s">
        <v>1183</v>
      </c>
      <c r="U711" s="13" t="s">
        <v>1184</v>
      </c>
      <c r="V711" s="1" t="s">
        <v>4188</v>
      </c>
      <c r="W711" s="13"/>
      <c r="X711" s="13" t="s">
        <v>4642</v>
      </c>
      <c r="Y711" s="13" t="s">
        <v>3980</v>
      </c>
      <c r="Z711" s="13" t="s">
        <v>3980</v>
      </c>
      <c r="AC711" s="18"/>
      <c r="AE711" s="13"/>
    </row>
    <row r="712" spans="1:31" x14ac:dyDescent="0.25">
      <c r="A712" s="18" t="s">
        <v>716</v>
      </c>
      <c r="B712" s="30">
        <v>2009</v>
      </c>
      <c r="C712" s="13">
        <v>1289</v>
      </c>
      <c r="D712" s="14">
        <v>0.747</v>
      </c>
      <c r="E712" s="14">
        <v>0.97799999999999998</v>
      </c>
      <c r="F712" s="13">
        <v>21</v>
      </c>
      <c r="G712" s="14">
        <v>0.84199999999999997</v>
      </c>
      <c r="H712" s="18" t="s">
        <v>3321</v>
      </c>
      <c r="I712" s="26" t="s">
        <v>717</v>
      </c>
      <c r="J712" s="18" t="s">
        <v>105</v>
      </c>
      <c r="K712" s="4"/>
      <c r="L712" s="9">
        <v>2009</v>
      </c>
      <c r="N712" s="30" t="s">
        <v>111</v>
      </c>
      <c r="O712" s="13" t="s">
        <v>28</v>
      </c>
      <c r="P712" s="13">
        <f t="shared" si="28"/>
        <v>9</v>
      </c>
      <c r="Q712" s="15">
        <f t="shared" si="29"/>
        <v>143.22222222222223</v>
      </c>
      <c r="R712" s="13" t="s">
        <v>718</v>
      </c>
      <c r="S712" s="13"/>
      <c r="T712" s="13" t="s">
        <v>719</v>
      </c>
      <c r="U712" s="13" t="s">
        <v>720</v>
      </c>
      <c r="V712" s="13" t="s">
        <v>4189</v>
      </c>
      <c r="W712" s="13"/>
      <c r="X712" s="13" t="s">
        <v>3980</v>
      </c>
      <c r="Y712" s="13" t="s">
        <v>3980</v>
      </c>
      <c r="Z712" s="13" t="s">
        <v>3980</v>
      </c>
      <c r="AC712" s="18"/>
      <c r="AE712" s="13"/>
    </row>
    <row r="713" spans="1:31" x14ac:dyDescent="0.25">
      <c r="A713" s="18" t="s">
        <v>1046</v>
      </c>
      <c r="B713" s="30">
        <v>2013</v>
      </c>
      <c r="C713" s="13">
        <v>209</v>
      </c>
      <c r="D713" s="14">
        <v>0.38900000000000001</v>
      </c>
      <c r="E713" s="14">
        <v>0.70099999999999996</v>
      </c>
      <c r="F713" s="13">
        <v>7</v>
      </c>
      <c r="G713" s="14">
        <v>0.39300000000000002</v>
      </c>
      <c r="H713" s="18" t="s">
        <v>3620</v>
      </c>
      <c r="I713" s="26" t="s">
        <v>717</v>
      </c>
      <c r="J713" s="18" t="s">
        <v>105</v>
      </c>
      <c r="K713" s="4"/>
      <c r="L713" s="9">
        <v>2013</v>
      </c>
      <c r="N713" s="30" t="s">
        <v>1047</v>
      </c>
      <c r="O713" s="13" t="s">
        <v>28</v>
      </c>
      <c r="P713" s="13">
        <f t="shared" si="28"/>
        <v>5</v>
      </c>
      <c r="Q713" s="15">
        <f t="shared" si="29"/>
        <v>41.8</v>
      </c>
      <c r="R713" s="13" t="s">
        <v>1048</v>
      </c>
      <c r="S713" s="13"/>
      <c r="T713" s="13" t="s">
        <v>1049</v>
      </c>
      <c r="U713" s="13"/>
      <c r="V713" s="13" t="s">
        <v>4190</v>
      </c>
      <c r="W713" s="13"/>
      <c r="X713" s="13" t="s">
        <v>4643</v>
      </c>
      <c r="Y713" s="13" t="s">
        <v>3980</v>
      </c>
      <c r="Z713" s="13" t="s">
        <v>3980</v>
      </c>
      <c r="AC713" s="18"/>
      <c r="AE713" s="13"/>
    </row>
    <row r="714" spans="1:31" x14ac:dyDescent="0.25">
      <c r="A714" s="18" t="s">
        <v>1273</v>
      </c>
      <c r="B714" s="30">
        <v>2006</v>
      </c>
      <c r="C714" s="13">
        <v>146</v>
      </c>
      <c r="D714" s="14">
        <v>0.33500000000000002</v>
      </c>
      <c r="E714" s="14">
        <v>0.32300000000000001</v>
      </c>
      <c r="F714" s="13">
        <v>7</v>
      </c>
      <c r="G714" s="14">
        <v>0.39300000000000002</v>
      </c>
      <c r="H714" s="18" t="s">
        <v>3478</v>
      </c>
      <c r="I714" s="26" t="s">
        <v>267</v>
      </c>
      <c r="J714" s="4" t="s">
        <v>54</v>
      </c>
      <c r="L714" s="9">
        <v>2006</v>
      </c>
      <c r="N714" s="30" t="s">
        <v>267</v>
      </c>
      <c r="O714" s="13" t="s">
        <v>42</v>
      </c>
      <c r="P714" s="13">
        <f t="shared" si="28"/>
        <v>12</v>
      </c>
      <c r="Q714" s="15">
        <f t="shared" si="29"/>
        <v>12.166666666666666</v>
      </c>
      <c r="R714" s="13" t="s">
        <v>1274</v>
      </c>
      <c r="S714" s="13"/>
      <c r="T714" s="13" t="s">
        <v>31</v>
      </c>
      <c r="U714" s="13" t="s">
        <v>1275</v>
      </c>
      <c r="V714" s="13" t="s">
        <v>4191</v>
      </c>
      <c r="W714" s="13"/>
      <c r="X714" s="13" t="s">
        <v>4644</v>
      </c>
      <c r="Y714" s="13" t="s">
        <v>3980</v>
      </c>
      <c r="Z714" s="13" t="s">
        <v>3980</v>
      </c>
      <c r="AC714" s="18"/>
      <c r="AE714" s="13"/>
    </row>
    <row r="715" spans="1:31" x14ac:dyDescent="0.25">
      <c r="A715" s="18" t="s">
        <v>266</v>
      </c>
      <c r="B715" s="30">
        <v>2012</v>
      </c>
      <c r="C715" s="13">
        <v>446</v>
      </c>
      <c r="D715" s="14">
        <v>0.53200000000000003</v>
      </c>
      <c r="E715" s="14">
        <v>0.84899999999999998</v>
      </c>
      <c r="F715" s="13">
        <v>11</v>
      </c>
      <c r="G715" s="14">
        <v>0.56000000000000005</v>
      </c>
      <c r="H715" s="18" t="s">
        <v>3208</v>
      </c>
      <c r="I715" s="26" t="s">
        <v>267</v>
      </c>
      <c r="J715" s="4" t="s">
        <v>105</v>
      </c>
      <c r="L715" s="9">
        <v>2012</v>
      </c>
      <c r="N715" s="30" t="s">
        <v>268</v>
      </c>
      <c r="O715" s="13" t="s">
        <v>28</v>
      </c>
      <c r="P715" s="13">
        <f t="shared" si="28"/>
        <v>6</v>
      </c>
      <c r="Q715" s="15">
        <f t="shared" si="29"/>
        <v>74.333333333333329</v>
      </c>
      <c r="R715" s="13" t="s">
        <v>269</v>
      </c>
      <c r="S715" s="13"/>
      <c r="T715" s="13" t="s">
        <v>270</v>
      </c>
      <c r="U715" s="13"/>
      <c r="V715" s="13" t="s">
        <v>4192</v>
      </c>
      <c r="W715" s="13"/>
      <c r="X715" s="13" t="s">
        <v>4645</v>
      </c>
      <c r="Y715" s="13" t="s">
        <v>3980</v>
      </c>
      <c r="Z715" s="13" t="s">
        <v>3980</v>
      </c>
      <c r="AC715" s="18"/>
      <c r="AE715" s="1"/>
    </row>
    <row r="716" spans="1:31" x14ac:dyDescent="0.25">
      <c r="A716" s="18" t="s">
        <v>522</v>
      </c>
      <c r="B716" s="30">
        <v>1985</v>
      </c>
      <c r="C716" s="13">
        <v>728</v>
      </c>
      <c r="D716" s="14">
        <v>0.63500000000000001</v>
      </c>
      <c r="E716" s="14">
        <v>0.36599999999999999</v>
      </c>
      <c r="F716" s="13">
        <v>13</v>
      </c>
      <c r="G716" s="14">
        <v>0.64500000000000002</v>
      </c>
      <c r="H716" s="18" t="s">
        <v>3269</v>
      </c>
      <c r="I716" s="26" t="s">
        <v>267</v>
      </c>
      <c r="J716" s="18" t="s">
        <v>26</v>
      </c>
      <c r="L716" s="9">
        <v>1985</v>
      </c>
      <c r="N716" s="30" t="s">
        <v>41</v>
      </c>
      <c r="O716" s="13" t="s">
        <v>28</v>
      </c>
      <c r="P716" s="13">
        <f t="shared" si="28"/>
        <v>33</v>
      </c>
      <c r="Q716" s="15">
        <f t="shared" si="29"/>
        <v>22.060606060606062</v>
      </c>
      <c r="R716" s="13" t="s">
        <v>523</v>
      </c>
      <c r="S716" s="13"/>
      <c r="T716" s="13" t="s">
        <v>524</v>
      </c>
      <c r="U716" s="13" t="s">
        <v>525</v>
      </c>
      <c r="V716" s="13" t="s">
        <v>4193</v>
      </c>
      <c r="W716" s="13"/>
      <c r="X716" s="13" t="s">
        <v>4646</v>
      </c>
      <c r="Y716" s="13" t="s">
        <v>3980</v>
      </c>
      <c r="Z716" s="13" t="s">
        <v>3980</v>
      </c>
      <c r="AC716" s="18"/>
      <c r="AE716" s="1"/>
    </row>
    <row r="717" spans="1:31" x14ac:dyDescent="0.25">
      <c r="A717" s="18" t="s">
        <v>5100</v>
      </c>
      <c r="B717" s="30">
        <v>1998</v>
      </c>
      <c r="C717" s="13">
        <v>451</v>
      </c>
      <c r="D717" s="14">
        <v>0.53500000000000003</v>
      </c>
      <c r="E717" s="14">
        <v>0.28899999999999998</v>
      </c>
      <c r="F717" s="13">
        <v>13</v>
      </c>
      <c r="G717" s="14">
        <v>0.64500000000000002</v>
      </c>
      <c r="H717" s="18" t="s">
        <v>3414</v>
      </c>
      <c r="I717" s="26" t="s">
        <v>267</v>
      </c>
      <c r="J717" s="18" t="s">
        <v>26</v>
      </c>
      <c r="L717" s="9">
        <v>1998</v>
      </c>
      <c r="M717" s="11"/>
      <c r="N717" s="30" t="s">
        <v>111</v>
      </c>
      <c r="O717" s="13" t="s">
        <v>42</v>
      </c>
      <c r="P717" s="13">
        <f t="shared" si="28"/>
        <v>20</v>
      </c>
      <c r="Q717" s="15">
        <f t="shared" si="29"/>
        <v>22.55</v>
      </c>
      <c r="R717" s="13" t="s">
        <v>1054</v>
      </c>
      <c r="S717" s="13" t="s">
        <v>30</v>
      </c>
      <c r="T717" s="13" t="s">
        <v>1055</v>
      </c>
      <c r="U717" s="13" t="s">
        <v>1056</v>
      </c>
      <c r="V717" s="13" t="s">
        <v>4194</v>
      </c>
      <c r="W717" s="13"/>
      <c r="X717" s="13" t="s">
        <v>3980</v>
      </c>
      <c r="Y717" s="13" t="s">
        <v>3980</v>
      </c>
      <c r="Z717" s="13" t="s">
        <v>3980</v>
      </c>
      <c r="AC717" s="18"/>
      <c r="AE717" s="1"/>
    </row>
    <row r="718" spans="1:31" x14ac:dyDescent="0.25">
      <c r="A718" s="18" t="s">
        <v>2396</v>
      </c>
      <c r="B718" s="30">
        <v>2012</v>
      </c>
      <c r="C718" s="8">
        <v>170</v>
      </c>
      <c r="D718" s="14">
        <v>0.35899999999999999</v>
      </c>
      <c r="E718" s="14">
        <v>0.66300000000000003</v>
      </c>
      <c r="F718" s="8">
        <v>6</v>
      </c>
      <c r="G718" s="14">
        <v>0.32200000000000001</v>
      </c>
      <c r="I718" s="26" t="s">
        <v>225</v>
      </c>
      <c r="J718" s="18" t="s">
        <v>105</v>
      </c>
      <c r="L718" s="9">
        <f>B718</f>
        <v>2012</v>
      </c>
      <c r="N718" s="28" t="s">
        <v>1840</v>
      </c>
      <c r="O718" s="13" t="s">
        <v>42</v>
      </c>
      <c r="P718" s="13">
        <f t="shared" si="28"/>
        <v>6</v>
      </c>
      <c r="Q718" s="15">
        <f t="shared" si="29"/>
        <v>28.333333333333332</v>
      </c>
      <c r="R718" s="18" t="s">
        <v>193</v>
      </c>
      <c r="T718" s="18" t="s">
        <v>3760</v>
      </c>
      <c r="V718" s="18" t="s">
        <v>3980</v>
      </c>
      <c r="X718" s="18" t="s">
        <v>3980</v>
      </c>
      <c r="Y718" s="18" t="s">
        <v>3980</v>
      </c>
      <c r="Z718" s="18" t="s">
        <v>3980</v>
      </c>
      <c r="AC718" s="18"/>
      <c r="AE718" s="16"/>
    </row>
    <row r="719" spans="1:31" x14ac:dyDescent="0.25">
      <c r="A719" s="18" t="s">
        <v>1788</v>
      </c>
      <c r="B719" s="30">
        <v>2010</v>
      </c>
      <c r="C719" s="8">
        <v>233</v>
      </c>
      <c r="D719" s="14">
        <v>0.40100000000000002</v>
      </c>
      <c r="E719" s="14">
        <v>0.71199999999999997</v>
      </c>
      <c r="F719" s="8">
        <v>8</v>
      </c>
      <c r="G719" s="14">
        <v>0.434</v>
      </c>
      <c r="H719" s="18" t="s">
        <v>3590</v>
      </c>
      <c r="I719" s="26" t="s">
        <v>225</v>
      </c>
      <c r="J719" s="18" t="s">
        <v>105</v>
      </c>
      <c r="L719" s="9">
        <f>B719</f>
        <v>2010</v>
      </c>
      <c r="N719" s="28" t="s">
        <v>212</v>
      </c>
      <c r="O719" s="13" t="s">
        <v>28</v>
      </c>
      <c r="P719" s="13">
        <f t="shared" si="28"/>
        <v>8</v>
      </c>
      <c r="Q719" s="15">
        <f t="shared" si="29"/>
        <v>29.125</v>
      </c>
      <c r="R719" s="18" t="s">
        <v>89</v>
      </c>
      <c r="T719" s="18" t="s">
        <v>3735</v>
      </c>
      <c r="V719" s="18" t="s">
        <v>3980</v>
      </c>
      <c r="X719" s="18" t="s">
        <v>3980</v>
      </c>
      <c r="Y719" s="18" t="s">
        <v>3980</v>
      </c>
      <c r="Z719" s="18" t="s">
        <v>3980</v>
      </c>
      <c r="AC719" s="18"/>
      <c r="AE719" s="1"/>
    </row>
    <row r="720" spans="1:31" x14ac:dyDescent="0.25">
      <c r="A720" s="18" t="s">
        <v>2179</v>
      </c>
      <c r="B720" s="30">
        <v>1983</v>
      </c>
      <c r="C720" s="13">
        <v>1390</v>
      </c>
      <c r="D720" s="14">
        <v>0.76800000000000002</v>
      </c>
      <c r="E720" s="14">
        <v>0.53900000000000003</v>
      </c>
      <c r="F720" s="13">
        <v>20</v>
      </c>
      <c r="G720" s="14">
        <v>0.82599999999999996</v>
      </c>
      <c r="H720" s="18" t="s">
        <v>3572</v>
      </c>
      <c r="I720" s="26" t="s">
        <v>225</v>
      </c>
      <c r="J720" s="18" t="s">
        <v>26</v>
      </c>
      <c r="L720" s="9">
        <v>1983</v>
      </c>
      <c r="N720" s="30" t="s">
        <v>1829</v>
      </c>
      <c r="O720" s="13" t="s">
        <v>28</v>
      </c>
      <c r="P720" s="13">
        <f t="shared" si="28"/>
        <v>35</v>
      </c>
      <c r="Q720" s="15">
        <f t="shared" si="29"/>
        <v>39.714285714285715</v>
      </c>
      <c r="R720" s="13" t="s">
        <v>808</v>
      </c>
      <c r="S720" s="13"/>
      <c r="T720" s="13" t="s">
        <v>2180</v>
      </c>
      <c r="U720" s="13" t="s">
        <v>2181</v>
      </c>
      <c r="V720" s="13" t="s">
        <v>4195</v>
      </c>
      <c r="W720" s="13"/>
      <c r="X720" s="13" t="s">
        <v>4647</v>
      </c>
      <c r="Y720" s="13" t="s">
        <v>3980</v>
      </c>
      <c r="Z720" s="13" t="s">
        <v>3980</v>
      </c>
      <c r="AC720" s="18"/>
      <c r="AE720" s="13"/>
    </row>
    <row r="721" spans="1:31" x14ac:dyDescent="0.25">
      <c r="A721" s="18" t="s">
        <v>224</v>
      </c>
      <c r="B721" s="30">
        <v>2006</v>
      </c>
      <c r="C721" s="13">
        <v>522</v>
      </c>
      <c r="D721" s="14">
        <v>0.56399999999999995</v>
      </c>
      <c r="E721" s="14">
        <v>0.63300000000000001</v>
      </c>
      <c r="F721" s="13">
        <v>10</v>
      </c>
      <c r="G721" s="14">
        <v>0.52200000000000002</v>
      </c>
      <c r="H721" s="18" t="s">
        <v>3198</v>
      </c>
      <c r="I721" s="26" t="s">
        <v>225</v>
      </c>
      <c r="J721" s="18" t="s">
        <v>54</v>
      </c>
      <c r="K721" s="4"/>
      <c r="L721" s="9">
        <v>2006</v>
      </c>
      <c r="N721" s="30" t="s">
        <v>226</v>
      </c>
      <c r="O721" s="13" t="s">
        <v>28</v>
      </c>
      <c r="P721" s="13">
        <f t="shared" si="28"/>
        <v>12</v>
      </c>
      <c r="Q721" s="15">
        <f t="shared" si="29"/>
        <v>43.5</v>
      </c>
      <c r="R721" s="13" t="s">
        <v>227</v>
      </c>
      <c r="S721" s="13"/>
      <c r="T721" s="13" t="s">
        <v>228</v>
      </c>
      <c r="U721" s="13" t="s">
        <v>229</v>
      </c>
      <c r="V721" s="13" t="s">
        <v>4196</v>
      </c>
      <c r="W721" s="13"/>
      <c r="X721" s="13" t="s">
        <v>4648</v>
      </c>
      <c r="Y721" s="13" t="s">
        <v>3980</v>
      </c>
      <c r="Z721" s="13" t="s">
        <v>3980</v>
      </c>
      <c r="AC721" s="18"/>
      <c r="AE721" s="1"/>
    </row>
    <row r="722" spans="1:31" x14ac:dyDescent="0.25">
      <c r="A722" s="18" t="s">
        <v>932</v>
      </c>
      <c r="B722" s="30">
        <v>1993</v>
      </c>
      <c r="C722" s="13">
        <v>1540</v>
      </c>
      <c r="D722" s="14">
        <v>0.79300000000000004</v>
      </c>
      <c r="E722" s="14">
        <v>0.58299999999999996</v>
      </c>
      <c r="F722" s="13">
        <v>19</v>
      </c>
      <c r="G722" s="14">
        <v>0.81299999999999994</v>
      </c>
      <c r="H722" s="18" t="s">
        <v>3380</v>
      </c>
      <c r="I722" s="26" t="s">
        <v>225</v>
      </c>
      <c r="J722" s="18" t="s">
        <v>26</v>
      </c>
      <c r="L722" s="9">
        <f t="shared" ref="L722:L727" si="30">B722</f>
        <v>1993</v>
      </c>
      <c r="N722" s="30" t="s">
        <v>59</v>
      </c>
      <c r="O722" s="13" t="s">
        <v>28</v>
      </c>
      <c r="P722" s="13">
        <f t="shared" si="28"/>
        <v>25</v>
      </c>
      <c r="Q722" s="15">
        <f t="shared" si="29"/>
        <v>61.6</v>
      </c>
      <c r="R722" s="13" t="s">
        <v>173</v>
      </c>
      <c r="S722" s="13"/>
      <c r="T722" s="13" t="s">
        <v>933</v>
      </c>
      <c r="U722" s="13"/>
      <c r="V722" s="13" t="s">
        <v>4197</v>
      </c>
      <c r="W722" s="13"/>
      <c r="X722" s="13" t="s">
        <v>3980</v>
      </c>
      <c r="Y722" s="13" t="s">
        <v>3980</v>
      </c>
      <c r="Z722" s="13" t="s">
        <v>3980</v>
      </c>
      <c r="AC722" s="18"/>
      <c r="AE722" s="18"/>
    </row>
    <row r="723" spans="1:31" x14ac:dyDescent="0.25">
      <c r="A723" s="18" t="s">
        <v>2103</v>
      </c>
      <c r="B723" s="30">
        <v>1992</v>
      </c>
      <c r="C723" s="13">
        <v>2001</v>
      </c>
      <c r="D723" s="14">
        <v>0.83199999999999996</v>
      </c>
      <c r="E723" s="14">
        <v>0.63700000000000001</v>
      </c>
      <c r="F723" s="13">
        <v>19</v>
      </c>
      <c r="G723" s="14">
        <v>0.81299999999999994</v>
      </c>
      <c r="I723" s="26" t="s">
        <v>225</v>
      </c>
      <c r="J723" s="18" t="s">
        <v>26</v>
      </c>
      <c r="L723" s="9">
        <f t="shared" si="30"/>
        <v>1992</v>
      </c>
      <c r="N723" s="30" t="s">
        <v>1255</v>
      </c>
      <c r="O723" s="13" t="s">
        <v>42</v>
      </c>
      <c r="P723" s="13">
        <f t="shared" si="28"/>
        <v>26</v>
      </c>
      <c r="Q723" s="15">
        <f t="shared" si="29"/>
        <v>76.961538461538467</v>
      </c>
      <c r="R723" s="13" t="s">
        <v>2101</v>
      </c>
      <c r="S723" s="13"/>
      <c r="T723" s="13" t="s">
        <v>997</v>
      </c>
      <c r="U723" s="13"/>
      <c r="V723" s="13" t="s">
        <v>3980</v>
      </c>
      <c r="W723" s="13"/>
      <c r="X723" s="13" t="s">
        <v>3980</v>
      </c>
      <c r="Y723" s="13" t="s">
        <v>3980</v>
      </c>
      <c r="Z723" s="13" t="s">
        <v>3980</v>
      </c>
      <c r="AC723" s="18"/>
      <c r="AE723" s="1"/>
    </row>
    <row r="724" spans="1:31" x14ac:dyDescent="0.25">
      <c r="A724" s="18" t="s">
        <v>4983</v>
      </c>
      <c r="B724" s="30">
        <v>2016</v>
      </c>
      <c r="C724" s="13">
        <v>56</v>
      </c>
      <c r="D724" s="14">
        <v>0.19</v>
      </c>
      <c r="E724" s="14">
        <v>0.36799999999999999</v>
      </c>
      <c r="F724" s="13">
        <v>3</v>
      </c>
      <c r="G724" s="14">
        <v>0.13100000000000001</v>
      </c>
      <c r="H724" s="18" t="s">
        <v>3399</v>
      </c>
      <c r="I724" s="26" t="s">
        <v>225</v>
      </c>
      <c r="J724" s="18" t="s">
        <v>105</v>
      </c>
      <c r="K724" s="4"/>
      <c r="L724" s="9">
        <f t="shared" si="30"/>
        <v>2016</v>
      </c>
      <c r="N724" s="30" t="s">
        <v>146</v>
      </c>
      <c r="O724" s="13" t="s">
        <v>42</v>
      </c>
      <c r="P724" s="13">
        <f t="shared" si="28"/>
        <v>2</v>
      </c>
      <c r="Q724" s="15">
        <f t="shared" si="29"/>
        <v>28</v>
      </c>
      <c r="R724" s="13" t="s">
        <v>997</v>
      </c>
      <c r="S724" s="13" t="s">
        <v>669</v>
      </c>
      <c r="T724" s="13" t="s">
        <v>998</v>
      </c>
      <c r="U724" s="13"/>
      <c r="V724" s="13" t="s">
        <v>3980</v>
      </c>
      <c r="W724" s="13"/>
      <c r="X724" s="13" t="s">
        <v>3980</v>
      </c>
      <c r="Y724" s="13" t="s">
        <v>3980</v>
      </c>
      <c r="Z724" s="13" t="s">
        <v>3980</v>
      </c>
      <c r="AC724" s="18"/>
      <c r="AE724" s="13"/>
    </row>
    <row r="725" spans="1:31" x14ac:dyDescent="0.25">
      <c r="A725" s="18" t="s">
        <v>5107</v>
      </c>
      <c r="B725" s="30">
        <v>1982</v>
      </c>
      <c r="C725" s="13">
        <v>581</v>
      </c>
      <c r="D725" s="14">
        <v>0.59299999999999997</v>
      </c>
      <c r="E725" s="14">
        <v>0.32800000000000001</v>
      </c>
      <c r="F725" s="13">
        <v>12</v>
      </c>
      <c r="G725" s="14">
        <v>0.60899999999999999</v>
      </c>
      <c r="H725" s="18" t="s">
        <v>3524</v>
      </c>
      <c r="I725" s="26" t="s">
        <v>225</v>
      </c>
      <c r="J725" s="18" t="s">
        <v>26</v>
      </c>
      <c r="L725" s="9">
        <f t="shared" si="30"/>
        <v>1982</v>
      </c>
      <c r="N725" s="30" t="s">
        <v>830</v>
      </c>
      <c r="O725" s="13" t="s">
        <v>28</v>
      </c>
      <c r="P725" s="13">
        <f t="shared" si="28"/>
        <v>36</v>
      </c>
      <c r="Q725" s="15">
        <f t="shared" si="29"/>
        <v>16.138888888888889</v>
      </c>
      <c r="R725" s="13" t="s">
        <v>1048</v>
      </c>
      <c r="S725" s="13" t="s">
        <v>164</v>
      </c>
      <c r="T725" s="13" t="s">
        <v>1426</v>
      </c>
      <c r="U725" s="13"/>
      <c r="V725" s="13" t="s">
        <v>3980</v>
      </c>
      <c r="W725" s="13"/>
      <c r="X725" s="13" t="s">
        <v>3980</v>
      </c>
      <c r="Y725" s="13" t="s">
        <v>3980</v>
      </c>
      <c r="Z725" s="13" t="s">
        <v>3980</v>
      </c>
      <c r="AC725" s="18"/>
      <c r="AE725" s="1"/>
    </row>
    <row r="726" spans="1:31" x14ac:dyDescent="0.25">
      <c r="A726" s="18" t="s">
        <v>1449</v>
      </c>
      <c r="B726" s="30">
        <v>2013</v>
      </c>
      <c r="C726" s="13">
        <v>5</v>
      </c>
      <c r="D726" s="14">
        <v>4.2999999999999997E-2</v>
      </c>
      <c r="E726" s="14">
        <v>8.6999999999999994E-2</v>
      </c>
      <c r="F726" s="13">
        <v>1</v>
      </c>
      <c r="G726" s="14">
        <v>0</v>
      </c>
      <c r="I726" s="26" t="s">
        <v>225</v>
      </c>
      <c r="J726" s="18" t="s">
        <v>105</v>
      </c>
      <c r="L726" s="9">
        <f t="shared" si="30"/>
        <v>2013</v>
      </c>
      <c r="N726" s="30" t="s">
        <v>3105</v>
      </c>
      <c r="O726" s="13" t="s">
        <v>28</v>
      </c>
      <c r="P726" s="13">
        <f t="shared" si="28"/>
        <v>5</v>
      </c>
      <c r="Q726" s="15">
        <f t="shared" si="29"/>
        <v>1</v>
      </c>
      <c r="R726" s="13" t="s">
        <v>683</v>
      </c>
      <c r="S726" s="13"/>
      <c r="T726" s="13" t="s">
        <v>1450</v>
      </c>
      <c r="U726" s="13"/>
      <c r="V726" s="13" t="s">
        <v>3980</v>
      </c>
      <c r="W726" s="13"/>
      <c r="X726" s="13" t="s">
        <v>3980</v>
      </c>
      <c r="Y726" s="13" t="s">
        <v>3980</v>
      </c>
      <c r="Z726" s="13" t="s">
        <v>3980</v>
      </c>
      <c r="AC726" s="18"/>
      <c r="AE726" s="1"/>
    </row>
    <row r="727" spans="1:31" x14ac:dyDescent="0.25">
      <c r="A727" s="18" t="s">
        <v>2504</v>
      </c>
      <c r="B727" s="30">
        <v>2012</v>
      </c>
      <c r="C727" s="13">
        <v>90</v>
      </c>
      <c r="D727" s="14">
        <v>0.24199999999999999</v>
      </c>
      <c r="E727" s="14">
        <v>0.46300000000000002</v>
      </c>
      <c r="F727" s="13">
        <v>6</v>
      </c>
      <c r="G727" s="14">
        <v>0.32200000000000001</v>
      </c>
      <c r="H727" s="18" t="s">
        <v>3649</v>
      </c>
      <c r="I727" s="26" t="s">
        <v>225</v>
      </c>
      <c r="J727" s="18" t="s">
        <v>105</v>
      </c>
      <c r="K727" s="4"/>
      <c r="L727" s="9">
        <f t="shared" si="30"/>
        <v>2012</v>
      </c>
      <c r="N727" s="30" t="s">
        <v>220</v>
      </c>
      <c r="O727" s="13" t="s">
        <v>28</v>
      </c>
      <c r="P727" s="13">
        <f t="shared" si="28"/>
        <v>6</v>
      </c>
      <c r="Q727" s="15">
        <f t="shared" si="29"/>
        <v>15</v>
      </c>
      <c r="R727" s="13" t="s">
        <v>2501</v>
      </c>
      <c r="S727" s="13"/>
      <c r="T727" s="13" t="s">
        <v>2505</v>
      </c>
      <c r="U727" s="13"/>
      <c r="V727" s="13" t="s">
        <v>3980</v>
      </c>
      <c r="W727" s="13"/>
      <c r="X727" s="13" t="s">
        <v>3980</v>
      </c>
      <c r="Y727" s="13" t="s">
        <v>3980</v>
      </c>
      <c r="Z727" s="13" t="s">
        <v>3980</v>
      </c>
      <c r="AC727" s="18"/>
      <c r="AE727" s="16"/>
    </row>
    <row r="728" spans="1:31" x14ac:dyDescent="0.25">
      <c r="A728" s="18" t="s">
        <v>4886</v>
      </c>
      <c r="B728" s="30">
        <v>1996</v>
      </c>
      <c r="C728" s="13">
        <v>523</v>
      </c>
      <c r="D728" s="14">
        <v>0.56499999999999995</v>
      </c>
      <c r="E728" s="14">
        <v>0.307</v>
      </c>
      <c r="F728" s="13">
        <v>10</v>
      </c>
      <c r="G728" s="14">
        <v>0.52200000000000002</v>
      </c>
      <c r="H728" s="18" t="s">
        <v>3479</v>
      </c>
      <c r="I728" s="26" t="s">
        <v>225</v>
      </c>
      <c r="J728" s="18" t="s">
        <v>26</v>
      </c>
      <c r="L728" s="9">
        <v>1996</v>
      </c>
      <c r="N728" s="30" t="s">
        <v>41</v>
      </c>
      <c r="O728" s="13" t="s">
        <v>28</v>
      </c>
      <c r="P728" s="13">
        <f t="shared" si="28"/>
        <v>22</v>
      </c>
      <c r="Q728" s="15">
        <f t="shared" si="29"/>
        <v>23.772727272727273</v>
      </c>
      <c r="R728" s="13" t="s">
        <v>173</v>
      </c>
      <c r="S728" s="13" t="s">
        <v>239</v>
      </c>
      <c r="T728" s="13" t="s">
        <v>1276</v>
      </c>
      <c r="U728" s="13" t="s">
        <v>1277</v>
      </c>
      <c r="V728" s="13" t="s">
        <v>4198</v>
      </c>
      <c r="W728" s="13"/>
      <c r="X728" s="13" t="s">
        <v>4649</v>
      </c>
      <c r="Y728" s="13" t="s">
        <v>3980</v>
      </c>
      <c r="Z728" s="13" t="s">
        <v>3980</v>
      </c>
      <c r="AC728" s="18"/>
      <c r="AE728" s="13"/>
    </row>
    <row r="729" spans="1:31" x14ac:dyDescent="0.25">
      <c r="A729" s="18" t="s">
        <v>2921</v>
      </c>
      <c r="B729" s="30">
        <v>2008</v>
      </c>
      <c r="C729" s="13">
        <v>168</v>
      </c>
      <c r="D729" s="14">
        <v>0.35699999999999998</v>
      </c>
      <c r="E729" s="14">
        <v>0.34599999999999997</v>
      </c>
      <c r="F729" s="13">
        <v>6</v>
      </c>
      <c r="G729" s="14">
        <v>0.32200000000000001</v>
      </c>
      <c r="I729" s="26" t="s">
        <v>225</v>
      </c>
      <c r="J729" s="18" t="s">
        <v>54</v>
      </c>
      <c r="L729" s="9">
        <v>2008</v>
      </c>
      <c r="M729" s="11"/>
      <c r="N729" s="30" t="s">
        <v>98</v>
      </c>
      <c r="O729" s="13" t="s">
        <v>42</v>
      </c>
      <c r="P729" s="13">
        <f t="shared" si="28"/>
        <v>10</v>
      </c>
      <c r="Q729" s="15">
        <f t="shared" si="29"/>
        <v>16.8</v>
      </c>
      <c r="R729" s="13" t="s">
        <v>2922</v>
      </c>
      <c r="S729" s="13"/>
      <c r="T729" s="13" t="s">
        <v>1152</v>
      </c>
      <c r="U729" s="13" t="s">
        <v>2923</v>
      </c>
      <c r="V729" s="13" t="s">
        <v>3980</v>
      </c>
      <c r="W729" s="13"/>
      <c r="X729" s="13" t="s">
        <v>3980</v>
      </c>
      <c r="Y729" s="13" t="s">
        <v>3980</v>
      </c>
      <c r="Z729" s="13" t="s">
        <v>3980</v>
      </c>
      <c r="AC729" s="18"/>
      <c r="AE729" s="13"/>
    </row>
    <row r="730" spans="1:31" x14ac:dyDescent="0.25">
      <c r="A730" s="18" t="s">
        <v>2106</v>
      </c>
      <c r="B730" s="30">
        <v>2011</v>
      </c>
      <c r="C730" s="13">
        <v>187</v>
      </c>
      <c r="D730" s="14">
        <v>0.371</v>
      </c>
      <c r="E730" s="14">
        <v>0.67700000000000005</v>
      </c>
      <c r="F730" s="13">
        <v>6</v>
      </c>
      <c r="G730" s="14">
        <v>0.32200000000000001</v>
      </c>
      <c r="H730" s="18" t="s">
        <v>3609</v>
      </c>
      <c r="I730" s="18" t="s">
        <v>1327</v>
      </c>
      <c r="J730" s="18" t="s">
        <v>105</v>
      </c>
      <c r="L730" s="9">
        <f t="shared" ref="L730:L735" si="31">B730</f>
        <v>2011</v>
      </c>
      <c r="M730" s="11"/>
      <c r="N730" s="30" t="s">
        <v>277</v>
      </c>
      <c r="O730" s="13" t="s">
        <v>42</v>
      </c>
      <c r="P730" s="13">
        <f t="shared" si="28"/>
        <v>7</v>
      </c>
      <c r="Q730" s="15">
        <f t="shared" si="29"/>
        <v>26.714285714285715</v>
      </c>
      <c r="R730" s="13" t="s">
        <v>2107</v>
      </c>
      <c r="S730" s="13"/>
      <c r="T730" s="13" t="s">
        <v>1600</v>
      </c>
      <c r="U730" s="13"/>
      <c r="V730" s="13" t="s">
        <v>3980</v>
      </c>
      <c r="W730" s="13"/>
      <c r="X730" s="13" t="s">
        <v>3980</v>
      </c>
      <c r="Y730" s="13" t="s">
        <v>3980</v>
      </c>
      <c r="Z730" s="13" t="s">
        <v>3980</v>
      </c>
      <c r="AC730" s="18"/>
      <c r="AE730" s="13"/>
    </row>
    <row r="731" spans="1:31" x14ac:dyDescent="0.25">
      <c r="A731" s="18" t="s">
        <v>2691</v>
      </c>
      <c r="B731" s="30">
        <v>1993</v>
      </c>
      <c r="C731" s="13">
        <v>2401</v>
      </c>
      <c r="D731" s="14">
        <v>0.87</v>
      </c>
      <c r="E731" s="14">
        <v>0.71499999999999997</v>
      </c>
      <c r="F731" s="13">
        <v>11</v>
      </c>
      <c r="G731" s="14">
        <v>0.56000000000000005</v>
      </c>
      <c r="I731" s="18" t="s">
        <v>1327</v>
      </c>
      <c r="J731" s="18" t="s">
        <v>26</v>
      </c>
      <c r="L731" s="9">
        <f t="shared" si="31"/>
        <v>1993</v>
      </c>
      <c r="N731" s="30" t="s">
        <v>858</v>
      </c>
      <c r="O731" s="13" t="s">
        <v>42</v>
      </c>
      <c r="P731" s="13">
        <f t="shared" si="28"/>
        <v>25</v>
      </c>
      <c r="Q731" s="15">
        <f t="shared" si="29"/>
        <v>96.04</v>
      </c>
      <c r="R731" s="13" t="s">
        <v>2692</v>
      </c>
      <c r="S731" s="13"/>
      <c r="T731" s="13" t="s">
        <v>2693</v>
      </c>
      <c r="U731" s="13"/>
      <c r="V731" s="13" t="s">
        <v>3980</v>
      </c>
      <c r="W731" s="13"/>
      <c r="X731" s="13" t="s">
        <v>3980</v>
      </c>
      <c r="Y731" s="13" t="s">
        <v>3980</v>
      </c>
      <c r="Z731" s="13" t="s">
        <v>3980</v>
      </c>
      <c r="AC731" s="18"/>
      <c r="AE731" s="13"/>
    </row>
    <row r="732" spans="1:31" x14ac:dyDescent="0.25">
      <c r="A732" s="18" t="s">
        <v>1326</v>
      </c>
      <c r="B732" s="30">
        <v>2013</v>
      </c>
      <c r="C732" s="13">
        <v>65</v>
      </c>
      <c r="D732" s="14">
        <v>0.20399999999999999</v>
      </c>
      <c r="E732" s="14">
        <v>0.38900000000000001</v>
      </c>
      <c r="F732" s="13">
        <v>4</v>
      </c>
      <c r="G732" s="14">
        <v>0.19600000000000001</v>
      </c>
      <c r="H732" s="18" t="s">
        <v>3492</v>
      </c>
      <c r="I732" s="18" t="s">
        <v>1327</v>
      </c>
      <c r="J732" s="18" t="s">
        <v>105</v>
      </c>
      <c r="K732" s="4"/>
      <c r="L732" s="9">
        <f t="shared" si="31"/>
        <v>2013</v>
      </c>
      <c r="N732" s="30" t="s">
        <v>88</v>
      </c>
      <c r="O732" s="13" t="s">
        <v>42</v>
      </c>
      <c r="P732" s="13">
        <f t="shared" si="28"/>
        <v>5</v>
      </c>
      <c r="Q732" s="15">
        <f t="shared" si="29"/>
        <v>13</v>
      </c>
      <c r="R732" s="13" t="s">
        <v>1328</v>
      </c>
      <c r="S732" s="13"/>
      <c r="T732" s="13" t="s">
        <v>1329</v>
      </c>
      <c r="U732" s="13"/>
      <c r="V732" s="13" t="s">
        <v>3980</v>
      </c>
      <c r="W732" s="13"/>
      <c r="X732" s="13" t="s">
        <v>3980</v>
      </c>
      <c r="Y732" s="13" t="s">
        <v>3980</v>
      </c>
      <c r="Z732" s="13" t="s">
        <v>3980</v>
      </c>
      <c r="AC732" s="18"/>
      <c r="AE732" s="1"/>
    </row>
    <row r="733" spans="1:31" x14ac:dyDescent="0.25">
      <c r="A733" s="18" t="s">
        <v>2758</v>
      </c>
      <c r="B733" s="30">
        <v>2003</v>
      </c>
      <c r="C733" s="13">
        <v>567</v>
      </c>
      <c r="D733" s="14">
        <v>0.58499999999999996</v>
      </c>
      <c r="E733" s="14">
        <v>0.66700000000000004</v>
      </c>
      <c r="F733" s="13">
        <v>8</v>
      </c>
      <c r="G733" s="14">
        <v>0.434</v>
      </c>
      <c r="I733" s="18" t="s">
        <v>1327</v>
      </c>
      <c r="J733" s="18" t="s">
        <v>54</v>
      </c>
      <c r="K733" s="4"/>
      <c r="L733" s="9">
        <f t="shared" si="31"/>
        <v>2003</v>
      </c>
      <c r="N733" s="30" t="s">
        <v>858</v>
      </c>
      <c r="O733" s="13" t="s">
        <v>28</v>
      </c>
      <c r="P733" s="13">
        <f t="shared" si="28"/>
        <v>15</v>
      </c>
      <c r="Q733" s="15">
        <f t="shared" si="29"/>
        <v>37.799999999999997</v>
      </c>
      <c r="R733" s="13" t="s">
        <v>130</v>
      </c>
      <c r="S733" s="13"/>
      <c r="T733" s="13" t="s">
        <v>2759</v>
      </c>
      <c r="U733" s="13"/>
      <c r="V733" s="13" t="s">
        <v>3980</v>
      </c>
      <c r="W733" s="13"/>
      <c r="X733" s="13" t="s">
        <v>3980</v>
      </c>
      <c r="Y733" s="13" t="s">
        <v>3980</v>
      </c>
      <c r="Z733" s="13" t="s">
        <v>3980</v>
      </c>
      <c r="AC733" s="18"/>
      <c r="AE733" s="1"/>
    </row>
    <row r="734" spans="1:31" x14ac:dyDescent="0.25">
      <c r="A734" s="28" t="s">
        <v>1844</v>
      </c>
      <c r="B734" s="30">
        <v>2000</v>
      </c>
      <c r="C734" s="13">
        <v>36</v>
      </c>
      <c r="D734" s="14">
        <v>0.14399999999999999</v>
      </c>
      <c r="E734" s="14">
        <v>0.114</v>
      </c>
      <c r="F734" s="13">
        <v>4</v>
      </c>
      <c r="G734" s="14">
        <v>0.19600000000000001</v>
      </c>
      <c r="I734" s="18" t="s">
        <v>1327</v>
      </c>
      <c r="J734" s="18" t="s">
        <v>54</v>
      </c>
      <c r="K734" s="4"/>
      <c r="L734" s="9">
        <f t="shared" si="31"/>
        <v>2000</v>
      </c>
      <c r="N734" s="30" t="s">
        <v>277</v>
      </c>
      <c r="O734" s="13" t="s">
        <v>28</v>
      </c>
      <c r="P734" s="13">
        <f t="shared" si="28"/>
        <v>18</v>
      </c>
      <c r="Q734" s="15">
        <f t="shared" si="29"/>
        <v>2</v>
      </c>
      <c r="R734" s="13" t="s">
        <v>173</v>
      </c>
      <c r="S734" s="13" t="s">
        <v>1200</v>
      </c>
      <c r="T734" s="13" t="s">
        <v>1845</v>
      </c>
      <c r="U734" s="13"/>
      <c r="V734" s="13" t="s">
        <v>3980</v>
      </c>
      <c r="W734" s="13"/>
      <c r="X734" s="13" t="s">
        <v>3980</v>
      </c>
      <c r="Y734" s="13" t="s">
        <v>3980</v>
      </c>
      <c r="Z734" s="13" t="s">
        <v>3980</v>
      </c>
      <c r="AC734" s="18"/>
      <c r="AE734" s="13"/>
    </row>
    <row r="735" spans="1:31" x14ac:dyDescent="0.25">
      <c r="A735" s="18" t="s">
        <v>1567</v>
      </c>
      <c r="B735" s="30">
        <v>2016</v>
      </c>
      <c r="C735" s="8">
        <v>111</v>
      </c>
      <c r="D735" s="14">
        <v>0.28100000000000003</v>
      </c>
      <c r="E735" s="14">
        <v>0.53600000000000003</v>
      </c>
      <c r="F735" s="8">
        <v>5</v>
      </c>
      <c r="G735" s="14">
        <v>0.27400000000000002</v>
      </c>
      <c r="H735" s="18" t="s">
        <v>3591</v>
      </c>
      <c r="I735" s="28" t="s">
        <v>3157</v>
      </c>
      <c r="J735" s="18" t="s">
        <v>105</v>
      </c>
      <c r="L735" s="9">
        <f t="shared" si="31"/>
        <v>2016</v>
      </c>
      <c r="N735" s="28" t="s">
        <v>765</v>
      </c>
      <c r="O735" s="13" t="s">
        <v>42</v>
      </c>
      <c r="P735" s="13">
        <f t="shared" si="28"/>
        <v>2</v>
      </c>
      <c r="Q735" s="15">
        <f t="shared" si="29"/>
        <v>55.5</v>
      </c>
      <c r="R735" s="18" t="s">
        <v>3736</v>
      </c>
      <c r="T735" s="18" t="s">
        <v>3737</v>
      </c>
      <c r="V735" s="18" t="s">
        <v>3980</v>
      </c>
      <c r="X735" s="18" t="s">
        <v>3980</v>
      </c>
      <c r="Y735" s="18" t="s">
        <v>3980</v>
      </c>
      <c r="Z735" s="18" t="s">
        <v>3980</v>
      </c>
      <c r="AC735" s="18"/>
      <c r="AE735" s="1"/>
    </row>
    <row r="736" spans="1:31" x14ac:dyDescent="0.25">
      <c r="A736" s="18" t="s">
        <v>4863</v>
      </c>
      <c r="B736" s="30">
        <v>2003</v>
      </c>
      <c r="C736" s="13">
        <v>2046</v>
      </c>
      <c r="D736" s="14">
        <v>0.84</v>
      </c>
      <c r="E736" s="14">
        <v>0.94799999999999995</v>
      </c>
      <c r="F736" s="13">
        <v>22</v>
      </c>
      <c r="G736" s="14">
        <v>0.85699999999999998</v>
      </c>
      <c r="H736" s="18" t="s">
        <v>3406</v>
      </c>
      <c r="I736" s="26" t="s">
        <v>59</v>
      </c>
      <c r="J736" s="18" t="s">
        <v>54</v>
      </c>
      <c r="K736" s="4"/>
      <c r="L736" s="9">
        <v>2003</v>
      </c>
      <c r="N736" s="30" t="s">
        <v>219</v>
      </c>
      <c r="O736" s="13" t="s">
        <v>28</v>
      </c>
      <c r="P736" s="13">
        <f t="shared" si="28"/>
        <v>15</v>
      </c>
      <c r="Q736" s="15">
        <f t="shared" si="29"/>
        <v>136.4</v>
      </c>
      <c r="R736" s="13" t="s">
        <v>1020</v>
      </c>
      <c r="S736" s="13" t="s">
        <v>62</v>
      </c>
      <c r="T736" s="13" t="s">
        <v>1021</v>
      </c>
      <c r="U736" s="13" t="s">
        <v>1022</v>
      </c>
      <c r="V736" s="13" t="s">
        <v>4199</v>
      </c>
      <c r="W736" s="13"/>
      <c r="X736" s="13" t="s">
        <v>4650</v>
      </c>
      <c r="Y736" s="13" t="s">
        <v>3980</v>
      </c>
      <c r="Z736" s="13" t="s">
        <v>3980</v>
      </c>
      <c r="AC736" s="18"/>
      <c r="AE736" s="1"/>
    </row>
    <row r="737" spans="1:31" x14ac:dyDescent="0.25">
      <c r="A737" s="18" t="s">
        <v>5096</v>
      </c>
      <c r="B737" s="30">
        <v>2012</v>
      </c>
      <c r="C737" s="13">
        <v>107</v>
      </c>
      <c r="D737" s="14">
        <v>0.27600000000000002</v>
      </c>
      <c r="E737" s="14">
        <v>0.52200000000000002</v>
      </c>
      <c r="F737" s="13">
        <v>3</v>
      </c>
      <c r="G737" s="14">
        <v>0.13100000000000001</v>
      </c>
      <c r="I737" s="18" t="s">
        <v>59</v>
      </c>
      <c r="J737" s="4" t="s">
        <v>105</v>
      </c>
      <c r="L737" s="9">
        <f>B737</f>
        <v>2012</v>
      </c>
      <c r="M737" s="11"/>
      <c r="N737" s="30" t="s">
        <v>59</v>
      </c>
      <c r="O737" s="13" t="s">
        <v>28</v>
      </c>
      <c r="P737" s="13">
        <f t="shared" si="28"/>
        <v>6</v>
      </c>
      <c r="Q737" s="15">
        <f t="shared" si="29"/>
        <v>17.833333333333332</v>
      </c>
      <c r="R737" s="13" t="s">
        <v>718</v>
      </c>
      <c r="S737" s="13" t="s">
        <v>718</v>
      </c>
      <c r="T737" s="13" t="s">
        <v>1668</v>
      </c>
      <c r="U737" s="13"/>
      <c r="V737" s="13" t="s">
        <v>3980</v>
      </c>
      <c r="W737" s="13"/>
      <c r="X737" s="13" t="s">
        <v>3980</v>
      </c>
      <c r="Y737" s="13" t="s">
        <v>3980</v>
      </c>
      <c r="Z737" s="13" t="s">
        <v>3980</v>
      </c>
      <c r="AC737" s="18"/>
      <c r="AE737" s="16"/>
    </row>
    <row r="738" spans="1:31" x14ac:dyDescent="0.25">
      <c r="A738" s="18" t="s">
        <v>1721</v>
      </c>
      <c r="B738" s="30">
        <v>1996</v>
      </c>
      <c r="C738" s="13">
        <v>2993</v>
      </c>
      <c r="D738" s="14">
        <v>0.89200000000000002</v>
      </c>
      <c r="E738" s="14">
        <v>0.75800000000000001</v>
      </c>
      <c r="F738" s="13">
        <v>24</v>
      </c>
      <c r="G738" s="14">
        <v>0.88300000000000001</v>
      </c>
      <c r="I738" s="26" t="s">
        <v>59</v>
      </c>
      <c r="J738" s="18" t="s">
        <v>26</v>
      </c>
      <c r="L738" s="9">
        <v>1996</v>
      </c>
      <c r="N738" s="30" t="s">
        <v>40</v>
      </c>
      <c r="O738" s="13" t="s">
        <v>28</v>
      </c>
      <c r="P738" s="13">
        <f t="shared" si="28"/>
        <v>22</v>
      </c>
      <c r="Q738" s="15">
        <f t="shared" si="29"/>
        <v>136.04545454545453</v>
      </c>
      <c r="R738" s="13" t="s">
        <v>1722</v>
      </c>
      <c r="S738" s="13"/>
      <c r="T738" s="13" t="s">
        <v>1723</v>
      </c>
      <c r="U738" s="13" t="s">
        <v>1724</v>
      </c>
      <c r="V738" s="13" t="s">
        <v>3980</v>
      </c>
      <c r="W738" s="13"/>
      <c r="X738" s="13" t="s">
        <v>4651</v>
      </c>
      <c r="Y738" s="13" t="s">
        <v>3980</v>
      </c>
      <c r="Z738" s="13" t="s">
        <v>3980</v>
      </c>
      <c r="AC738" s="18"/>
      <c r="AE738" s="13"/>
    </row>
    <row r="739" spans="1:31" x14ac:dyDescent="0.25">
      <c r="A739" s="18" t="s">
        <v>2451</v>
      </c>
      <c r="B739" s="30">
        <v>2017</v>
      </c>
      <c r="C739" s="8">
        <v>1</v>
      </c>
      <c r="D739" s="14">
        <v>0</v>
      </c>
      <c r="E739" s="14">
        <v>0</v>
      </c>
      <c r="F739" s="8">
        <v>1</v>
      </c>
      <c r="G739" s="14">
        <v>0</v>
      </c>
      <c r="I739" s="26" t="s">
        <v>59</v>
      </c>
      <c r="J739" t="s">
        <v>105</v>
      </c>
      <c r="L739" s="9">
        <f>B739</f>
        <v>2017</v>
      </c>
      <c r="N739" s="28" t="s">
        <v>161</v>
      </c>
      <c r="O739" s="13" t="s">
        <v>28</v>
      </c>
      <c r="P739" s="13">
        <f t="shared" si="28"/>
        <v>1</v>
      </c>
      <c r="Q739" s="15">
        <f t="shared" si="29"/>
        <v>1</v>
      </c>
      <c r="R739" s="18" t="s">
        <v>3761</v>
      </c>
      <c r="T739" s="18" t="s">
        <v>3762</v>
      </c>
      <c r="V739" s="18" t="s">
        <v>3980</v>
      </c>
      <c r="X739" s="18" t="s">
        <v>3980</v>
      </c>
      <c r="Y739" s="18" t="s">
        <v>3980</v>
      </c>
      <c r="Z739" s="18" t="s">
        <v>3980</v>
      </c>
      <c r="AC739" s="18"/>
      <c r="AE739" s="13"/>
    </row>
    <row r="740" spans="1:31" x14ac:dyDescent="0.25">
      <c r="A740" s="18" t="s">
        <v>1072</v>
      </c>
      <c r="B740" s="30">
        <v>2003</v>
      </c>
      <c r="C740" s="13">
        <v>1414</v>
      </c>
      <c r="D740" s="14">
        <v>0.77200000000000002</v>
      </c>
      <c r="E740" s="14">
        <v>0.54600000000000004</v>
      </c>
      <c r="F740" s="13">
        <v>24</v>
      </c>
      <c r="G740" s="14">
        <v>0.88300000000000001</v>
      </c>
      <c r="H740" s="18" t="s">
        <v>3420</v>
      </c>
      <c r="I740" s="18" t="s">
        <v>59</v>
      </c>
      <c r="J740" s="4" t="s">
        <v>26</v>
      </c>
      <c r="L740" s="9">
        <v>2003</v>
      </c>
      <c r="M740" s="11"/>
      <c r="N740" s="30" t="s">
        <v>77</v>
      </c>
      <c r="O740" s="13" t="s">
        <v>42</v>
      </c>
      <c r="P740" s="13">
        <f t="shared" si="28"/>
        <v>15</v>
      </c>
      <c r="Q740" s="15">
        <f t="shared" si="29"/>
        <v>94.266666666666666</v>
      </c>
      <c r="R740" s="13" t="s">
        <v>1073</v>
      </c>
      <c r="S740" s="13"/>
      <c r="T740" s="13" t="s">
        <v>1074</v>
      </c>
      <c r="U740" s="13" t="s">
        <v>1075</v>
      </c>
      <c r="V740" s="13" t="s">
        <v>4200</v>
      </c>
      <c r="W740" s="13"/>
      <c r="X740" s="13" t="s">
        <v>4652</v>
      </c>
      <c r="Y740" s="13" t="s">
        <v>3980</v>
      </c>
      <c r="Z740" s="13" t="s">
        <v>3980</v>
      </c>
      <c r="AC740" s="18"/>
      <c r="AE740" s="1"/>
    </row>
    <row r="741" spans="1:31" x14ac:dyDescent="0.25">
      <c r="A741" s="18" t="s">
        <v>409</v>
      </c>
      <c r="B741" s="30">
        <v>2004</v>
      </c>
      <c r="C741" s="13">
        <v>1433</v>
      </c>
      <c r="D741" s="14">
        <v>0.77500000000000002</v>
      </c>
      <c r="E741" s="14">
        <v>0.98499999999999999</v>
      </c>
      <c r="F741" s="13">
        <v>18</v>
      </c>
      <c r="G741" s="14">
        <v>0.78700000000000003</v>
      </c>
      <c r="H741" s="18" t="s">
        <v>3241</v>
      </c>
      <c r="I741" s="26" t="s">
        <v>59</v>
      </c>
      <c r="J741" s="18" t="s">
        <v>105</v>
      </c>
      <c r="L741" s="9">
        <v>2004</v>
      </c>
      <c r="N741" s="30" t="s">
        <v>88</v>
      </c>
      <c r="O741" s="13" t="s">
        <v>28</v>
      </c>
      <c r="P741" s="13">
        <f t="shared" si="28"/>
        <v>14</v>
      </c>
      <c r="Q741" s="15">
        <f t="shared" si="29"/>
        <v>102.35714285714286</v>
      </c>
      <c r="R741" s="13" t="s">
        <v>410</v>
      </c>
      <c r="S741" s="13"/>
      <c r="T741" s="13" t="s">
        <v>411</v>
      </c>
      <c r="U741" s="13" t="s">
        <v>412</v>
      </c>
      <c r="V741" s="13" t="s">
        <v>3980</v>
      </c>
      <c r="W741" s="13"/>
      <c r="X741" s="13" t="s">
        <v>4653</v>
      </c>
      <c r="Y741" s="13" t="s">
        <v>3980</v>
      </c>
      <c r="Z741" s="13" t="s">
        <v>3980</v>
      </c>
      <c r="AC741" s="18"/>
      <c r="AE741" s="18"/>
    </row>
    <row r="742" spans="1:31" x14ac:dyDescent="0.25">
      <c r="A742" s="18" t="s">
        <v>4922</v>
      </c>
      <c r="B742" s="30">
        <v>1982</v>
      </c>
      <c r="C742" s="13">
        <v>4634</v>
      </c>
      <c r="D742" s="14">
        <v>0.93700000000000006</v>
      </c>
      <c r="E742" s="14">
        <v>0.85599999999999998</v>
      </c>
      <c r="F742" s="13">
        <v>32</v>
      </c>
      <c r="G742" s="14">
        <v>0.94399999999999995</v>
      </c>
      <c r="H742" s="18" t="s">
        <v>3167</v>
      </c>
      <c r="I742" s="18" t="s">
        <v>59</v>
      </c>
      <c r="J742" s="18" t="s">
        <v>26</v>
      </c>
      <c r="L742" s="9">
        <v>1982</v>
      </c>
      <c r="N742" s="30" t="s">
        <v>60</v>
      </c>
      <c r="O742" s="13" t="s">
        <v>28</v>
      </c>
      <c r="P742" s="13">
        <f t="shared" si="28"/>
        <v>36</v>
      </c>
      <c r="Q742" s="15">
        <f t="shared" si="29"/>
        <v>128.72222222222223</v>
      </c>
      <c r="R742" s="13" t="s">
        <v>61</v>
      </c>
      <c r="S742" s="13" t="s">
        <v>62</v>
      </c>
      <c r="T742" s="13" t="s">
        <v>63</v>
      </c>
      <c r="U742" s="13" t="s">
        <v>64</v>
      </c>
      <c r="V742" s="13" t="s">
        <v>4201</v>
      </c>
      <c r="W742" s="13"/>
      <c r="X742" s="13" t="s">
        <v>4654</v>
      </c>
      <c r="Y742" s="13" t="s">
        <v>3980</v>
      </c>
      <c r="Z742" s="13" t="s">
        <v>3980</v>
      </c>
      <c r="AC742" s="18"/>
      <c r="AE742" s="16"/>
    </row>
    <row r="743" spans="1:31" x14ac:dyDescent="0.25">
      <c r="A743" s="18" t="s">
        <v>653</v>
      </c>
      <c r="B743" s="30">
        <v>2012</v>
      </c>
      <c r="C743" s="13">
        <v>35</v>
      </c>
      <c r="D743" s="14">
        <v>0.13800000000000001</v>
      </c>
      <c r="E743" s="14">
        <v>0.28000000000000003</v>
      </c>
      <c r="F743" s="13">
        <v>3</v>
      </c>
      <c r="G743" s="14">
        <v>0.13100000000000001</v>
      </c>
      <c r="H743" s="18" t="s">
        <v>3304</v>
      </c>
      <c r="I743" s="18" t="s">
        <v>59</v>
      </c>
      <c r="J743" s="4" t="s">
        <v>105</v>
      </c>
      <c r="L743" s="9">
        <v>2012</v>
      </c>
      <c r="N743" s="30" t="s">
        <v>41</v>
      </c>
      <c r="O743" s="13" t="s">
        <v>28</v>
      </c>
      <c r="P743" s="13">
        <f t="shared" si="28"/>
        <v>6</v>
      </c>
      <c r="Q743" s="15">
        <f t="shared" si="29"/>
        <v>5.833333333333333</v>
      </c>
      <c r="R743" s="13" t="s">
        <v>654</v>
      </c>
      <c r="S743" s="13"/>
      <c r="T743" s="13" t="s">
        <v>655</v>
      </c>
      <c r="U743" s="13"/>
      <c r="V743" s="13" t="s">
        <v>4202</v>
      </c>
      <c r="W743" s="13"/>
      <c r="X743" s="13" t="s">
        <v>4655</v>
      </c>
      <c r="Y743" s="13" t="s">
        <v>3980</v>
      </c>
      <c r="Z743" s="13" t="s">
        <v>3980</v>
      </c>
      <c r="AC743" s="18"/>
      <c r="AE743" s="1"/>
    </row>
    <row r="744" spans="1:31" x14ac:dyDescent="0.25">
      <c r="A744" s="18" t="s">
        <v>1105</v>
      </c>
      <c r="B744" s="30">
        <v>1992</v>
      </c>
      <c r="C744" s="13">
        <v>1426</v>
      </c>
      <c r="D744" s="14">
        <v>0.77400000000000002</v>
      </c>
      <c r="E744" s="14">
        <v>0.55300000000000005</v>
      </c>
      <c r="F744" s="13">
        <v>12</v>
      </c>
      <c r="G744" s="14">
        <v>0.60899999999999999</v>
      </c>
      <c r="H744" s="18" t="s">
        <v>3430</v>
      </c>
      <c r="I744" s="18" t="s">
        <v>825</v>
      </c>
      <c r="J744" s="4" t="s">
        <v>26</v>
      </c>
      <c r="K744" s="4"/>
      <c r="L744" s="9">
        <v>1992</v>
      </c>
      <c r="N744" s="30" t="s">
        <v>187</v>
      </c>
      <c r="O744" s="13" t="s">
        <v>42</v>
      </c>
      <c r="P744" s="13">
        <f t="shared" si="28"/>
        <v>26</v>
      </c>
      <c r="Q744" s="15">
        <f t="shared" si="29"/>
        <v>54.846153846153847</v>
      </c>
      <c r="R744" s="13" t="s">
        <v>294</v>
      </c>
      <c r="S744" s="13"/>
      <c r="T744" s="13" t="s">
        <v>1106</v>
      </c>
      <c r="U744" s="13" t="s">
        <v>1107</v>
      </c>
      <c r="V744" s="13" t="s">
        <v>4203</v>
      </c>
      <c r="W744" s="13"/>
      <c r="X744" s="13" t="s">
        <v>4656</v>
      </c>
      <c r="Y744" s="13" t="s">
        <v>3980</v>
      </c>
      <c r="Z744" s="13" t="s">
        <v>3980</v>
      </c>
      <c r="AC744" s="18"/>
      <c r="AE744" s="1"/>
    </row>
    <row r="745" spans="1:31" x14ac:dyDescent="0.25">
      <c r="A745" s="18" t="s">
        <v>4898</v>
      </c>
      <c r="B745" s="30">
        <v>1997</v>
      </c>
      <c r="C745" s="13">
        <v>858</v>
      </c>
      <c r="D745" s="14">
        <v>0.67200000000000004</v>
      </c>
      <c r="E745" s="14">
        <v>0.41899999999999998</v>
      </c>
      <c r="F745" s="13">
        <v>14</v>
      </c>
      <c r="G745" s="14">
        <v>0.67900000000000005</v>
      </c>
      <c r="H745" s="18" t="s">
        <v>3682</v>
      </c>
      <c r="I745" s="18" t="s">
        <v>825</v>
      </c>
      <c r="J745" s="18" t="s">
        <v>26</v>
      </c>
      <c r="L745" s="9">
        <v>1997</v>
      </c>
      <c r="M745" s="11"/>
      <c r="N745" s="30" t="s">
        <v>220</v>
      </c>
      <c r="O745" s="13" t="s">
        <v>42</v>
      </c>
      <c r="P745" s="13">
        <f t="shared" si="28"/>
        <v>21</v>
      </c>
      <c r="Q745" s="15">
        <f t="shared" si="29"/>
        <v>40.857142857142854</v>
      </c>
      <c r="R745" s="13" t="s">
        <v>1905</v>
      </c>
      <c r="S745" s="13" t="s">
        <v>239</v>
      </c>
      <c r="T745" s="13" t="s">
        <v>1906</v>
      </c>
      <c r="U745" s="13" t="s">
        <v>1907</v>
      </c>
      <c r="V745" s="13" t="s">
        <v>3980</v>
      </c>
      <c r="W745" s="13"/>
      <c r="X745" s="13" t="s">
        <v>4657</v>
      </c>
      <c r="Y745" s="13" t="s">
        <v>3980</v>
      </c>
      <c r="Z745" s="13" t="s">
        <v>3980</v>
      </c>
      <c r="AC745" s="18"/>
      <c r="AE745" s="13"/>
    </row>
    <row r="746" spans="1:31" x14ac:dyDescent="0.25">
      <c r="A746" s="18" t="s">
        <v>1948</v>
      </c>
      <c r="B746" s="30">
        <v>2009</v>
      </c>
      <c r="C746" s="13">
        <v>5</v>
      </c>
      <c r="D746" s="14">
        <v>4.2999999999999997E-2</v>
      </c>
      <c r="E746" s="14">
        <v>8.6999999999999994E-2</v>
      </c>
      <c r="F746" s="13">
        <v>1</v>
      </c>
      <c r="G746" s="14">
        <v>0</v>
      </c>
      <c r="I746" s="18" t="s">
        <v>825</v>
      </c>
      <c r="J746" s="18" t="s">
        <v>105</v>
      </c>
      <c r="L746" s="9">
        <v>2009</v>
      </c>
      <c r="N746" s="30" t="s">
        <v>1949</v>
      </c>
      <c r="O746" s="13" t="s">
        <v>42</v>
      </c>
      <c r="P746" s="13">
        <f t="shared" si="28"/>
        <v>9</v>
      </c>
      <c r="Q746" s="15">
        <f t="shared" si="29"/>
        <v>0.55555555555555558</v>
      </c>
      <c r="R746" s="13" t="s">
        <v>1950</v>
      </c>
      <c r="S746" s="13"/>
      <c r="T746" s="13" t="s">
        <v>1951</v>
      </c>
      <c r="U746" s="13"/>
      <c r="V746" s="13" t="s">
        <v>3980</v>
      </c>
      <c r="W746" s="13"/>
      <c r="X746" s="13" t="s">
        <v>4658</v>
      </c>
      <c r="Y746" s="13" t="s">
        <v>3980</v>
      </c>
      <c r="Z746" s="13" t="s">
        <v>3980</v>
      </c>
      <c r="AC746" s="18"/>
      <c r="AE746" s="13"/>
    </row>
    <row r="747" spans="1:31" x14ac:dyDescent="0.25">
      <c r="A747" s="18" t="s">
        <v>4901</v>
      </c>
      <c r="B747" s="30">
        <v>1981</v>
      </c>
      <c r="C747" s="13">
        <v>634</v>
      </c>
      <c r="D747" s="14">
        <v>0.61199999999999999</v>
      </c>
      <c r="E747" s="14">
        <v>0.70199999999999996</v>
      </c>
      <c r="F747" s="13">
        <v>11</v>
      </c>
      <c r="G747" s="14">
        <v>0.56000000000000005</v>
      </c>
      <c r="I747" s="18" t="s">
        <v>825</v>
      </c>
      <c r="J747" s="18" t="s">
        <v>54</v>
      </c>
      <c r="K747" s="4"/>
      <c r="L747" s="9">
        <v>1981</v>
      </c>
      <c r="N747" s="30" t="s">
        <v>1910</v>
      </c>
      <c r="O747" s="13" t="s">
        <v>42</v>
      </c>
      <c r="P747" s="13">
        <f t="shared" si="28"/>
        <v>37</v>
      </c>
      <c r="Q747" s="15">
        <f t="shared" si="29"/>
        <v>17.135135135135137</v>
      </c>
      <c r="R747" s="13" t="s">
        <v>1911</v>
      </c>
      <c r="S747" s="13" t="s">
        <v>62</v>
      </c>
      <c r="T747" s="13" t="s">
        <v>1912</v>
      </c>
      <c r="U747" s="13" t="s">
        <v>1913</v>
      </c>
      <c r="V747" s="13" t="s">
        <v>3980</v>
      </c>
      <c r="W747" s="13"/>
      <c r="X747" s="13" t="s">
        <v>4659</v>
      </c>
      <c r="Y747" s="13" t="s">
        <v>3980</v>
      </c>
      <c r="Z747" s="13" t="s">
        <v>3980</v>
      </c>
      <c r="AC747" s="18"/>
      <c r="AE747" s="1"/>
    </row>
    <row r="748" spans="1:31" x14ac:dyDescent="0.25">
      <c r="A748" s="18" t="s">
        <v>824</v>
      </c>
      <c r="B748" s="30">
        <v>2013</v>
      </c>
      <c r="C748" s="13">
        <v>5</v>
      </c>
      <c r="D748" s="14">
        <v>4.2999999999999997E-2</v>
      </c>
      <c r="E748" s="14">
        <v>8.6999999999999994E-2</v>
      </c>
      <c r="F748" s="13">
        <v>1</v>
      </c>
      <c r="G748" s="14">
        <v>0</v>
      </c>
      <c r="H748" s="18" t="s">
        <v>3346</v>
      </c>
      <c r="I748" s="18" t="s">
        <v>825</v>
      </c>
      <c r="J748" s="4" t="s">
        <v>105</v>
      </c>
      <c r="L748" s="9">
        <v>2013</v>
      </c>
      <c r="N748" s="30" t="s">
        <v>111</v>
      </c>
      <c r="O748" s="13" t="s">
        <v>28</v>
      </c>
      <c r="P748" s="13">
        <f t="shared" si="28"/>
        <v>5</v>
      </c>
      <c r="Q748" s="15">
        <f t="shared" si="29"/>
        <v>1</v>
      </c>
      <c r="R748" s="13" t="s">
        <v>826</v>
      </c>
      <c r="S748" s="13"/>
      <c r="T748" s="13" t="s">
        <v>827</v>
      </c>
      <c r="U748" s="13" t="s">
        <v>828</v>
      </c>
      <c r="V748" s="13" t="s">
        <v>3980</v>
      </c>
      <c r="W748" s="13"/>
      <c r="X748" s="13" t="s">
        <v>3980</v>
      </c>
      <c r="Y748" s="13" t="s">
        <v>3980</v>
      </c>
      <c r="Z748" s="13" t="s">
        <v>3980</v>
      </c>
      <c r="AC748" s="18"/>
      <c r="AE748" s="1"/>
    </row>
    <row r="749" spans="1:31" x14ac:dyDescent="0.25">
      <c r="A749" s="18" t="s">
        <v>4929</v>
      </c>
      <c r="B749" s="30">
        <v>2006</v>
      </c>
      <c r="C749" s="13">
        <v>801</v>
      </c>
      <c r="D749" s="14">
        <v>0.65800000000000003</v>
      </c>
      <c r="E749" s="14">
        <v>0.747</v>
      </c>
      <c r="F749" s="13">
        <v>12</v>
      </c>
      <c r="G749" s="14">
        <v>0.60899999999999999</v>
      </c>
      <c r="H749" s="18" t="s">
        <v>3697</v>
      </c>
      <c r="I749" s="18" t="s">
        <v>825</v>
      </c>
      <c r="J749" s="4" t="s">
        <v>54</v>
      </c>
      <c r="K749" s="4"/>
      <c r="L749" s="9">
        <v>2006</v>
      </c>
      <c r="N749" s="30" t="s">
        <v>94</v>
      </c>
      <c r="O749" s="13" t="s">
        <v>28</v>
      </c>
      <c r="P749" s="13">
        <f t="shared" si="28"/>
        <v>12</v>
      </c>
      <c r="Q749" s="15">
        <f t="shared" si="29"/>
        <v>66.75</v>
      </c>
      <c r="R749" s="13" t="s">
        <v>2027</v>
      </c>
      <c r="S749" s="13" t="s">
        <v>1024</v>
      </c>
      <c r="T749" s="13" t="s">
        <v>2028</v>
      </c>
      <c r="U749" s="13" t="s">
        <v>2029</v>
      </c>
      <c r="V749" s="13" t="s">
        <v>3980</v>
      </c>
      <c r="W749" s="13"/>
      <c r="X749" s="13" t="s">
        <v>4660</v>
      </c>
      <c r="Y749" s="13" t="s">
        <v>3980</v>
      </c>
      <c r="Z749" s="13" t="s">
        <v>3980</v>
      </c>
      <c r="AC749" s="18"/>
      <c r="AE749" s="1"/>
    </row>
    <row r="750" spans="1:31" x14ac:dyDescent="0.25">
      <c r="A750" s="18" t="s">
        <v>5110</v>
      </c>
      <c r="B750" s="30">
        <v>1994</v>
      </c>
      <c r="C750" s="8">
        <v>1546</v>
      </c>
      <c r="D750" s="14">
        <v>0.79400000000000004</v>
      </c>
      <c r="E750" s="14">
        <v>0.58499999999999996</v>
      </c>
      <c r="F750" s="8">
        <v>25</v>
      </c>
      <c r="G750" s="14">
        <v>0.89500000000000002</v>
      </c>
      <c r="H750" s="18" t="s">
        <v>3546</v>
      </c>
      <c r="I750" s="26" t="s">
        <v>1696</v>
      </c>
      <c r="J750" s="4" t="s">
        <v>26</v>
      </c>
      <c r="L750" s="9">
        <f>B750</f>
        <v>1994</v>
      </c>
      <c r="N750" s="28" t="s">
        <v>788</v>
      </c>
      <c r="O750" s="13" t="s">
        <v>28</v>
      </c>
      <c r="P750" s="13">
        <f t="shared" si="28"/>
        <v>24</v>
      </c>
      <c r="Q750" s="15">
        <f t="shared" si="29"/>
        <v>64.416666666666671</v>
      </c>
      <c r="R750" s="18" t="s">
        <v>3820</v>
      </c>
      <c r="T750" s="18" t="s">
        <v>3821</v>
      </c>
      <c r="V750" s="18" t="s">
        <v>3980</v>
      </c>
      <c r="X750" s="18" t="s">
        <v>3980</v>
      </c>
      <c r="Y750" s="18" t="s">
        <v>3980</v>
      </c>
      <c r="Z750" s="18" t="s">
        <v>3980</v>
      </c>
      <c r="AC750" s="18"/>
      <c r="AE750" s="1"/>
    </row>
    <row r="751" spans="1:31" x14ac:dyDescent="0.25">
      <c r="A751" s="18" t="s">
        <v>1695</v>
      </c>
      <c r="B751" s="30">
        <v>2003</v>
      </c>
      <c r="C751" s="8">
        <v>1207</v>
      </c>
      <c r="D751" s="14">
        <v>0.74</v>
      </c>
      <c r="E751" s="14">
        <v>0.498</v>
      </c>
      <c r="F751" s="8">
        <v>18</v>
      </c>
      <c r="G751" s="14">
        <v>0.78700000000000003</v>
      </c>
      <c r="H751" s="18" t="s">
        <v>4816</v>
      </c>
      <c r="I751" s="26" t="s">
        <v>1696</v>
      </c>
      <c r="J751" s="4" t="s">
        <v>26</v>
      </c>
      <c r="L751" s="9">
        <f>B751</f>
        <v>2003</v>
      </c>
      <c r="N751" s="28" t="s">
        <v>1323</v>
      </c>
      <c r="O751" s="13" t="s">
        <v>42</v>
      </c>
      <c r="P751" s="13">
        <f t="shared" si="28"/>
        <v>15</v>
      </c>
      <c r="Q751" s="15">
        <f t="shared" si="29"/>
        <v>80.466666666666669</v>
      </c>
      <c r="R751" s="18" t="s">
        <v>1178</v>
      </c>
      <c r="T751" s="18" t="s">
        <v>3838</v>
      </c>
      <c r="V751" s="18" t="s">
        <v>3980</v>
      </c>
      <c r="X751" s="18" t="s">
        <v>3980</v>
      </c>
      <c r="Y751" s="18" t="s">
        <v>3980</v>
      </c>
      <c r="Z751" s="18" t="s">
        <v>3980</v>
      </c>
      <c r="AC751" s="18"/>
      <c r="AE751" s="13"/>
    </row>
    <row r="752" spans="1:31" x14ac:dyDescent="0.25">
      <c r="A752" s="18" t="s">
        <v>2738</v>
      </c>
      <c r="B752" s="30">
        <v>1983</v>
      </c>
      <c r="C752" s="13">
        <v>715</v>
      </c>
      <c r="D752" s="14">
        <v>0.63</v>
      </c>
      <c r="E752" s="14">
        <v>0.36199999999999999</v>
      </c>
      <c r="F752" s="13">
        <v>11</v>
      </c>
      <c r="G752" s="14">
        <v>0.56000000000000005</v>
      </c>
      <c r="I752" s="26" t="s">
        <v>1552</v>
      </c>
      <c r="J752" s="18" t="s">
        <v>26</v>
      </c>
      <c r="L752" s="9">
        <v>1983</v>
      </c>
      <c r="M752" s="11"/>
      <c r="N752" s="30" t="s">
        <v>220</v>
      </c>
      <c r="O752" s="13" t="s">
        <v>28</v>
      </c>
      <c r="P752" s="13">
        <f t="shared" si="28"/>
        <v>35</v>
      </c>
      <c r="Q752" s="15">
        <f t="shared" si="29"/>
        <v>20.428571428571427</v>
      </c>
      <c r="R752" s="13" t="s">
        <v>2739</v>
      </c>
      <c r="S752" s="13"/>
      <c r="T752" s="13" t="s">
        <v>2740</v>
      </c>
      <c r="U752" s="13" t="s">
        <v>2741</v>
      </c>
      <c r="V752" s="13" t="s">
        <v>3980</v>
      </c>
      <c r="W752" s="13"/>
      <c r="X752" s="13" t="s">
        <v>4661</v>
      </c>
      <c r="Y752" s="13" t="s">
        <v>3980</v>
      </c>
      <c r="Z752" s="13" t="s">
        <v>3980</v>
      </c>
      <c r="AC752" s="18"/>
      <c r="AE752" s="1"/>
    </row>
    <row r="753" spans="1:31" x14ac:dyDescent="0.25">
      <c r="A753" s="18" t="s">
        <v>1551</v>
      </c>
      <c r="B753" s="30">
        <v>2012</v>
      </c>
      <c r="C753" s="13">
        <v>8</v>
      </c>
      <c r="D753" s="14">
        <v>5.7000000000000002E-2</v>
      </c>
      <c r="E753" s="14">
        <v>0.108</v>
      </c>
      <c r="F753" s="13">
        <v>2</v>
      </c>
      <c r="G753" s="14">
        <v>7.0999999999999994E-2</v>
      </c>
      <c r="I753" s="26" t="s">
        <v>1552</v>
      </c>
      <c r="J753" s="4" t="s">
        <v>105</v>
      </c>
      <c r="L753" s="9">
        <v>2012</v>
      </c>
      <c r="N753" s="30" t="s">
        <v>1553</v>
      </c>
      <c r="O753" s="13" t="s">
        <v>28</v>
      </c>
      <c r="P753" s="13">
        <f t="shared" si="28"/>
        <v>6</v>
      </c>
      <c r="Q753" s="15">
        <f t="shared" si="29"/>
        <v>1.3333333333333333</v>
      </c>
      <c r="R753" s="13" t="s">
        <v>1554</v>
      </c>
      <c r="S753" s="13"/>
      <c r="T753" s="13" t="s">
        <v>1555</v>
      </c>
      <c r="U753" s="13" t="s">
        <v>1556</v>
      </c>
      <c r="V753" s="13" t="s">
        <v>3980</v>
      </c>
      <c r="W753" s="13"/>
      <c r="X753" s="13" t="s">
        <v>3980</v>
      </c>
      <c r="Y753" s="13" t="s">
        <v>3980</v>
      </c>
      <c r="Z753" s="13" t="s">
        <v>3980</v>
      </c>
      <c r="AC753" s="18"/>
      <c r="AE753" s="1"/>
    </row>
    <row r="754" spans="1:31" x14ac:dyDescent="0.25">
      <c r="A754" s="18" t="s">
        <v>2926</v>
      </c>
      <c r="B754" s="30">
        <v>1991</v>
      </c>
      <c r="C754" s="13">
        <v>118</v>
      </c>
      <c r="D754" s="14">
        <v>0.29199999999999998</v>
      </c>
      <c r="E754" s="14">
        <v>0.26900000000000002</v>
      </c>
      <c r="F754" s="13">
        <v>4</v>
      </c>
      <c r="G754" s="14">
        <v>0.19600000000000001</v>
      </c>
      <c r="I754" s="26" t="s">
        <v>1552</v>
      </c>
      <c r="J754" t="s">
        <v>54</v>
      </c>
      <c r="L754" s="9">
        <v>1991</v>
      </c>
      <c r="M754" s="11"/>
      <c r="N754" s="30" t="s">
        <v>111</v>
      </c>
      <c r="O754" s="13" t="s">
        <v>42</v>
      </c>
      <c r="P754" s="13">
        <f t="shared" si="28"/>
        <v>27</v>
      </c>
      <c r="Q754" s="15">
        <f t="shared" si="29"/>
        <v>4.3703703703703702</v>
      </c>
      <c r="R754" s="13" t="s">
        <v>1043</v>
      </c>
      <c r="S754" s="13"/>
      <c r="T754" s="13" t="s">
        <v>2927</v>
      </c>
      <c r="U754" s="13" t="s">
        <v>2928</v>
      </c>
      <c r="V754" s="13" t="s">
        <v>3980</v>
      </c>
      <c r="W754" s="13"/>
      <c r="X754" s="13" t="s">
        <v>4662</v>
      </c>
      <c r="Y754" s="13" t="s">
        <v>3980</v>
      </c>
      <c r="Z754" s="13" t="s">
        <v>3980</v>
      </c>
      <c r="AC754" s="18"/>
      <c r="AE754" s="18"/>
    </row>
    <row r="755" spans="1:31" x14ac:dyDescent="0.25">
      <c r="A755" s="18" t="s">
        <v>3136</v>
      </c>
      <c r="B755" s="30">
        <v>2006</v>
      </c>
      <c r="C755" s="13">
        <v>123</v>
      </c>
      <c r="D755" s="14">
        <v>0.29899999999999999</v>
      </c>
      <c r="E755" s="14">
        <v>0.56100000000000005</v>
      </c>
      <c r="F755" s="13">
        <v>6</v>
      </c>
      <c r="G755" s="14">
        <v>0.32200000000000001</v>
      </c>
      <c r="H755" s="18" t="s">
        <v>4996</v>
      </c>
      <c r="I755" s="26" t="s">
        <v>1552</v>
      </c>
      <c r="J755" t="s">
        <v>105</v>
      </c>
      <c r="L755" s="9">
        <f>B755</f>
        <v>2006</v>
      </c>
      <c r="N755" s="30" t="s">
        <v>3137</v>
      </c>
      <c r="O755" s="13" t="s">
        <v>42</v>
      </c>
      <c r="P755" s="13">
        <f t="shared" si="28"/>
        <v>12</v>
      </c>
      <c r="Q755" s="15">
        <f t="shared" si="29"/>
        <v>10.25</v>
      </c>
      <c r="R755" s="13" t="s">
        <v>766</v>
      </c>
      <c r="S755" s="13"/>
      <c r="T755" s="13" t="s">
        <v>3138</v>
      </c>
      <c r="U755" s="13"/>
      <c r="V755" s="13" t="s">
        <v>3980</v>
      </c>
      <c r="W755" s="13"/>
      <c r="X755" s="13" t="s">
        <v>3980</v>
      </c>
      <c r="Y755" s="13" t="s">
        <v>3980</v>
      </c>
      <c r="Z755" s="13" t="s">
        <v>3980</v>
      </c>
      <c r="AC755" s="18"/>
      <c r="AE755" s="1"/>
    </row>
    <row r="756" spans="1:31" x14ac:dyDescent="0.25">
      <c r="A756" s="18" t="s">
        <v>1715</v>
      </c>
      <c r="B756" s="30">
        <v>2005</v>
      </c>
      <c r="C756" s="13">
        <v>251</v>
      </c>
      <c r="D756" s="14">
        <v>0.41599999999999998</v>
      </c>
      <c r="E756" s="14">
        <v>0.42599999999999999</v>
      </c>
      <c r="F756" s="13">
        <v>6</v>
      </c>
      <c r="G756" s="14">
        <v>0.32200000000000001</v>
      </c>
      <c r="I756" s="26" t="s">
        <v>1552</v>
      </c>
      <c r="J756" s="18" t="s">
        <v>54</v>
      </c>
      <c r="L756" s="9">
        <v>2005</v>
      </c>
      <c r="N756" s="30" t="s">
        <v>337</v>
      </c>
      <c r="O756" s="13" t="s">
        <v>28</v>
      </c>
      <c r="P756" s="13">
        <f t="shared" si="28"/>
        <v>13</v>
      </c>
      <c r="Q756" s="15">
        <f t="shared" si="29"/>
        <v>19.307692307692307</v>
      </c>
      <c r="R756" s="13" t="s">
        <v>1391</v>
      </c>
      <c r="S756" s="13"/>
      <c r="T756" s="13" t="s">
        <v>1716</v>
      </c>
      <c r="U756" s="13" t="s">
        <v>1717</v>
      </c>
      <c r="V756" s="13" t="s">
        <v>4204</v>
      </c>
      <c r="W756" s="13"/>
      <c r="X756" s="13" t="s">
        <v>4663</v>
      </c>
      <c r="Y756" s="13" t="s">
        <v>3980</v>
      </c>
      <c r="Z756" s="13" t="s">
        <v>3980</v>
      </c>
      <c r="AC756" s="18"/>
      <c r="AE756" s="16"/>
    </row>
    <row r="757" spans="1:31" x14ac:dyDescent="0.25">
      <c r="A757" s="18" t="s">
        <v>5095</v>
      </c>
      <c r="B757" s="30">
        <v>1990</v>
      </c>
      <c r="C757" s="13">
        <v>3433</v>
      </c>
      <c r="D757" s="14">
        <v>0.91200000000000003</v>
      </c>
      <c r="E757" s="14">
        <v>0.97899999999999998</v>
      </c>
      <c r="F757" s="13">
        <v>15</v>
      </c>
      <c r="G757" s="14">
        <v>0.71</v>
      </c>
      <c r="H757" s="18" t="s">
        <v>3345</v>
      </c>
      <c r="I757" s="26" t="s">
        <v>77</v>
      </c>
      <c r="J757" s="18" t="s">
        <v>54</v>
      </c>
      <c r="L757" s="9">
        <v>1990</v>
      </c>
      <c r="N757" s="30" t="s">
        <v>41</v>
      </c>
      <c r="O757" s="13" t="s">
        <v>28</v>
      </c>
      <c r="P757" s="13">
        <f t="shared" si="28"/>
        <v>28</v>
      </c>
      <c r="Q757" s="15">
        <f t="shared" si="29"/>
        <v>122.60714285714286</v>
      </c>
      <c r="R757" s="13" t="s">
        <v>718</v>
      </c>
      <c r="S757" s="13" t="s">
        <v>680</v>
      </c>
      <c r="T757" s="13" t="s">
        <v>822</v>
      </c>
      <c r="U757" s="13" t="s">
        <v>823</v>
      </c>
      <c r="V757" s="13" t="s">
        <v>3980</v>
      </c>
      <c r="W757" s="13"/>
      <c r="X757" s="13" t="s">
        <v>4664</v>
      </c>
      <c r="Y757" s="13" t="s">
        <v>3980</v>
      </c>
      <c r="Z757" s="13" t="s">
        <v>3980</v>
      </c>
      <c r="AC757" s="18"/>
      <c r="AE757" s="1"/>
    </row>
    <row r="758" spans="1:31" x14ac:dyDescent="0.25">
      <c r="A758" s="18" t="s">
        <v>1599</v>
      </c>
      <c r="B758" s="30">
        <v>1977</v>
      </c>
      <c r="C758" s="13">
        <v>5836</v>
      </c>
      <c r="D758" s="14">
        <v>0.95499999999999996</v>
      </c>
      <c r="E758" s="14">
        <v>0.89700000000000002</v>
      </c>
      <c r="F758" s="13">
        <v>32</v>
      </c>
      <c r="G758" s="14">
        <v>0.94399999999999995</v>
      </c>
      <c r="I758" s="26" t="s">
        <v>77</v>
      </c>
      <c r="J758" s="18" t="s">
        <v>26</v>
      </c>
      <c r="K758" s="4"/>
      <c r="L758" s="9">
        <f>B758</f>
        <v>1977</v>
      </c>
      <c r="N758" s="30" t="s">
        <v>220</v>
      </c>
      <c r="O758" s="13" t="s">
        <v>28</v>
      </c>
      <c r="P758" s="13">
        <f t="shared" si="28"/>
        <v>41</v>
      </c>
      <c r="Q758" s="15">
        <f t="shared" si="29"/>
        <v>142.34146341463415</v>
      </c>
      <c r="R758" s="13" t="s">
        <v>1600</v>
      </c>
      <c r="S758" s="13"/>
      <c r="T758" s="13" t="s">
        <v>1601</v>
      </c>
      <c r="U758" s="13"/>
      <c r="V758" s="13" t="s">
        <v>3980</v>
      </c>
      <c r="W758" s="13"/>
      <c r="X758" s="13" t="s">
        <v>3980</v>
      </c>
      <c r="Y758" s="13" t="s">
        <v>3980</v>
      </c>
      <c r="Z758" s="13" t="s">
        <v>3980</v>
      </c>
      <c r="AC758" s="18"/>
      <c r="AE758" s="13"/>
    </row>
    <row r="759" spans="1:31" x14ac:dyDescent="0.25">
      <c r="A759" s="18" t="s">
        <v>5010</v>
      </c>
      <c r="B759" s="30">
        <v>2008</v>
      </c>
      <c r="C759" s="13">
        <v>1</v>
      </c>
      <c r="D759" s="14">
        <v>0</v>
      </c>
      <c r="E759" s="14">
        <v>0</v>
      </c>
      <c r="F759" s="13">
        <v>1</v>
      </c>
      <c r="G759" s="14">
        <v>0</v>
      </c>
      <c r="I759" s="26" t="s">
        <v>77</v>
      </c>
      <c r="J759" s="18" t="s">
        <v>54</v>
      </c>
      <c r="L759" s="9">
        <v>2008</v>
      </c>
      <c r="N759" s="30" t="s">
        <v>34</v>
      </c>
      <c r="O759" s="13" t="s">
        <v>42</v>
      </c>
      <c r="P759" s="13">
        <f t="shared" si="28"/>
        <v>10</v>
      </c>
      <c r="Q759" s="15">
        <f t="shared" si="29"/>
        <v>0.1</v>
      </c>
      <c r="R759" s="13" t="s">
        <v>99</v>
      </c>
      <c r="S759" s="13" t="s">
        <v>725</v>
      </c>
      <c r="T759" s="13" t="s">
        <v>726</v>
      </c>
      <c r="U759" s="13" t="s">
        <v>727</v>
      </c>
      <c r="V759" s="13" t="s">
        <v>4205</v>
      </c>
      <c r="W759" s="13"/>
      <c r="X759" s="13" t="s">
        <v>4665</v>
      </c>
      <c r="Y759" s="13" t="s">
        <v>3980</v>
      </c>
      <c r="Z759" s="13" t="s">
        <v>3980</v>
      </c>
      <c r="AC759" s="18"/>
      <c r="AE759" s="1"/>
    </row>
    <row r="760" spans="1:31" x14ac:dyDescent="0.25">
      <c r="A760" s="18" t="s">
        <v>76</v>
      </c>
      <c r="B760" s="30">
        <v>2004</v>
      </c>
      <c r="C760" s="13">
        <v>349</v>
      </c>
      <c r="D760" s="14">
        <v>0.47399999999999998</v>
      </c>
      <c r="E760" s="14">
        <v>0.49199999999999999</v>
      </c>
      <c r="F760" s="13">
        <v>10</v>
      </c>
      <c r="G760" s="14">
        <v>0.52200000000000002</v>
      </c>
      <c r="H760" s="18" t="s">
        <v>3170</v>
      </c>
      <c r="I760" s="26" t="s">
        <v>77</v>
      </c>
      <c r="J760" s="18" t="s">
        <v>54</v>
      </c>
      <c r="L760" s="9">
        <v>2004</v>
      </c>
      <c r="N760" s="30" t="s">
        <v>41</v>
      </c>
      <c r="O760" s="13" t="s">
        <v>28</v>
      </c>
      <c r="P760" s="13">
        <f t="shared" si="28"/>
        <v>14</v>
      </c>
      <c r="Q760" s="15">
        <f t="shared" si="29"/>
        <v>24.928571428571427</v>
      </c>
      <c r="R760" s="13" t="s">
        <v>78</v>
      </c>
      <c r="S760" s="13"/>
      <c r="T760" s="13" t="s">
        <v>79</v>
      </c>
      <c r="U760" s="13" t="s">
        <v>80</v>
      </c>
      <c r="V760" s="13" t="s">
        <v>4206</v>
      </c>
      <c r="W760" s="13"/>
      <c r="X760" s="13" t="s">
        <v>4666</v>
      </c>
      <c r="Y760" s="13" t="s">
        <v>3980</v>
      </c>
      <c r="Z760" s="13" t="s">
        <v>3980</v>
      </c>
      <c r="AC760" s="18"/>
      <c r="AE760" s="13"/>
    </row>
    <row r="761" spans="1:31" x14ac:dyDescent="0.25">
      <c r="A761" s="18" t="s">
        <v>5009</v>
      </c>
      <c r="B761" s="30">
        <v>1979</v>
      </c>
      <c r="C761" s="13">
        <v>980</v>
      </c>
      <c r="D761" s="14">
        <v>0.69499999999999995</v>
      </c>
      <c r="E761" s="14">
        <v>0.441</v>
      </c>
      <c r="F761" s="13">
        <v>14</v>
      </c>
      <c r="G761" s="14">
        <v>0.67900000000000005</v>
      </c>
      <c r="I761" s="26" t="s">
        <v>77</v>
      </c>
      <c r="J761" s="18" t="s">
        <v>26</v>
      </c>
      <c r="L761" s="9">
        <v>1979</v>
      </c>
      <c r="N761" s="30" t="s">
        <v>123</v>
      </c>
      <c r="O761" s="13" t="s">
        <v>42</v>
      </c>
      <c r="P761" s="13">
        <f t="shared" si="28"/>
        <v>39</v>
      </c>
      <c r="Q761" s="15">
        <f t="shared" si="29"/>
        <v>25.128205128205128</v>
      </c>
      <c r="R761" s="13" t="s">
        <v>2453</v>
      </c>
      <c r="S761" s="13" t="s">
        <v>859</v>
      </c>
      <c r="T761" s="13" t="s">
        <v>2455</v>
      </c>
      <c r="U761" s="13" t="s">
        <v>2456</v>
      </c>
      <c r="V761" s="13" t="s">
        <v>3980</v>
      </c>
      <c r="W761" s="13"/>
      <c r="X761" s="13" t="s">
        <v>4667</v>
      </c>
      <c r="Y761" s="13" t="s">
        <v>3980</v>
      </c>
      <c r="Z761" s="13" t="s">
        <v>3980</v>
      </c>
      <c r="AC761" s="18"/>
      <c r="AE761" s="1"/>
    </row>
    <row r="762" spans="1:31" x14ac:dyDescent="0.25">
      <c r="A762" s="18" t="s">
        <v>4925</v>
      </c>
      <c r="B762" s="30">
        <v>2008</v>
      </c>
      <c r="C762" s="13">
        <v>46</v>
      </c>
      <c r="D762" s="14">
        <v>0.16900000000000001</v>
      </c>
      <c r="E762" s="14">
        <v>0.33300000000000002</v>
      </c>
      <c r="F762" s="13">
        <v>3</v>
      </c>
      <c r="G762" s="14">
        <v>0.13100000000000001</v>
      </c>
      <c r="H762" s="18" t="s">
        <v>3531</v>
      </c>
      <c r="I762" s="26" t="s">
        <v>77</v>
      </c>
      <c r="J762" s="18" t="s">
        <v>105</v>
      </c>
      <c r="K762" s="4"/>
      <c r="L762" s="9">
        <v>2008</v>
      </c>
      <c r="N762" s="30" t="s">
        <v>152</v>
      </c>
      <c r="O762" s="13" t="s">
        <v>28</v>
      </c>
      <c r="P762" s="13">
        <f t="shared" si="28"/>
        <v>10</v>
      </c>
      <c r="Q762" s="15">
        <f t="shared" si="29"/>
        <v>4.5999999999999996</v>
      </c>
      <c r="R762" s="13" t="s">
        <v>742</v>
      </c>
      <c r="S762" s="13" t="s">
        <v>418</v>
      </c>
      <c r="T762" s="13" t="s">
        <v>743</v>
      </c>
      <c r="U762" s="13" t="s">
        <v>744</v>
      </c>
      <c r="V762" s="13" t="s">
        <v>3980</v>
      </c>
      <c r="W762" s="13"/>
      <c r="X762" s="13" t="s">
        <v>3980</v>
      </c>
      <c r="Y762" s="13" t="s">
        <v>3980</v>
      </c>
      <c r="Z762" s="13" t="s">
        <v>3980</v>
      </c>
      <c r="AC762" s="18"/>
      <c r="AE762" s="13"/>
    </row>
    <row r="763" spans="1:31" x14ac:dyDescent="0.25">
      <c r="A763" s="18" t="s">
        <v>1308</v>
      </c>
      <c r="B763" s="30">
        <v>1974</v>
      </c>
      <c r="C763" s="13">
        <v>6590</v>
      </c>
      <c r="D763" s="14">
        <v>0.96499999999999997</v>
      </c>
      <c r="E763" s="14">
        <v>0.91500000000000004</v>
      </c>
      <c r="F763" s="13">
        <v>21</v>
      </c>
      <c r="G763" s="14">
        <v>0.84199999999999997</v>
      </c>
      <c r="H763" s="18" t="s">
        <v>3487</v>
      </c>
      <c r="I763" s="26" t="s">
        <v>77</v>
      </c>
      <c r="J763" s="18" t="s">
        <v>26</v>
      </c>
      <c r="L763" s="9">
        <f>B763</f>
        <v>1974</v>
      </c>
      <c r="N763" s="30" t="s">
        <v>34</v>
      </c>
      <c r="O763" s="13" t="s">
        <v>28</v>
      </c>
      <c r="P763" s="13">
        <f t="shared" si="28"/>
        <v>44</v>
      </c>
      <c r="Q763" s="15">
        <f t="shared" si="29"/>
        <v>149.77272727272728</v>
      </c>
      <c r="R763" s="13" t="s">
        <v>177</v>
      </c>
      <c r="S763" s="13"/>
      <c r="T763" s="13" t="s">
        <v>1309</v>
      </c>
      <c r="U763" s="13"/>
      <c r="V763" s="13" t="s">
        <v>3980</v>
      </c>
      <c r="W763" s="13"/>
      <c r="X763" s="13" t="s">
        <v>3980</v>
      </c>
      <c r="Y763" s="13" t="s">
        <v>3980</v>
      </c>
      <c r="Z763" s="13" t="s">
        <v>3980</v>
      </c>
      <c r="AC763" s="18"/>
      <c r="AE763" s="13"/>
    </row>
    <row r="764" spans="1:31" x14ac:dyDescent="0.25">
      <c r="A764" s="18" t="s">
        <v>555</v>
      </c>
      <c r="B764" s="30">
        <v>2012</v>
      </c>
      <c r="C764" s="13">
        <v>264</v>
      </c>
      <c r="D764" s="14">
        <v>0.42299999999999999</v>
      </c>
      <c r="E764" s="14">
        <v>0.73299999999999998</v>
      </c>
      <c r="F764" s="13">
        <v>8</v>
      </c>
      <c r="G764" s="14">
        <v>0.434</v>
      </c>
      <c r="H764" s="18" t="s">
        <v>3278</v>
      </c>
      <c r="I764" s="26" t="s">
        <v>77</v>
      </c>
      <c r="J764" s="18" t="s">
        <v>105</v>
      </c>
      <c r="L764" s="9">
        <v>2012</v>
      </c>
      <c r="N764" s="30" t="s">
        <v>123</v>
      </c>
      <c r="O764" s="13" t="s">
        <v>28</v>
      </c>
      <c r="P764" s="13">
        <f t="shared" si="28"/>
        <v>6</v>
      </c>
      <c r="Q764" s="15">
        <f t="shared" si="29"/>
        <v>44</v>
      </c>
      <c r="R764" s="13" t="s">
        <v>177</v>
      </c>
      <c r="S764" s="13"/>
      <c r="T764" s="13" t="s">
        <v>556</v>
      </c>
      <c r="U764" s="13"/>
      <c r="V764" s="13" t="s">
        <v>4207</v>
      </c>
      <c r="W764" s="13"/>
      <c r="X764" s="13" t="s">
        <v>4668</v>
      </c>
      <c r="Y764" s="13" t="s">
        <v>3980</v>
      </c>
      <c r="Z764" s="13" t="s">
        <v>3980</v>
      </c>
      <c r="AC764" s="18"/>
      <c r="AE764" s="1"/>
    </row>
    <row r="765" spans="1:31" x14ac:dyDescent="0.25">
      <c r="A765" s="18" t="s">
        <v>2227</v>
      </c>
      <c r="B765" s="30">
        <v>2002</v>
      </c>
      <c r="C765" s="13">
        <v>833</v>
      </c>
      <c r="D765" s="14">
        <v>0.66500000000000004</v>
      </c>
      <c r="E765" s="14">
        <v>0.75600000000000001</v>
      </c>
      <c r="F765" s="13">
        <v>13</v>
      </c>
      <c r="G765" s="14">
        <v>0.64500000000000002</v>
      </c>
      <c r="I765" s="26" t="s">
        <v>77</v>
      </c>
      <c r="J765" s="18" t="s">
        <v>54</v>
      </c>
      <c r="L765" s="9">
        <v>2002</v>
      </c>
      <c r="N765" s="30" t="s">
        <v>152</v>
      </c>
      <c r="O765" s="13" t="s">
        <v>28</v>
      </c>
      <c r="P765" s="13">
        <f t="shared" si="28"/>
        <v>16</v>
      </c>
      <c r="Q765" s="15">
        <f t="shared" si="29"/>
        <v>52.0625</v>
      </c>
      <c r="R765" s="13" t="s">
        <v>1441</v>
      </c>
      <c r="S765" s="13"/>
      <c r="T765" s="13" t="s">
        <v>2228</v>
      </c>
      <c r="U765" s="13" t="s">
        <v>2229</v>
      </c>
      <c r="V765" s="13" t="s">
        <v>3980</v>
      </c>
      <c r="W765" s="13"/>
      <c r="X765" s="13" t="s">
        <v>3980</v>
      </c>
      <c r="Y765" s="13" t="s">
        <v>3980</v>
      </c>
      <c r="Z765" s="13" t="s">
        <v>3980</v>
      </c>
      <c r="AC765" s="18"/>
      <c r="AE765" s="13"/>
    </row>
    <row r="766" spans="1:31" x14ac:dyDescent="0.25">
      <c r="A766" s="18" t="s">
        <v>645</v>
      </c>
      <c r="B766" s="30">
        <v>2012</v>
      </c>
      <c r="C766" s="13">
        <v>331</v>
      </c>
      <c r="D766" s="14">
        <v>0.46600000000000003</v>
      </c>
      <c r="E766" s="14">
        <v>0.77500000000000002</v>
      </c>
      <c r="F766" s="13">
        <v>8</v>
      </c>
      <c r="G766" s="14">
        <v>0.434</v>
      </c>
      <c r="H766" s="18" t="s">
        <v>3302</v>
      </c>
      <c r="I766" s="26" t="s">
        <v>77</v>
      </c>
      <c r="J766" s="18" t="s">
        <v>105</v>
      </c>
      <c r="L766" s="9">
        <v>2012</v>
      </c>
      <c r="N766" s="30" t="s">
        <v>152</v>
      </c>
      <c r="O766" s="13" t="s">
        <v>42</v>
      </c>
      <c r="P766" s="13">
        <f t="shared" si="28"/>
        <v>6</v>
      </c>
      <c r="Q766" s="15">
        <f t="shared" si="29"/>
        <v>55.166666666666664</v>
      </c>
      <c r="R766" s="13" t="s">
        <v>646</v>
      </c>
      <c r="S766" s="13"/>
      <c r="T766" s="13" t="s">
        <v>647</v>
      </c>
      <c r="U766" s="13" t="s">
        <v>648</v>
      </c>
      <c r="V766" s="13" t="s">
        <v>3980</v>
      </c>
      <c r="W766" s="13"/>
      <c r="X766" s="13" t="s">
        <v>3980</v>
      </c>
      <c r="Y766" s="13" t="s">
        <v>3980</v>
      </c>
      <c r="Z766" s="13" t="s">
        <v>3980</v>
      </c>
      <c r="AC766" s="18"/>
      <c r="AE766" s="1"/>
    </row>
    <row r="767" spans="1:31" x14ac:dyDescent="0.25">
      <c r="A767" s="18" t="s">
        <v>1034</v>
      </c>
      <c r="B767" s="30">
        <v>1972</v>
      </c>
      <c r="C767" s="13">
        <v>736</v>
      </c>
      <c r="D767" s="14">
        <v>0.63800000000000001</v>
      </c>
      <c r="E767" s="14">
        <v>0.36899999999999999</v>
      </c>
      <c r="F767" s="13">
        <v>13</v>
      </c>
      <c r="G767" s="14">
        <v>0.64500000000000002</v>
      </c>
      <c r="H767" s="18" t="s">
        <v>3410</v>
      </c>
      <c r="I767" s="26" t="s">
        <v>77</v>
      </c>
      <c r="J767" s="18" t="s">
        <v>26</v>
      </c>
      <c r="K767" s="4"/>
      <c r="L767" s="9">
        <f>B767</f>
        <v>1972</v>
      </c>
      <c r="M767" s="20" t="s">
        <v>3132</v>
      </c>
      <c r="N767" s="30" t="s">
        <v>377</v>
      </c>
      <c r="O767" s="13" t="s">
        <v>28</v>
      </c>
      <c r="P767" s="13">
        <f t="shared" si="28"/>
        <v>46</v>
      </c>
      <c r="Q767" s="15">
        <f t="shared" si="29"/>
        <v>16</v>
      </c>
      <c r="R767" s="13" t="s">
        <v>899</v>
      </c>
      <c r="S767" s="13"/>
      <c r="T767" s="13" t="s">
        <v>1035</v>
      </c>
      <c r="U767" s="13"/>
      <c r="V767" s="13" t="s">
        <v>3980</v>
      </c>
      <c r="W767" s="13"/>
      <c r="X767" s="13" t="s">
        <v>3980</v>
      </c>
      <c r="Y767" s="13" t="s">
        <v>3980</v>
      </c>
      <c r="Z767" s="13" t="s">
        <v>3980</v>
      </c>
      <c r="AC767" s="18"/>
      <c r="AE767" s="16"/>
    </row>
    <row r="768" spans="1:31" x14ac:dyDescent="0.25">
      <c r="A768" s="18" t="s">
        <v>1395</v>
      </c>
      <c r="B768" s="30">
        <v>2011</v>
      </c>
      <c r="C768" s="13">
        <v>47</v>
      </c>
      <c r="D768" s="14">
        <v>0.17399999999999999</v>
      </c>
      <c r="E768" s="14">
        <v>0.34300000000000003</v>
      </c>
      <c r="F768" s="13">
        <v>3</v>
      </c>
      <c r="G768" s="14">
        <v>0.13100000000000001</v>
      </c>
      <c r="H768" s="18" t="s">
        <v>3515</v>
      </c>
      <c r="I768" s="26" t="s">
        <v>77</v>
      </c>
      <c r="J768" s="18" t="s">
        <v>105</v>
      </c>
      <c r="L768" s="9">
        <f>B768</f>
        <v>2011</v>
      </c>
      <c r="N768" s="30" t="s">
        <v>765</v>
      </c>
      <c r="O768" s="13" t="s">
        <v>42</v>
      </c>
      <c r="P768" s="13">
        <f t="shared" si="28"/>
        <v>7</v>
      </c>
      <c r="Q768" s="15">
        <f t="shared" si="29"/>
        <v>6.7142857142857144</v>
      </c>
      <c r="R768" s="13" t="s">
        <v>1396</v>
      </c>
      <c r="S768" s="13"/>
      <c r="T768" s="13" t="s">
        <v>1397</v>
      </c>
      <c r="U768" s="13"/>
      <c r="V768" s="13" t="s">
        <v>3980</v>
      </c>
      <c r="W768" s="13"/>
      <c r="X768" s="13" t="s">
        <v>3980</v>
      </c>
      <c r="Y768" s="13" t="s">
        <v>3980</v>
      </c>
      <c r="Z768" s="13" t="s">
        <v>3980</v>
      </c>
      <c r="AC768" s="18"/>
      <c r="AE768" s="16"/>
    </row>
    <row r="769" spans="1:31" x14ac:dyDescent="0.25">
      <c r="A769" s="18" t="s">
        <v>420</v>
      </c>
      <c r="B769" s="30">
        <v>1997</v>
      </c>
      <c r="C769" s="13">
        <v>2141</v>
      </c>
      <c r="D769" s="14">
        <v>0.84799999999999998</v>
      </c>
      <c r="E769" s="14">
        <v>0.95099999999999996</v>
      </c>
      <c r="F769" s="13">
        <v>16</v>
      </c>
      <c r="G769" s="14">
        <v>0.74099999999999999</v>
      </c>
      <c r="H769" s="18" t="s">
        <v>3244</v>
      </c>
      <c r="I769" s="26" t="s">
        <v>77</v>
      </c>
      <c r="J769" s="18" t="s">
        <v>54</v>
      </c>
      <c r="K769" s="4"/>
      <c r="L769" s="9">
        <v>1997</v>
      </c>
      <c r="N769" s="30" t="s">
        <v>40</v>
      </c>
      <c r="O769" s="13" t="s">
        <v>42</v>
      </c>
      <c r="P769" s="13">
        <f t="shared" si="28"/>
        <v>21</v>
      </c>
      <c r="Q769" s="15">
        <f t="shared" si="29"/>
        <v>101.95238095238095</v>
      </c>
      <c r="R769" s="13" t="s">
        <v>421</v>
      </c>
      <c r="S769" s="13"/>
      <c r="T769" s="13" t="s">
        <v>422</v>
      </c>
      <c r="U769" s="13" t="s">
        <v>423</v>
      </c>
      <c r="V769" s="13" t="s">
        <v>4208</v>
      </c>
      <c r="W769" s="13"/>
      <c r="X769" s="13" t="s">
        <v>3980</v>
      </c>
      <c r="Y769" s="13" t="s">
        <v>3980</v>
      </c>
      <c r="Z769" s="13" t="s">
        <v>3980</v>
      </c>
      <c r="AC769" s="18"/>
      <c r="AE769" s="1"/>
    </row>
    <row r="770" spans="1:31" x14ac:dyDescent="0.25">
      <c r="A770" s="18" t="s">
        <v>2213</v>
      </c>
      <c r="B770" s="30">
        <v>1990</v>
      </c>
      <c r="C770" s="13">
        <v>2252</v>
      </c>
      <c r="D770" s="14">
        <v>0.85299999999999998</v>
      </c>
      <c r="E770" s="14">
        <v>0.68300000000000005</v>
      </c>
      <c r="F770" s="13">
        <v>18</v>
      </c>
      <c r="G770" s="14">
        <v>0.78700000000000003</v>
      </c>
      <c r="H770" s="18" t="s">
        <v>3557</v>
      </c>
      <c r="I770" s="26" t="s">
        <v>77</v>
      </c>
      <c r="J770" s="18" t="s">
        <v>26</v>
      </c>
      <c r="K770" s="4"/>
      <c r="L770" s="9">
        <v>1990</v>
      </c>
      <c r="N770" s="30" t="s">
        <v>41</v>
      </c>
      <c r="O770" s="13" t="s">
        <v>28</v>
      </c>
      <c r="P770" s="13">
        <f t="shared" ref="P770:P833" si="32">2018-L770</f>
        <v>28</v>
      </c>
      <c r="Q770" s="15">
        <f t="shared" ref="Q770:Q833" si="33">C770/P770</f>
        <v>80.428571428571431</v>
      </c>
      <c r="R770" s="13" t="s">
        <v>1145</v>
      </c>
      <c r="S770" s="13"/>
      <c r="T770" s="13" t="s">
        <v>2214</v>
      </c>
      <c r="U770" s="13" t="s">
        <v>2215</v>
      </c>
      <c r="V770" s="13" t="s">
        <v>4209</v>
      </c>
      <c r="W770" s="13"/>
      <c r="X770" s="13" t="s">
        <v>3980</v>
      </c>
      <c r="Y770" s="13" t="s">
        <v>3980</v>
      </c>
      <c r="Z770" s="13" t="s">
        <v>3980</v>
      </c>
      <c r="AC770" s="18"/>
      <c r="AE770" s="13"/>
    </row>
    <row r="771" spans="1:31" x14ac:dyDescent="0.25">
      <c r="A771" s="18" t="s">
        <v>4975</v>
      </c>
      <c r="B771" s="30">
        <v>2001</v>
      </c>
      <c r="C771" s="8">
        <v>203</v>
      </c>
      <c r="D771" s="14">
        <v>0.38400000000000001</v>
      </c>
      <c r="E771" s="14">
        <v>0.378</v>
      </c>
      <c r="F771" s="8">
        <v>6</v>
      </c>
      <c r="G771" s="14">
        <v>0.32200000000000001</v>
      </c>
      <c r="H771" s="18" t="s">
        <v>3589</v>
      </c>
      <c r="I771" s="26" t="s">
        <v>77</v>
      </c>
      <c r="J771" t="s">
        <v>54</v>
      </c>
      <c r="L771" s="9">
        <f>B771</f>
        <v>2001</v>
      </c>
      <c r="N771" s="28" t="s">
        <v>34</v>
      </c>
      <c r="O771" s="13" t="s">
        <v>42</v>
      </c>
      <c r="P771" s="13">
        <f t="shared" si="32"/>
        <v>17</v>
      </c>
      <c r="Q771" s="15">
        <f t="shared" si="33"/>
        <v>11.941176470588236</v>
      </c>
      <c r="R771" s="18" t="s">
        <v>3784</v>
      </c>
      <c r="T771" s="18" t="s">
        <v>3785</v>
      </c>
      <c r="V771" s="18" t="s">
        <v>3980</v>
      </c>
      <c r="X771" s="18" t="s">
        <v>3980</v>
      </c>
      <c r="Y771" s="18" t="s">
        <v>3980</v>
      </c>
      <c r="Z771" s="18" t="s">
        <v>3980</v>
      </c>
      <c r="AC771" s="18"/>
      <c r="AE771" s="1"/>
    </row>
    <row r="772" spans="1:31" x14ac:dyDescent="0.25">
      <c r="A772" s="18" t="s">
        <v>2218</v>
      </c>
      <c r="B772" s="30">
        <v>2001</v>
      </c>
      <c r="C772" s="8">
        <v>172</v>
      </c>
      <c r="D772" s="14">
        <v>0.36099999999999999</v>
      </c>
      <c r="E772" s="14">
        <v>0.17</v>
      </c>
      <c r="F772" s="8">
        <v>5</v>
      </c>
      <c r="G772" s="14">
        <v>0.27400000000000002</v>
      </c>
      <c r="H772" s="18" t="s">
        <v>3601</v>
      </c>
      <c r="I772" s="26" t="s">
        <v>77</v>
      </c>
      <c r="J772" s="18" t="s">
        <v>26</v>
      </c>
      <c r="L772" s="9">
        <f>B772</f>
        <v>2001</v>
      </c>
      <c r="N772" s="28" t="s">
        <v>377</v>
      </c>
      <c r="O772" s="13" t="s">
        <v>28</v>
      </c>
      <c r="P772" s="13">
        <f t="shared" si="32"/>
        <v>17</v>
      </c>
      <c r="Q772" s="15">
        <f t="shared" si="33"/>
        <v>10.117647058823529</v>
      </c>
      <c r="R772" s="18" t="s">
        <v>1145</v>
      </c>
      <c r="T772" s="18" t="s">
        <v>3831</v>
      </c>
      <c r="V772" s="18" t="s">
        <v>3980</v>
      </c>
      <c r="X772" s="18" t="s">
        <v>3980</v>
      </c>
      <c r="Y772" s="18" t="s">
        <v>3980</v>
      </c>
      <c r="Z772" s="18" t="s">
        <v>3980</v>
      </c>
      <c r="AC772" s="18"/>
      <c r="AE772" s="13"/>
    </row>
    <row r="773" spans="1:31" x14ac:dyDescent="0.25">
      <c r="A773" s="18" t="s">
        <v>2485</v>
      </c>
      <c r="B773" s="30">
        <v>1975</v>
      </c>
      <c r="C773" s="13">
        <v>1912</v>
      </c>
      <c r="D773" s="14">
        <v>0.82199999999999995</v>
      </c>
      <c r="E773" s="14">
        <v>0.626</v>
      </c>
      <c r="F773" s="13">
        <v>24</v>
      </c>
      <c r="G773" s="14">
        <v>0.88300000000000001</v>
      </c>
      <c r="I773" s="26" t="s">
        <v>77</v>
      </c>
      <c r="J773" s="18" t="s">
        <v>26</v>
      </c>
      <c r="L773" s="9">
        <f>B773</f>
        <v>1975</v>
      </c>
      <c r="N773" s="30" t="s">
        <v>3089</v>
      </c>
      <c r="O773" s="13" t="s">
        <v>28</v>
      </c>
      <c r="P773" s="13">
        <f t="shared" si="32"/>
        <v>43</v>
      </c>
      <c r="Q773" s="15">
        <f t="shared" si="33"/>
        <v>44.465116279069768</v>
      </c>
      <c r="R773" s="13" t="s">
        <v>1001</v>
      </c>
      <c r="S773" s="13"/>
      <c r="T773" s="13" t="s">
        <v>2486</v>
      </c>
      <c r="U773" s="13"/>
      <c r="V773" s="13" t="s">
        <v>3980</v>
      </c>
      <c r="W773" s="13"/>
      <c r="X773" s="13" t="s">
        <v>3980</v>
      </c>
      <c r="Y773" s="13" t="s">
        <v>3980</v>
      </c>
      <c r="Z773" s="13" t="s">
        <v>3980</v>
      </c>
      <c r="AC773" s="18"/>
      <c r="AE773" s="18"/>
    </row>
    <row r="774" spans="1:31" x14ac:dyDescent="0.25">
      <c r="A774" s="18" t="s">
        <v>5065</v>
      </c>
      <c r="B774" s="30">
        <v>2001</v>
      </c>
      <c r="C774" s="13">
        <v>448</v>
      </c>
      <c r="D774" s="14">
        <v>0.53300000000000003</v>
      </c>
      <c r="E774" s="14">
        <v>0.28699999999999998</v>
      </c>
      <c r="F774" s="13">
        <v>9</v>
      </c>
      <c r="G774" s="14">
        <v>0.48799999999999999</v>
      </c>
      <c r="H774" s="18" t="s">
        <v>3400</v>
      </c>
      <c r="I774" s="26" t="s">
        <v>77</v>
      </c>
      <c r="J774" s="18" t="s">
        <v>26</v>
      </c>
      <c r="K774" s="4"/>
      <c r="L774" s="9">
        <v>2001</v>
      </c>
      <c r="N774" s="30" t="s">
        <v>94</v>
      </c>
      <c r="O774" s="13" t="s">
        <v>28</v>
      </c>
      <c r="P774" s="13">
        <f t="shared" si="32"/>
        <v>17</v>
      </c>
      <c r="Q774" s="15">
        <f t="shared" si="33"/>
        <v>26.352941176470587</v>
      </c>
      <c r="R774" s="13" t="s">
        <v>130</v>
      </c>
      <c r="S774" s="13" t="s">
        <v>541</v>
      </c>
      <c r="T774" s="13" t="s">
        <v>999</v>
      </c>
      <c r="U774" s="13" t="s">
        <v>1000</v>
      </c>
      <c r="V774" s="13" t="s">
        <v>4210</v>
      </c>
      <c r="W774" s="13"/>
      <c r="X774" s="13" t="s">
        <v>4669</v>
      </c>
      <c r="Y774" s="13" t="s">
        <v>3980</v>
      </c>
      <c r="Z774" s="13" t="s">
        <v>3980</v>
      </c>
      <c r="AC774" s="18"/>
      <c r="AE774" s="1"/>
    </row>
    <row r="775" spans="1:31" x14ac:dyDescent="0.25">
      <c r="A775" s="18" t="s">
        <v>4839</v>
      </c>
      <c r="B775" s="30">
        <v>2013</v>
      </c>
      <c r="C775" s="13">
        <v>18</v>
      </c>
      <c r="D775" s="14">
        <v>9.5000000000000001E-2</v>
      </c>
      <c r="E775" s="14">
        <v>0.189</v>
      </c>
      <c r="F775" s="13">
        <v>3</v>
      </c>
      <c r="G775" s="14">
        <v>0.13100000000000001</v>
      </c>
      <c r="H775" s="18" t="s">
        <v>3506</v>
      </c>
      <c r="I775" s="26" t="s">
        <v>77</v>
      </c>
      <c r="J775" s="18" t="s">
        <v>105</v>
      </c>
      <c r="L775" s="9">
        <v>2013</v>
      </c>
      <c r="M775" s="11"/>
      <c r="N775" s="30" t="s">
        <v>819</v>
      </c>
      <c r="O775" s="13" t="s">
        <v>42</v>
      </c>
      <c r="P775" s="13">
        <f t="shared" si="32"/>
        <v>5</v>
      </c>
      <c r="Q775" s="15">
        <f t="shared" si="33"/>
        <v>3.6</v>
      </c>
      <c r="R775" s="13" t="s">
        <v>1370</v>
      </c>
      <c r="S775" s="13" t="s">
        <v>963</v>
      </c>
      <c r="T775" s="13" t="s">
        <v>1371</v>
      </c>
      <c r="U775" s="13" t="s">
        <v>1372</v>
      </c>
      <c r="V775" s="13" t="s">
        <v>4211</v>
      </c>
      <c r="W775" s="13"/>
      <c r="X775" s="13" t="s">
        <v>4670</v>
      </c>
      <c r="Y775" s="13" t="s">
        <v>3980</v>
      </c>
      <c r="Z775" s="13" t="s">
        <v>3980</v>
      </c>
      <c r="AC775" s="18"/>
      <c r="AE775" s="1"/>
    </row>
    <row r="776" spans="1:31" x14ac:dyDescent="0.25">
      <c r="A776" s="18" t="s">
        <v>2477</v>
      </c>
      <c r="B776" s="30">
        <v>1975</v>
      </c>
      <c r="C776" s="8">
        <v>3082</v>
      </c>
      <c r="D776" s="14">
        <v>0.89700000000000002</v>
      </c>
      <c r="E776" s="14">
        <v>1</v>
      </c>
      <c r="F776" s="8">
        <v>29</v>
      </c>
      <c r="G776" s="14">
        <v>0.92400000000000004</v>
      </c>
      <c r="H776" s="18" t="s">
        <v>3586</v>
      </c>
      <c r="I776" s="26" t="s">
        <v>77</v>
      </c>
      <c r="J776" s="18" t="s">
        <v>105</v>
      </c>
      <c r="L776" s="9">
        <f>B776</f>
        <v>1975</v>
      </c>
      <c r="N776" s="28" t="s">
        <v>1243</v>
      </c>
      <c r="O776" s="13" t="s">
        <v>28</v>
      </c>
      <c r="P776" s="13">
        <f t="shared" si="32"/>
        <v>43</v>
      </c>
      <c r="Q776" s="15">
        <f t="shared" si="33"/>
        <v>71.674418604651166</v>
      </c>
      <c r="R776" s="18" t="s">
        <v>746</v>
      </c>
      <c r="T776" s="18" t="s">
        <v>3734</v>
      </c>
      <c r="V776" s="18" t="s">
        <v>3980</v>
      </c>
      <c r="X776" s="18" t="s">
        <v>3980</v>
      </c>
      <c r="Y776" s="18" t="s">
        <v>3980</v>
      </c>
      <c r="Z776" s="18" t="s">
        <v>3980</v>
      </c>
      <c r="AC776" s="18"/>
      <c r="AE776" s="13"/>
    </row>
    <row r="777" spans="1:31" x14ac:dyDescent="0.25">
      <c r="A777" s="18" t="s">
        <v>1842</v>
      </c>
      <c r="B777" s="30">
        <v>1999</v>
      </c>
      <c r="C777" s="13">
        <v>1294</v>
      </c>
      <c r="D777" s="14">
        <v>0.75</v>
      </c>
      <c r="E777" s="14">
        <v>0.86499999999999999</v>
      </c>
      <c r="F777" s="13">
        <v>15</v>
      </c>
      <c r="G777" s="14">
        <v>0.71</v>
      </c>
      <c r="I777" s="26" t="s">
        <v>77</v>
      </c>
      <c r="J777" s="18" t="s">
        <v>54</v>
      </c>
      <c r="L777" s="9">
        <f>B777</f>
        <v>1999</v>
      </c>
      <c r="N777" s="30" t="s">
        <v>123</v>
      </c>
      <c r="O777" s="13" t="s">
        <v>28</v>
      </c>
      <c r="P777" s="13">
        <f t="shared" si="32"/>
        <v>19</v>
      </c>
      <c r="Q777" s="15">
        <f t="shared" si="33"/>
        <v>68.10526315789474</v>
      </c>
      <c r="R777" s="13" t="s">
        <v>173</v>
      </c>
      <c r="S777" s="13"/>
      <c r="T777" s="13" t="s">
        <v>1843</v>
      </c>
      <c r="U777" s="13"/>
      <c r="V777" s="13" t="s">
        <v>3980</v>
      </c>
      <c r="W777" s="13"/>
      <c r="X777" s="13" t="s">
        <v>3980</v>
      </c>
      <c r="Y777" s="13" t="s">
        <v>3980</v>
      </c>
      <c r="Z777" s="13" t="s">
        <v>3980</v>
      </c>
      <c r="AC777" s="18"/>
      <c r="AE777" s="1"/>
    </row>
    <row r="778" spans="1:31" x14ac:dyDescent="0.25">
      <c r="A778" s="18" t="s">
        <v>4977</v>
      </c>
      <c r="B778" s="30">
        <v>1977</v>
      </c>
      <c r="C778" s="13">
        <v>1292</v>
      </c>
      <c r="D778" s="14">
        <v>0.749</v>
      </c>
      <c r="E778" s="14">
        <v>0.51</v>
      </c>
      <c r="F778" s="13">
        <v>15</v>
      </c>
      <c r="G778" s="14">
        <v>0.71</v>
      </c>
      <c r="H778" s="18" t="s">
        <v>3212</v>
      </c>
      <c r="I778" s="26" t="s">
        <v>77</v>
      </c>
      <c r="J778" s="18" t="s">
        <v>26</v>
      </c>
      <c r="L778" s="9">
        <v>1977</v>
      </c>
      <c r="N778" s="30" t="s">
        <v>77</v>
      </c>
      <c r="O778" s="13" t="s">
        <v>42</v>
      </c>
      <c r="P778" s="13">
        <f t="shared" si="32"/>
        <v>41</v>
      </c>
      <c r="Q778" s="15">
        <f t="shared" si="33"/>
        <v>31.512195121951219</v>
      </c>
      <c r="R778" s="13" t="s">
        <v>283</v>
      </c>
      <c r="S778" s="13" t="s">
        <v>284</v>
      </c>
      <c r="T778" s="13" t="s">
        <v>285</v>
      </c>
      <c r="U778" s="13" t="s">
        <v>286</v>
      </c>
      <c r="V778" s="13" t="s">
        <v>3980</v>
      </c>
      <c r="W778" s="13"/>
      <c r="X778" s="13" t="s">
        <v>4671</v>
      </c>
      <c r="Y778" s="13" t="s">
        <v>3980</v>
      </c>
      <c r="Z778" s="13" t="s">
        <v>3980</v>
      </c>
      <c r="AC778" s="18"/>
      <c r="AE778" s="1"/>
    </row>
    <row r="779" spans="1:31" x14ac:dyDescent="0.25">
      <c r="A779" s="18" t="s">
        <v>5087</v>
      </c>
      <c r="B779" s="30">
        <v>2007</v>
      </c>
      <c r="C779" s="13">
        <v>265</v>
      </c>
      <c r="D779" s="14">
        <v>0.42399999999999999</v>
      </c>
      <c r="E779" s="14">
        <v>0.42899999999999999</v>
      </c>
      <c r="F779" s="13">
        <v>8</v>
      </c>
      <c r="G779" s="14">
        <v>0.434</v>
      </c>
      <c r="H779" s="18" t="s">
        <v>3702</v>
      </c>
      <c r="I779" s="26" t="s">
        <v>119</v>
      </c>
      <c r="J779" s="18" t="s">
        <v>54</v>
      </c>
      <c r="K779" s="4"/>
      <c r="L779" s="9">
        <v>2007</v>
      </c>
      <c r="M779" s="11"/>
      <c r="N779" s="30" t="s">
        <v>123</v>
      </c>
      <c r="O779" s="13" t="s">
        <v>28</v>
      </c>
      <c r="P779" s="13">
        <f t="shared" si="32"/>
        <v>11</v>
      </c>
      <c r="Q779" s="15">
        <f t="shared" si="33"/>
        <v>24.09090909090909</v>
      </c>
      <c r="R779" s="13" t="s">
        <v>776</v>
      </c>
      <c r="S779" s="13" t="s">
        <v>947</v>
      </c>
      <c r="T779" s="13" t="s">
        <v>2822</v>
      </c>
      <c r="U779" s="13" t="s">
        <v>2823</v>
      </c>
      <c r="V779" s="13" t="s">
        <v>3980</v>
      </c>
      <c r="W779" s="13"/>
      <c r="X779" s="13" t="s">
        <v>4672</v>
      </c>
      <c r="Y779" s="13" t="s">
        <v>3980</v>
      </c>
      <c r="Z779" s="13" t="s">
        <v>3980</v>
      </c>
      <c r="AC779" s="18"/>
      <c r="AE779" s="1"/>
    </row>
    <row r="780" spans="1:31" x14ac:dyDescent="0.25">
      <c r="A780" s="18" t="s">
        <v>5053</v>
      </c>
      <c r="B780" s="30">
        <v>1991</v>
      </c>
      <c r="C780" s="13">
        <v>3580</v>
      </c>
      <c r="D780" s="14">
        <v>0.91800000000000004</v>
      </c>
      <c r="E780" s="14">
        <v>0.81299999999999994</v>
      </c>
      <c r="F780" s="13">
        <v>34</v>
      </c>
      <c r="G780" s="14">
        <v>0.95499999999999996</v>
      </c>
      <c r="H780" s="18" t="s">
        <v>3672</v>
      </c>
      <c r="I780" s="26" t="s">
        <v>119</v>
      </c>
      <c r="J780" s="18" t="s">
        <v>26</v>
      </c>
      <c r="K780" s="4"/>
      <c r="L780" s="9">
        <v>1991</v>
      </c>
      <c r="N780" s="30" t="s">
        <v>152</v>
      </c>
      <c r="O780" s="13" t="s">
        <v>28</v>
      </c>
      <c r="P780" s="13">
        <f t="shared" si="32"/>
        <v>27</v>
      </c>
      <c r="Q780" s="15">
        <f t="shared" si="33"/>
        <v>132.59259259259258</v>
      </c>
      <c r="R780" s="13" t="s">
        <v>2696</v>
      </c>
      <c r="S780" s="13" t="s">
        <v>206</v>
      </c>
      <c r="T780" s="13" t="s">
        <v>2697</v>
      </c>
      <c r="U780" s="13" t="s">
        <v>2698</v>
      </c>
      <c r="V780" s="13" t="s">
        <v>4212</v>
      </c>
      <c r="W780" s="13"/>
      <c r="X780" s="13" t="s">
        <v>4673</v>
      </c>
      <c r="Y780" s="13" t="s">
        <v>3980</v>
      </c>
      <c r="Z780" s="13" t="s">
        <v>3980</v>
      </c>
      <c r="AC780" s="18"/>
      <c r="AE780" s="1"/>
    </row>
    <row r="781" spans="1:31" x14ac:dyDescent="0.25">
      <c r="A781" s="18" t="s">
        <v>4960</v>
      </c>
      <c r="B781" s="30">
        <v>1978</v>
      </c>
      <c r="C781" s="13">
        <v>16870</v>
      </c>
      <c r="D781" s="14">
        <v>0.99299999999999999</v>
      </c>
      <c r="E781" s="14">
        <v>0.98399999999999999</v>
      </c>
      <c r="F781" s="13">
        <v>44</v>
      </c>
      <c r="G781" s="14">
        <v>0.98599999999999999</v>
      </c>
      <c r="H781" s="18" t="s">
        <v>3663</v>
      </c>
      <c r="I781" s="26" t="s">
        <v>119</v>
      </c>
      <c r="J781" s="18" t="s">
        <v>26</v>
      </c>
      <c r="L781" s="9">
        <v>1978</v>
      </c>
      <c r="N781" s="30" t="s">
        <v>111</v>
      </c>
      <c r="O781" s="13" t="s">
        <v>28</v>
      </c>
      <c r="P781" s="13">
        <f t="shared" si="32"/>
        <v>40</v>
      </c>
      <c r="Q781" s="15">
        <f t="shared" si="33"/>
        <v>421.75</v>
      </c>
      <c r="R781" s="13" t="s">
        <v>808</v>
      </c>
      <c r="S781" s="13" t="s">
        <v>239</v>
      </c>
      <c r="T781" s="13" t="s">
        <v>2189</v>
      </c>
      <c r="U781" s="13" t="s">
        <v>2190</v>
      </c>
      <c r="V781" s="13" t="s">
        <v>4213</v>
      </c>
      <c r="W781" s="13"/>
      <c r="X781" s="13" t="s">
        <v>4674</v>
      </c>
      <c r="Y781" s="13" t="s">
        <v>3980</v>
      </c>
      <c r="Z781" s="13" t="s">
        <v>3980</v>
      </c>
      <c r="AC781" s="18"/>
      <c r="AE781" s="1"/>
    </row>
    <row r="782" spans="1:31" x14ac:dyDescent="0.25">
      <c r="A782" s="18" t="s">
        <v>1945</v>
      </c>
      <c r="B782" s="30">
        <v>2013</v>
      </c>
      <c r="C782" s="13">
        <v>8</v>
      </c>
      <c r="D782" s="14">
        <v>5.7000000000000002E-2</v>
      </c>
      <c r="E782" s="14">
        <v>0.108</v>
      </c>
      <c r="F782" s="13">
        <v>2</v>
      </c>
      <c r="G782" s="14">
        <v>7.0999999999999994E-2</v>
      </c>
      <c r="I782" s="26" t="s">
        <v>119</v>
      </c>
      <c r="J782" s="18" t="s">
        <v>105</v>
      </c>
      <c r="L782" s="9">
        <f>B782</f>
        <v>2013</v>
      </c>
      <c r="N782" s="30" t="s">
        <v>765</v>
      </c>
      <c r="O782" s="13" t="s">
        <v>28</v>
      </c>
      <c r="P782" s="13">
        <f t="shared" si="32"/>
        <v>5</v>
      </c>
      <c r="Q782" s="15">
        <f t="shared" si="33"/>
        <v>1.6</v>
      </c>
      <c r="R782" s="13" t="s">
        <v>1946</v>
      </c>
      <c r="S782" s="13"/>
      <c r="T782" s="13" t="s">
        <v>1947</v>
      </c>
      <c r="U782" s="13"/>
      <c r="V782" s="13" t="s">
        <v>3980</v>
      </c>
      <c r="W782" s="13"/>
      <c r="X782" s="13" t="s">
        <v>3980</v>
      </c>
      <c r="Y782" s="13" t="s">
        <v>3980</v>
      </c>
      <c r="Z782" s="13" t="s">
        <v>3980</v>
      </c>
      <c r="AC782" s="18"/>
      <c r="AE782" s="13"/>
    </row>
    <row r="783" spans="1:31" x14ac:dyDescent="0.25">
      <c r="A783" s="18" t="s">
        <v>838</v>
      </c>
      <c r="B783" s="30">
        <v>2006</v>
      </c>
      <c r="C783" s="13">
        <v>5772</v>
      </c>
      <c r="D783" s="14">
        <v>0.95299999999999996</v>
      </c>
      <c r="E783" s="14">
        <v>0.89200000000000002</v>
      </c>
      <c r="F783" s="13">
        <v>30</v>
      </c>
      <c r="G783" s="14">
        <v>0.93200000000000005</v>
      </c>
      <c r="H783" s="18" t="s">
        <v>3350</v>
      </c>
      <c r="I783" s="26" t="s">
        <v>119</v>
      </c>
      <c r="J783" s="18" t="s">
        <v>26</v>
      </c>
      <c r="L783" s="9">
        <v>2006</v>
      </c>
      <c r="N783" s="30" t="s">
        <v>120</v>
      </c>
      <c r="O783" s="13" t="s">
        <v>28</v>
      </c>
      <c r="P783" s="13">
        <f t="shared" si="32"/>
        <v>12</v>
      </c>
      <c r="Q783" s="15">
        <f t="shared" si="33"/>
        <v>481</v>
      </c>
      <c r="R783" s="13" t="s">
        <v>433</v>
      </c>
      <c r="S783" s="13"/>
      <c r="T783" s="13" t="s">
        <v>121</v>
      </c>
      <c r="U783" s="13"/>
      <c r="V783" s="13" t="s">
        <v>3980</v>
      </c>
      <c r="W783" s="13"/>
      <c r="X783" s="13" t="s">
        <v>3980</v>
      </c>
      <c r="Y783" s="13" t="s">
        <v>3980</v>
      </c>
      <c r="Z783" s="13" t="s">
        <v>3980</v>
      </c>
      <c r="AC783" s="18"/>
      <c r="AE783" s="13"/>
    </row>
    <row r="784" spans="1:31" x14ac:dyDescent="0.25">
      <c r="A784" s="18" t="s">
        <v>483</v>
      </c>
      <c r="B784" s="30">
        <v>2007</v>
      </c>
      <c r="C784" s="13">
        <v>1066</v>
      </c>
      <c r="D784" s="14">
        <v>0.71099999999999997</v>
      </c>
      <c r="E784" s="14">
        <v>0.81</v>
      </c>
      <c r="F784" s="13">
        <v>18</v>
      </c>
      <c r="G784" s="14">
        <v>0.78700000000000003</v>
      </c>
      <c r="H784" s="18" t="s">
        <v>3260</v>
      </c>
      <c r="I784" s="26" t="s">
        <v>119</v>
      </c>
      <c r="J784" s="18" t="s">
        <v>54</v>
      </c>
      <c r="L784" s="9">
        <v>2007</v>
      </c>
      <c r="N784" s="30" t="s">
        <v>94</v>
      </c>
      <c r="O784" s="13" t="s">
        <v>42</v>
      </c>
      <c r="P784" s="13">
        <f t="shared" si="32"/>
        <v>11</v>
      </c>
      <c r="Q784" s="15">
        <f t="shared" si="33"/>
        <v>96.909090909090907</v>
      </c>
      <c r="R784" s="13" t="s">
        <v>484</v>
      </c>
      <c r="S784" s="13"/>
      <c r="T784" s="13" t="s">
        <v>485</v>
      </c>
      <c r="U784" s="13" t="s">
        <v>486</v>
      </c>
      <c r="V784" s="13" t="s">
        <v>3980</v>
      </c>
      <c r="W784" s="13"/>
      <c r="X784" s="13" t="s">
        <v>4675</v>
      </c>
      <c r="Y784" s="13" t="s">
        <v>3980</v>
      </c>
      <c r="Z784" s="13" t="s">
        <v>3980</v>
      </c>
      <c r="AC784" s="18"/>
      <c r="AE784" s="13"/>
    </row>
    <row r="785" spans="1:31" x14ac:dyDescent="0.25">
      <c r="A785" s="18" t="s">
        <v>4896</v>
      </c>
      <c r="B785" s="30">
        <v>1987</v>
      </c>
      <c r="C785" s="13">
        <v>3718</v>
      </c>
      <c r="D785" s="14">
        <v>0.92100000000000004</v>
      </c>
      <c r="E785" s="14">
        <v>0.81699999999999995</v>
      </c>
      <c r="F785" s="13">
        <v>29</v>
      </c>
      <c r="G785" s="14">
        <v>0.92400000000000004</v>
      </c>
      <c r="H785" s="18" t="s">
        <v>4822</v>
      </c>
      <c r="I785" s="26" t="s">
        <v>119</v>
      </c>
      <c r="J785" s="18" t="s">
        <v>26</v>
      </c>
      <c r="L785" s="9">
        <v>1987</v>
      </c>
      <c r="N785" s="30" t="s">
        <v>272</v>
      </c>
      <c r="O785" s="13" t="s">
        <v>28</v>
      </c>
      <c r="P785" s="13">
        <f t="shared" si="32"/>
        <v>31</v>
      </c>
      <c r="Q785" s="15">
        <f t="shared" si="33"/>
        <v>119.93548387096774</v>
      </c>
      <c r="R785" s="13" t="s">
        <v>1900</v>
      </c>
      <c r="S785" s="13" t="s">
        <v>164</v>
      </c>
      <c r="T785" s="13" t="s">
        <v>1901</v>
      </c>
      <c r="U785" s="13" t="s">
        <v>1902</v>
      </c>
      <c r="V785" s="13" t="s">
        <v>3980</v>
      </c>
      <c r="W785" s="13"/>
      <c r="X785" s="13" t="s">
        <v>4676</v>
      </c>
      <c r="Y785" s="13" t="s">
        <v>3980</v>
      </c>
      <c r="Z785" s="13" t="s">
        <v>3980</v>
      </c>
      <c r="AC785" s="18"/>
      <c r="AE785" s="34"/>
    </row>
    <row r="786" spans="1:31" x14ac:dyDescent="0.25">
      <c r="A786" s="18" t="s">
        <v>4924</v>
      </c>
      <c r="B786" s="30">
        <v>1992</v>
      </c>
      <c r="C786" s="13">
        <v>2085</v>
      </c>
      <c r="D786" s="14">
        <v>0.84299999999999997</v>
      </c>
      <c r="E786" s="14">
        <v>0.66</v>
      </c>
      <c r="F786" s="13">
        <v>25</v>
      </c>
      <c r="G786" s="14">
        <v>0.89500000000000002</v>
      </c>
      <c r="I786" s="26" t="s">
        <v>119</v>
      </c>
      <c r="J786" s="18" t="s">
        <v>26</v>
      </c>
      <c r="K786" s="4"/>
      <c r="L786" s="9">
        <v>1992</v>
      </c>
      <c r="N786" s="30" t="s">
        <v>2004</v>
      </c>
      <c r="O786" s="13" t="s">
        <v>28</v>
      </c>
      <c r="P786" s="13">
        <f t="shared" si="32"/>
        <v>26</v>
      </c>
      <c r="Q786" s="15">
        <f t="shared" si="33"/>
        <v>80.192307692307693</v>
      </c>
      <c r="R786" s="13" t="s">
        <v>710</v>
      </c>
      <c r="S786" s="13" t="s">
        <v>1002</v>
      </c>
      <c r="T786" s="13" t="s">
        <v>2005</v>
      </c>
      <c r="U786" s="13" t="s">
        <v>2006</v>
      </c>
      <c r="V786" s="13" t="s">
        <v>3980</v>
      </c>
      <c r="W786" s="13"/>
      <c r="X786" s="13" t="s">
        <v>3980</v>
      </c>
      <c r="Y786" s="13" t="s">
        <v>3980</v>
      </c>
      <c r="Z786" s="13" t="s">
        <v>3980</v>
      </c>
      <c r="AC786" s="18"/>
      <c r="AE786" s="13"/>
    </row>
    <row r="787" spans="1:31" x14ac:dyDescent="0.25">
      <c r="A787" s="18" t="s">
        <v>1392</v>
      </c>
      <c r="B787" s="30">
        <v>2010</v>
      </c>
      <c r="C787" s="13">
        <v>627</v>
      </c>
      <c r="D787" s="14">
        <v>0.61099999999999999</v>
      </c>
      <c r="E787" s="14">
        <v>0.69899999999999995</v>
      </c>
      <c r="F787" s="13">
        <v>9</v>
      </c>
      <c r="G787" s="14">
        <v>0.48799999999999999</v>
      </c>
      <c r="H787" s="18" t="s">
        <v>3514</v>
      </c>
      <c r="I787" s="26" t="s">
        <v>119</v>
      </c>
      <c r="J787" s="18" t="s">
        <v>54</v>
      </c>
      <c r="K787" s="4"/>
      <c r="L787" s="9">
        <v>2010</v>
      </c>
      <c r="N787" s="30" t="s">
        <v>134</v>
      </c>
      <c r="O787" s="13" t="s">
        <v>42</v>
      </c>
      <c r="P787" s="13">
        <f t="shared" si="32"/>
        <v>8</v>
      </c>
      <c r="Q787" s="15">
        <f t="shared" si="33"/>
        <v>78.375</v>
      </c>
      <c r="R787" s="13" t="s">
        <v>1393</v>
      </c>
      <c r="S787" s="13"/>
      <c r="T787" s="13" t="s">
        <v>1394</v>
      </c>
      <c r="U787" s="13"/>
      <c r="V787" s="13" t="s">
        <v>3980</v>
      </c>
      <c r="W787" s="13"/>
      <c r="X787" s="13" t="s">
        <v>3980</v>
      </c>
      <c r="Y787" s="13" t="s">
        <v>3980</v>
      </c>
      <c r="Z787" s="13" t="s">
        <v>3980</v>
      </c>
      <c r="AC787" s="18"/>
      <c r="AE787" s="18"/>
    </row>
    <row r="788" spans="1:31" x14ac:dyDescent="0.25">
      <c r="A788" s="18" t="s">
        <v>4859</v>
      </c>
      <c r="B788" s="30">
        <v>2004</v>
      </c>
      <c r="C788" s="13">
        <v>1024</v>
      </c>
      <c r="D788" s="14">
        <v>0.70399999999999996</v>
      </c>
      <c r="E788" s="14">
        <v>0.45700000000000002</v>
      </c>
      <c r="F788" s="13">
        <v>14</v>
      </c>
      <c r="G788" s="14">
        <v>0.67900000000000005</v>
      </c>
      <c r="H788" s="18" t="s">
        <v>3482</v>
      </c>
      <c r="I788" s="26" t="s">
        <v>119</v>
      </c>
      <c r="J788" s="18" t="s">
        <v>26</v>
      </c>
      <c r="L788" s="9">
        <v>2004</v>
      </c>
      <c r="N788" s="30" t="s">
        <v>83</v>
      </c>
      <c r="O788" s="13" t="s">
        <v>42</v>
      </c>
      <c r="P788" s="13">
        <f t="shared" si="32"/>
        <v>14</v>
      </c>
      <c r="Q788" s="15">
        <f t="shared" si="33"/>
        <v>73.142857142857139</v>
      </c>
      <c r="R788" s="13" t="s">
        <v>1285</v>
      </c>
      <c r="S788" s="13" t="s">
        <v>1286</v>
      </c>
      <c r="T788" s="13" t="s">
        <v>1287</v>
      </c>
      <c r="U788" s="13" t="s">
        <v>1288</v>
      </c>
      <c r="V788" s="13" t="s">
        <v>3980</v>
      </c>
      <c r="W788" s="13"/>
      <c r="X788" s="13" t="s">
        <v>4677</v>
      </c>
      <c r="Y788" s="13" t="s">
        <v>3980</v>
      </c>
      <c r="Z788" s="13" t="s">
        <v>3980</v>
      </c>
      <c r="AC788" s="18"/>
      <c r="AE788" s="13"/>
    </row>
    <row r="789" spans="1:31" x14ac:dyDescent="0.25">
      <c r="A789" s="18" t="s">
        <v>1339</v>
      </c>
      <c r="B789" s="30">
        <v>2005</v>
      </c>
      <c r="C789" s="13">
        <v>615</v>
      </c>
      <c r="D789" s="14">
        <v>0.60699999999999998</v>
      </c>
      <c r="E789" s="14">
        <v>0.69299999999999995</v>
      </c>
      <c r="F789" s="13">
        <v>15</v>
      </c>
      <c r="G789" s="14">
        <v>0.71</v>
      </c>
      <c r="H789" s="18" t="s">
        <v>3496</v>
      </c>
      <c r="I789" s="26" t="s">
        <v>119</v>
      </c>
      <c r="J789" s="18" t="s">
        <v>54</v>
      </c>
      <c r="L789" s="9">
        <f>B789</f>
        <v>2005</v>
      </c>
      <c r="N789" s="30" t="s">
        <v>3103</v>
      </c>
      <c r="O789" s="13" t="s">
        <v>28</v>
      </c>
      <c r="P789" s="13">
        <f t="shared" si="32"/>
        <v>13</v>
      </c>
      <c r="Q789" s="15">
        <f t="shared" si="33"/>
        <v>47.307692307692307</v>
      </c>
      <c r="R789" s="13" t="s">
        <v>1340</v>
      </c>
      <c r="S789" s="13"/>
      <c r="T789" s="13" t="s">
        <v>256</v>
      </c>
      <c r="U789" s="13"/>
      <c r="V789" s="13" t="s">
        <v>3980</v>
      </c>
      <c r="W789" s="13"/>
      <c r="X789" s="13" t="s">
        <v>3980</v>
      </c>
      <c r="Y789" s="13" t="s">
        <v>3980</v>
      </c>
      <c r="Z789" s="13" t="s">
        <v>3980</v>
      </c>
      <c r="AC789" s="18"/>
      <c r="AE789" s="13"/>
    </row>
    <row r="790" spans="1:31" x14ac:dyDescent="0.25">
      <c r="A790" s="18" t="s">
        <v>1261</v>
      </c>
      <c r="B790" s="30">
        <v>2013</v>
      </c>
      <c r="C790" s="13">
        <v>12</v>
      </c>
      <c r="D790" s="14">
        <v>7.6999999999999999E-2</v>
      </c>
      <c r="E790" s="14">
        <v>0.15</v>
      </c>
      <c r="F790" s="13">
        <v>2</v>
      </c>
      <c r="G790" s="14">
        <v>7.0999999999999994E-2</v>
      </c>
      <c r="H790" s="18" t="s">
        <v>3474</v>
      </c>
      <c r="I790" s="26" t="s">
        <v>53</v>
      </c>
      <c r="J790" s="4" t="s">
        <v>105</v>
      </c>
      <c r="L790" s="9">
        <v>2013</v>
      </c>
      <c r="N790" s="30" t="s">
        <v>192</v>
      </c>
      <c r="O790" s="13" t="s">
        <v>42</v>
      </c>
      <c r="P790" s="13">
        <f t="shared" si="32"/>
        <v>5</v>
      </c>
      <c r="Q790" s="15">
        <f t="shared" si="33"/>
        <v>2.4</v>
      </c>
      <c r="R790" s="13" t="s">
        <v>1262</v>
      </c>
      <c r="S790" s="13"/>
      <c r="T790" s="13" t="s">
        <v>227</v>
      </c>
      <c r="U790" s="13"/>
      <c r="V790" s="13" t="s">
        <v>3980</v>
      </c>
      <c r="W790" s="13"/>
      <c r="X790" s="13" t="s">
        <v>4678</v>
      </c>
      <c r="Y790" s="13" t="s">
        <v>3980</v>
      </c>
      <c r="Z790" s="13" t="s">
        <v>3980</v>
      </c>
      <c r="AC790" s="18"/>
      <c r="AE790" s="13"/>
    </row>
    <row r="791" spans="1:31" x14ac:dyDescent="0.25">
      <c r="A791" s="18" t="s">
        <v>929</v>
      </c>
      <c r="B791" s="30">
        <v>2002</v>
      </c>
      <c r="C791" s="13">
        <v>403</v>
      </c>
      <c r="D791" s="14">
        <v>0.50600000000000001</v>
      </c>
      <c r="E791" s="14">
        <v>0.54400000000000004</v>
      </c>
      <c r="F791" s="13">
        <v>11</v>
      </c>
      <c r="G791" s="14">
        <v>0.56000000000000005</v>
      </c>
      <c r="H791" s="18" t="s">
        <v>3379</v>
      </c>
      <c r="I791" s="26" t="s">
        <v>53</v>
      </c>
      <c r="J791" s="18" t="s">
        <v>54</v>
      </c>
      <c r="K791" s="4"/>
      <c r="L791" s="9">
        <v>2002</v>
      </c>
      <c r="N791" s="30" t="s">
        <v>67</v>
      </c>
      <c r="O791" s="13" t="s">
        <v>28</v>
      </c>
      <c r="P791" s="13">
        <f t="shared" si="32"/>
        <v>16</v>
      </c>
      <c r="Q791" s="15">
        <f t="shared" si="33"/>
        <v>25.1875</v>
      </c>
      <c r="R791" s="13" t="s">
        <v>84</v>
      </c>
      <c r="S791" s="13"/>
      <c r="T791" s="13" t="s">
        <v>930</v>
      </c>
      <c r="U791" s="13" t="s">
        <v>931</v>
      </c>
      <c r="V791" s="13" t="s">
        <v>4214</v>
      </c>
      <c r="W791" s="13"/>
      <c r="X791" s="13" t="s">
        <v>4679</v>
      </c>
      <c r="Y791" s="13" t="s">
        <v>3980</v>
      </c>
      <c r="Z791" s="13" t="s">
        <v>3980</v>
      </c>
      <c r="AC791" s="18"/>
      <c r="AE791" s="18"/>
    </row>
    <row r="792" spans="1:31" x14ac:dyDescent="0.25">
      <c r="A792" s="28" t="s">
        <v>4868</v>
      </c>
      <c r="B792" s="30">
        <v>2002</v>
      </c>
      <c r="C792" s="13">
        <v>799</v>
      </c>
      <c r="D792" s="14">
        <v>0.65600000000000003</v>
      </c>
      <c r="E792" s="14">
        <v>0.39800000000000002</v>
      </c>
      <c r="F792" s="13">
        <v>16</v>
      </c>
      <c r="G792" s="14">
        <v>0.74099999999999999</v>
      </c>
      <c r="I792" s="26" t="s">
        <v>53</v>
      </c>
      <c r="J792" s="18" t="s">
        <v>26</v>
      </c>
      <c r="L792" s="9">
        <f>B792</f>
        <v>2002</v>
      </c>
      <c r="N792" s="30" t="s">
        <v>765</v>
      </c>
      <c r="O792" s="13" t="s">
        <v>42</v>
      </c>
      <c r="P792" s="13">
        <f t="shared" si="32"/>
        <v>16</v>
      </c>
      <c r="Q792" s="15">
        <f t="shared" si="33"/>
        <v>49.9375</v>
      </c>
      <c r="R792" s="13" t="s">
        <v>1745</v>
      </c>
      <c r="S792" s="13" t="s">
        <v>859</v>
      </c>
      <c r="T792" s="13" t="s">
        <v>1746</v>
      </c>
      <c r="U792" s="13"/>
      <c r="V792" s="13" t="s">
        <v>3980</v>
      </c>
      <c r="W792" s="13"/>
      <c r="X792" s="13" t="s">
        <v>3980</v>
      </c>
      <c r="Y792" s="13" t="s">
        <v>3980</v>
      </c>
      <c r="Z792" s="13" t="s">
        <v>3980</v>
      </c>
      <c r="AC792" s="18"/>
    </row>
    <row r="793" spans="1:31" x14ac:dyDescent="0.25">
      <c r="A793" s="18" t="s">
        <v>440</v>
      </c>
      <c r="B793" s="30">
        <v>2004</v>
      </c>
      <c r="C793" s="13">
        <v>1346</v>
      </c>
      <c r="D793" s="14">
        <v>0.75900000000000001</v>
      </c>
      <c r="E793" s="14">
        <v>0.873</v>
      </c>
      <c r="F793" s="13">
        <v>16</v>
      </c>
      <c r="G793" s="14">
        <v>0.74099999999999999</v>
      </c>
      <c r="H793" s="18" t="s">
        <v>3249</v>
      </c>
      <c r="I793" s="26" t="s">
        <v>53</v>
      </c>
      <c r="J793" s="18" t="s">
        <v>54</v>
      </c>
      <c r="L793" s="9">
        <v>2004</v>
      </c>
      <c r="N793" s="30" t="s">
        <v>168</v>
      </c>
      <c r="O793" s="13" t="s">
        <v>28</v>
      </c>
      <c r="P793" s="13">
        <f t="shared" si="32"/>
        <v>14</v>
      </c>
      <c r="Q793" s="15">
        <f t="shared" si="33"/>
        <v>96.142857142857139</v>
      </c>
      <c r="R793" s="13" t="s">
        <v>441</v>
      </c>
      <c r="S793" s="13"/>
      <c r="T793" s="13" t="s">
        <v>320</v>
      </c>
      <c r="U793" s="13" t="s">
        <v>442</v>
      </c>
      <c r="V793" s="13" t="s">
        <v>3980</v>
      </c>
      <c r="W793" s="13"/>
      <c r="X793" s="13" t="s">
        <v>4680</v>
      </c>
      <c r="Y793" s="13" t="s">
        <v>3980</v>
      </c>
      <c r="Z793" s="13" t="s">
        <v>3980</v>
      </c>
      <c r="AC793" s="18"/>
    </row>
    <row r="794" spans="1:31" x14ac:dyDescent="0.25">
      <c r="A794" s="18" t="s">
        <v>2236</v>
      </c>
      <c r="B794" s="30">
        <v>1986</v>
      </c>
      <c r="C794" s="13">
        <v>1</v>
      </c>
      <c r="D794" s="14">
        <v>0</v>
      </c>
      <c r="E794" s="14">
        <v>0</v>
      </c>
      <c r="F794" s="13">
        <v>1</v>
      </c>
      <c r="G794" s="14">
        <v>0</v>
      </c>
      <c r="I794" s="26" t="s">
        <v>53</v>
      </c>
      <c r="J794" s="18" t="s">
        <v>26</v>
      </c>
      <c r="L794" s="9">
        <v>1986</v>
      </c>
      <c r="N794" s="30" t="s">
        <v>220</v>
      </c>
      <c r="O794" s="13" t="s">
        <v>42</v>
      </c>
      <c r="P794" s="13">
        <f t="shared" si="32"/>
        <v>32</v>
      </c>
      <c r="Q794" s="15">
        <f t="shared" si="33"/>
        <v>3.125E-2</v>
      </c>
      <c r="R794" s="13" t="s">
        <v>2233</v>
      </c>
      <c r="S794" s="13"/>
      <c r="T794" s="13" t="s">
        <v>2237</v>
      </c>
      <c r="U794" s="13" t="s">
        <v>2238</v>
      </c>
      <c r="V794" s="13" t="s">
        <v>3980</v>
      </c>
      <c r="W794" s="13"/>
      <c r="X794" s="13" t="s">
        <v>4681</v>
      </c>
      <c r="Y794" s="13" t="s">
        <v>3980</v>
      </c>
      <c r="Z794" s="13" t="s">
        <v>3980</v>
      </c>
      <c r="AC794" s="18"/>
    </row>
    <row r="795" spans="1:31" x14ac:dyDescent="0.25">
      <c r="A795" s="18" t="s">
        <v>52</v>
      </c>
      <c r="B795" s="30">
        <v>2004</v>
      </c>
      <c r="C795" s="13">
        <v>121</v>
      </c>
      <c r="D795" s="14">
        <v>0.29699999999999999</v>
      </c>
      <c r="E795" s="14">
        <v>0.27700000000000002</v>
      </c>
      <c r="F795" s="13">
        <v>6</v>
      </c>
      <c r="G795" s="14">
        <v>0.32200000000000001</v>
      </c>
      <c r="H795" s="18" t="s">
        <v>3166</v>
      </c>
      <c r="I795" s="26" t="s">
        <v>53</v>
      </c>
      <c r="J795" s="18" t="s">
        <v>54</v>
      </c>
      <c r="K795" s="4"/>
      <c r="L795" s="9">
        <v>2004</v>
      </c>
      <c r="N795" s="30" t="s">
        <v>55</v>
      </c>
      <c r="O795" s="13" t="s">
        <v>28</v>
      </c>
      <c r="P795" s="13">
        <f t="shared" si="32"/>
        <v>14</v>
      </c>
      <c r="Q795" s="15">
        <f t="shared" si="33"/>
        <v>8.6428571428571423</v>
      </c>
      <c r="R795" s="13" t="s">
        <v>56</v>
      </c>
      <c r="S795" s="13"/>
      <c r="T795" s="13" t="s">
        <v>57</v>
      </c>
      <c r="U795" s="13" t="s">
        <v>58</v>
      </c>
      <c r="V795" s="13" t="s">
        <v>4215</v>
      </c>
      <c r="W795" s="13"/>
      <c r="X795" s="13" t="s">
        <v>4682</v>
      </c>
      <c r="Y795" s="13" t="s">
        <v>3980</v>
      </c>
      <c r="Z795" s="13" t="s">
        <v>3980</v>
      </c>
      <c r="AC795" s="18"/>
    </row>
    <row r="796" spans="1:31" x14ac:dyDescent="0.25">
      <c r="A796" s="18" t="s">
        <v>2795</v>
      </c>
      <c r="B796" s="30">
        <v>1988</v>
      </c>
      <c r="C796" s="13">
        <v>140</v>
      </c>
      <c r="D796" s="14">
        <v>0.32600000000000001</v>
      </c>
      <c r="E796" s="14">
        <v>0.315</v>
      </c>
      <c r="F796" s="13">
        <v>5</v>
      </c>
      <c r="G796" s="14">
        <v>0.27400000000000002</v>
      </c>
      <c r="I796" s="26" t="s">
        <v>1794</v>
      </c>
      <c r="J796" s="4" t="s">
        <v>54</v>
      </c>
      <c r="L796" s="9">
        <v>1988</v>
      </c>
      <c r="N796" s="30" t="s">
        <v>192</v>
      </c>
      <c r="O796" s="13" t="s">
        <v>28</v>
      </c>
      <c r="P796" s="13">
        <f t="shared" si="32"/>
        <v>30</v>
      </c>
      <c r="Q796" s="15">
        <f t="shared" si="33"/>
        <v>4.666666666666667</v>
      </c>
      <c r="R796" s="13" t="s">
        <v>2796</v>
      </c>
      <c r="S796" s="13"/>
      <c r="T796" s="13" t="s">
        <v>2797</v>
      </c>
      <c r="U796" s="13"/>
      <c r="V796" s="13" t="s">
        <v>4216</v>
      </c>
      <c r="W796" s="13"/>
      <c r="X796" s="13" t="s">
        <v>4683</v>
      </c>
      <c r="Y796" s="13" t="s">
        <v>3980</v>
      </c>
      <c r="Z796" s="13" t="s">
        <v>3980</v>
      </c>
      <c r="AC796" s="18"/>
    </row>
    <row r="797" spans="1:31" x14ac:dyDescent="0.25">
      <c r="A797" s="18" t="s">
        <v>3035</v>
      </c>
      <c r="B797" s="30">
        <v>2004</v>
      </c>
      <c r="C797" s="13">
        <v>13</v>
      </c>
      <c r="D797" s="14">
        <v>8.1000000000000003E-2</v>
      </c>
      <c r="E797" s="14">
        <v>7.6999999999999999E-2</v>
      </c>
      <c r="F797" s="13">
        <v>3</v>
      </c>
      <c r="G797" s="14">
        <v>0.13100000000000001</v>
      </c>
      <c r="I797" s="26" t="s">
        <v>1794</v>
      </c>
      <c r="J797" s="4" t="s">
        <v>54</v>
      </c>
      <c r="L797" s="9">
        <v>2004</v>
      </c>
      <c r="N797" s="30" t="s">
        <v>220</v>
      </c>
      <c r="O797" s="13" t="s">
        <v>28</v>
      </c>
      <c r="P797" s="13">
        <f t="shared" si="32"/>
        <v>14</v>
      </c>
      <c r="Q797" s="15">
        <f t="shared" si="33"/>
        <v>0.9285714285714286</v>
      </c>
      <c r="R797" s="13" t="s">
        <v>3036</v>
      </c>
      <c r="S797" s="13"/>
      <c r="T797" s="13" t="s">
        <v>3037</v>
      </c>
      <c r="U797" s="13"/>
      <c r="V797" s="13" t="s">
        <v>3980</v>
      </c>
      <c r="W797" s="13"/>
      <c r="X797" s="13" t="s">
        <v>4684</v>
      </c>
      <c r="Y797" s="13" t="s">
        <v>3980</v>
      </c>
      <c r="Z797" s="13" t="s">
        <v>3980</v>
      </c>
      <c r="AC797" s="18"/>
    </row>
    <row r="798" spans="1:31" x14ac:dyDescent="0.25">
      <c r="A798" s="18" t="s">
        <v>1793</v>
      </c>
      <c r="B798" s="30">
        <v>2013</v>
      </c>
      <c r="C798" s="13">
        <v>162</v>
      </c>
      <c r="D798" s="14">
        <v>0.35199999999999998</v>
      </c>
      <c r="E798" s="14">
        <v>0.65200000000000002</v>
      </c>
      <c r="F798" s="13">
        <v>6</v>
      </c>
      <c r="G798" s="14">
        <v>0.32200000000000001</v>
      </c>
      <c r="H798" s="18" t="s">
        <v>3569</v>
      </c>
      <c r="I798" s="26" t="s">
        <v>1794</v>
      </c>
      <c r="J798" s="4" t="s">
        <v>105</v>
      </c>
      <c r="L798" s="9">
        <v>2013</v>
      </c>
      <c r="N798" s="30" t="s">
        <v>151</v>
      </c>
      <c r="O798" s="13" t="s">
        <v>28</v>
      </c>
      <c r="P798" s="13">
        <f t="shared" si="32"/>
        <v>5</v>
      </c>
      <c r="Q798" s="15">
        <f t="shared" si="33"/>
        <v>32.4</v>
      </c>
      <c r="R798" s="13" t="s">
        <v>89</v>
      </c>
      <c r="S798" s="13"/>
      <c r="T798" s="13" t="s">
        <v>1795</v>
      </c>
      <c r="U798" s="13" t="s">
        <v>1796</v>
      </c>
      <c r="V798" s="13" t="s">
        <v>4217</v>
      </c>
      <c r="W798" s="13"/>
      <c r="X798" s="13" t="s">
        <v>4685</v>
      </c>
      <c r="Y798" s="13" t="s">
        <v>3980</v>
      </c>
      <c r="Z798" s="13" t="s">
        <v>3980</v>
      </c>
      <c r="AC798" s="18"/>
    </row>
    <row r="799" spans="1:31" x14ac:dyDescent="0.25">
      <c r="A799" s="18" t="s">
        <v>1994</v>
      </c>
      <c r="B799" s="30">
        <v>1975</v>
      </c>
      <c r="C799" s="13">
        <v>2</v>
      </c>
      <c r="D799" s="14">
        <v>2.3E-2</v>
      </c>
      <c r="E799" s="14">
        <v>8.9999999999999993E-3</v>
      </c>
      <c r="F799" s="13">
        <v>1</v>
      </c>
      <c r="G799" s="14">
        <v>0</v>
      </c>
      <c r="I799" s="26" t="s">
        <v>1794</v>
      </c>
      <c r="J799" s="4" t="s">
        <v>26</v>
      </c>
      <c r="K799" s="4"/>
      <c r="L799" s="9">
        <v>1975</v>
      </c>
      <c r="N799" s="30" t="s">
        <v>1995</v>
      </c>
      <c r="O799" s="13" t="s">
        <v>28</v>
      </c>
      <c r="P799" s="13">
        <f t="shared" si="32"/>
        <v>43</v>
      </c>
      <c r="Q799" s="15">
        <f t="shared" si="33"/>
        <v>4.6511627906976744E-2</v>
      </c>
      <c r="R799" s="13" t="s">
        <v>898</v>
      </c>
      <c r="S799" s="13"/>
      <c r="T799" s="13" t="s">
        <v>1996</v>
      </c>
      <c r="U799" s="13" t="s">
        <v>1997</v>
      </c>
      <c r="V799" s="13" t="s">
        <v>3980</v>
      </c>
      <c r="W799" s="13"/>
      <c r="X799" s="13" t="s">
        <v>4686</v>
      </c>
      <c r="Y799" s="13" t="s">
        <v>3980</v>
      </c>
      <c r="Z799" s="13" t="s">
        <v>3980</v>
      </c>
      <c r="AC799" s="18"/>
    </row>
    <row r="800" spans="1:31" x14ac:dyDescent="0.25">
      <c r="A800" s="18" t="s">
        <v>3050</v>
      </c>
      <c r="B800" s="30">
        <v>2007</v>
      </c>
      <c r="C800" s="13">
        <v>1291</v>
      </c>
      <c r="D800" s="14">
        <v>0.748</v>
      </c>
      <c r="E800" s="14">
        <v>0.86199999999999999</v>
      </c>
      <c r="F800" s="13">
        <v>18</v>
      </c>
      <c r="G800" s="14">
        <v>0.78700000000000003</v>
      </c>
      <c r="I800" s="26" t="s">
        <v>1794</v>
      </c>
      <c r="J800" s="4" t="s">
        <v>54</v>
      </c>
      <c r="L800" s="9">
        <v>2007</v>
      </c>
      <c r="N800" s="30" t="s">
        <v>161</v>
      </c>
      <c r="O800" s="13" t="s">
        <v>28</v>
      </c>
      <c r="P800" s="13">
        <f t="shared" si="32"/>
        <v>11</v>
      </c>
      <c r="Q800" s="15">
        <f t="shared" si="33"/>
        <v>117.36363636363636</v>
      </c>
      <c r="R800" s="13" t="s">
        <v>3051</v>
      </c>
      <c r="S800" s="13"/>
      <c r="T800" s="13" t="s">
        <v>3052</v>
      </c>
      <c r="U800" s="13"/>
      <c r="V800" s="13" t="s">
        <v>4218</v>
      </c>
      <c r="W800" s="13"/>
      <c r="X800" s="13" t="s">
        <v>4687</v>
      </c>
      <c r="Y800" s="13" t="s">
        <v>3980</v>
      </c>
      <c r="Z800" s="13" t="s">
        <v>3980</v>
      </c>
      <c r="AC800" s="18"/>
    </row>
    <row r="801" spans="1:29" x14ac:dyDescent="0.25">
      <c r="A801" s="18" t="s">
        <v>2251</v>
      </c>
      <c r="B801" s="30">
        <v>2014</v>
      </c>
      <c r="C801" s="13">
        <v>1</v>
      </c>
      <c r="D801" s="14">
        <v>0</v>
      </c>
      <c r="E801" s="14">
        <v>0</v>
      </c>
      <c r="F801" s="13">
        <v>1</v>
      </c>
      <c r="G801" s="14">
        <v>0</v>
      </c>
      <c r="I801" s="26" t="s">
        <v>916</v>
      </c>
      <c r="J801" s="18" t="s">
        <v>105</v>
      </c>
      <c r="L801" s="9">
        <f>B801</f>
        <v>2014</v>
      </c>
      <c r="M801" s="20" t="s">
        <v>3132</v>
      </c>
      <c r="N801" s="30" t="s">
        <v>916</v>
      </c>
      <c r="O801" s="13" t="s">
        <v>42</v>
      </c>
      <c r="P801" s="13">
        <f t="shared" si="32"/>
        <v>4</v>
      </c>
      <c r="Q801" s="15">
        <f t="shared" si="33"/>
        <v>0.25</v>
      </c>
      <c r="R801" s="13" t="s">
        <v>2252</v>
      </c>
      <c r="S801" s="13"/>
      <c r="T801" s="13" t="s">
        <v>2253</v>
      </c>
      <c r="U801" s="13"/>
      <c r="V801" s="13" t="s">
        <v>3980</v>
      </c>
      <c r="W801" s="13"/>
      <c r="X801" s="13" t="s">
        <v>3980</v>
      </c>
      <c r="Y801" s="13" t="s">
        <v>3980</v>
      </c>
      <c r="Z801" s="13" t="s">
        <v>3980</v>
      </c>
      <c r="AC801" s="18"/>
    </row>
    <row r="802" spans="1:29" x14ac:dyDescent="0.25">
      <c r="A802" s="18" t="s">
        <v>2734</v>
      </c>
      <c r="B802" s="30">
        <v>2006</v>
      </c>
      <c r="C802" s="13">
        <v>580</v>
      </c>
      <c r="D802" s="14">
        <v>0.59199999999999997</v>
      </c>
      <c r="E802" s="14">
        <v>0.32500000000000001</v>
      </c>
      <c r="F802" s="13">
        <v>11</v>
      </c>
      <c r="G802" s="14">
        <v>0.56000000000000005</v>
      </c>
      <c r="I802" s="26" t="s">
        <v>916</v>
      </c>
      <c r="J802" s="18" t="s">
        <v>26</v>
      </c>
      <c r="L802" s="9">
        <v>2006</v>
      </c>
      <c r="N802" s="30" t="s">
        <v>88</v>
      </c>
      <c r="O802" s="13" t="s">
        <v>42</v>
      </c>
      <c r="P802" s="13">
        <f t="shared" si="32"/>
        <v>12</v>
      </c>
      <c r="Q802" s="15">
        <f t="shared" si="33"/>
        <v>48.333333333333336</v>
      </c>
      <c r="R802" s="13" t="s">
        <v>2735</v>
      </c>
      <c r="S802" s="13"/>
      <c r="T802" s="13" t="s">
        <v>2736</v>
      </c>
      <c r="U802" s="13" t="s">
        <v>2737</v>
      </c>
      <c r="V802" s="13" t="s">
        <v>4219</v>
      </c>
      <c r="W802" s="13"/>
      <c r="X802" s="13" t="s">
        <v>4688</v>
      </c>
      <c r="Y802" s="13" t="s">
        <v>3980</v>
      </c>
      <c r="Z802" s="13" t="s">
        <v>3980</v>
      </c>
      <c r="AC802" s="18"/>
    </row>
    <row r="803" spans="1:29" x14ac:dyDescent="0.25">
      <c r="A803" s="18" t="s">
        <v>5135</v>
      </c>
      <c r="B803" s="30">
        <v>1969</v>
      </c>
      <c r="C803" s="13">
        <v>267</v>
      </c>
      <c r="D803" s="14">
        <v>0.42599999999999999</v>
      </c>
      <c r="E803" s="14">
        <v>0.22</v>
      </c>
      <c r="F803" s="13">
        <v>6</v>
      </c>
      <c r="G803" s="14">
        <v>0.32200000000000001</v>
      </c>
      <c r="I803" s="26" t="s">
        <v>916</v>
      </c>
      <c r="J803" s="18" t="s">
        <v>26</v>
      </c>
      <c r="L803" s="9">
        <v>1969</v>
      </c>
      <c r="N803" s="30" t="s">
        <v>277</v>
      </c>
      <c r="O803" s="13" t="s">
        <v>28</v>
      </c>
      <c r="P803" s="13">
        <f t="shared" si="32"/>
        <v>49</v>
      </c>
      <c r="Q803" s="15">
        <f t="shared" si="33"/>
        <v>5.4489795918367347</v>
      </c>
      <c r="R803" s="13" t="s">
        <v>1432</v>
      </c>
      <c r="S803" s="13" t="s">
        <v>239</v>
      </c>
      <c r="T803" s="13" t="s">
        <v>3011</v>
      </c>
      <c r="U803" s="13"/>
      <c r="V803" s="13" t="s">
        <v>3980</v>
      </c>
      <c r="W803" s="13"/>
      <c r="X803" s="13" t="s">
        <v>3980</v>
      </c>
      <c r="Y803" s="13" t="s">
        <v>3980</v>
      </c>
      <c r="Z803" s="13" t="s">
        <v>3980</v>
      </c>
      <c r="AC803" s="18"/>
    </row>
    <row r="804" spans="1:29" x14ac:dyDescent="0.25">
      <c r="A804" s="18" t="s">
        <v>915</v>
      </c>
      <c r="B804" s="30">
        <v>2011</v>
      </c>
      <c r="C804" s="13">
        <v>29</v>
      </c>
      <c r="D804" s="14">
        <v>0.124</v>
      </c>
      <c r="E804" s="14">
        <v>0.249</v>
      </c>
      <c r="F804" s="13">
        <v>3</v>
      </c>
      <c r="G804" s="14">
        <v>0.13100000000000001</v>
      </c>
      <c r="H804" s="18" t="s">
        <v>3374</v>
      </c>
      <c r="I804" s="26" t="s">
        <v>916</v>
      </c>
      <c r="J804" s="18" t="s">
        <v>105</v>
      </c>
      <c r="L804" s="9">
        <v>2011</v>
      </c>
      <c r="N804" s="30" t="s">
        <v>151</v>
      </c>
      <c r="O804" s="13" t="s">
        <v>28</v>
      </c>
      <c r="P804" s="13">
        <f t="shared" si="32"/>
        <v>7</v>
      </c>
      <c r="Q804" s="15">
        <f t="shared" si="33"/>
        <v>4.1428571428571432</v>
      </c>
      <c r="R804" s="13" t="s">
        <v>917</v>
      </c>
      <c r="S804" s="13"/>
      <c r="T804" s="13" t="s">
        <v>918</v>
      </c>
      <c r="U804" s="13" t="s">
        <v>919</v>
      </c>
      <c r="V804" s="13" t="s">
        <v>3980</v>
      </c>
      <c r="W804" s="13"/>
      <c r="X804" s="13" t="s">
        <v>4689</v>
      </c>
      <c r="Y804" s="13" t="s">
        <v>3980</v>
      </c>
      <c r="Z804" s="13" t="s">
        <v>3980</v>
      </c>
      <c r="AC804" s="18"/>
    </row>
    <row r="805" spans="1:29" x14ac:dyDescent="0.25">
      <c r="A805" s="18" t="s">
        <v>1365</v>
      </c>
      <c r="B805" s="30">
        <v>2012</v>
      </c>
      <c r="C805" s="13">
        <v>85</v>
      </c>
      <c r="D805" s="14">
        <v>0.23599999999999999</v>
      </c>
      <c r="E805" s="14">
        <v>0.45600000000000002</v>
      </c>
      <c r="F805" s="13">
        <v>1</v>
      </c>
      <c r="G805" s="14">
        <v>0</v>
      </c>
      <c r="H805" s="18" t="s">
        <v>3631</v>
      </c>
      <c r="I805" s="26" t="s">
        <v>916</v>
      </c>
      <c r="J805" s="4" t="s">
        <v>105</v>
      </c>
      <c r="K805" s="4"/>
      <c r="L805" s="9">
        <v>2012</v>
      </c>
      <c r="N805" s="30" t="s">
        <v>192</v>
      </c>
      <c r="O805" s="13" t="s">
        <v>42</v>
      </c>
      <c r="P805" s="13">
        <f t="shared" si="32"/>
        <v>6</v>
      </c>
      <c r="Q805" s="15">
        <f t="shared" si="33"/>
        <v>14.166666666666666</v>
      </c>
      <c r="R805" s="13" t="s">
        <v>766</v>
      </c>
      <c r="S805" s="13"/>
      <c r="T805" s="13" t="s">
        <v>1366</v>
      </c>
      <c r="U805" s="13" t="s">
        <v>1367</v>
      </c>
      <c r="V805" s="13" t="s">
        <v>3980</v>
      </c>
      <c r="W805" s="13"/>
      <c r="X805" s="13" t="s">
        <v>3980</v>
      </c>
      <c r="Y805" s="13" t="s">
        <v>3980</v>
      </c>
      <c r="Z805" s="13" t="s">
        <v>3980</v>
      </c>
      <c r="AC805" s="18"/>
    </row>
    <row r="806" spans="1:29" x14ac:dyDescent="0.25">
      <c r="A806" s="28" t="s">
        <v>4869</v>
      </c>
      <c r="B806" s="30">
        <v>1993</v>
      </c>
      <c r="C806" s="13">
        <v>131</v>
      </c>
      <c r="D806" s="14">
        <v>0.31</v>
      </c>
      <c r="E806" s="14">
        <v>0.29499999999999998</v>
      </c>
      <c r="F806" s="13">
        <v>3</v>
      </c>
      <c r="G806" s="14">
        <v>0.13100000000000001</v>
      </c>
      <c r="I806" s="26" t="s">
        <v>916</v>
      </c>
      <c r="J806" s="18" t="s">
        <v>54</v>
      </c>
      <c r="K806" s="4"/>
      <c r="L806" s="9">
        <v>1993</v>
      </c>
      <c r="M806" s="11"/>
      <c r="N806" s="30" t="s">
        <v>88</v>
      </c>
      <c r="O806" s="13" t="s">
        <v>42</v>
      </c>
      <c r="P806" s="13">
        <f t="shared" si="32"/>
        <v>25</v>
      </c>
      <c r="Q806" s="15">
        <f t="shared" si="33"/>
        <v>5.24</v>
      </c>
      <c r="R806" s="13" t="s">
        <v>1751</v>
      </c>
      <c r="S806" s="13" t="s">
        <v>90</v>
      </c>
      <c r="T806" s="13" t="s">
        <v>1752</v>
      </c>
      <c r="U806" s="13" t="s">
        <v>1753</v>
      </c>
      <c r="V806" s="13" t="s">
        <v>4220</v>
      </c>
      <c r="W806" s="13"/>
      <c r="X806" s="13" t="s">
        <v>4690</v>
      </c>
      <c r="Y806" s="13" t="s">
        <v>3980</v>
      </c>
      <c r="Z806" s="13" t="s">
        <v>3980</v>
      </c>
      <c r="AC806" s="18"/>
    </row>
    <row r="807" spans="1:29" x14ac:dyDescent="0.25">
      <c r="A807" s="18" t="s">
        <v>2949</v>
      </c>
      <c r="B807" s="30">
        <v>1982</v>
      </c>
      <c r="C807" s="13">
        <v>132</v>
      </c>
      <c r="D807" s="14">
        <v>0.313</v>
      </c>
      <c r="E807" s="14">
        <v>0.14799999999999999</v>
      </c>
      <c r="F807" s="13">
        <v>6</v>
      </c>
      <c r="G807" s="14">
        <v>0.32200000000000001</v>
      </c>
      <c r="I807" s="26" t="s">
        <v>916</v>
      </c>
      <c r="J807" s="18" t="s">
        <v>26</v>
      </c>
      <c r="L807" s="9">
        <v>1982</v>
      </c>
      <c r="N807" s="30" t="s">
        <v>318</v>
      </c>
      <c r="O807" s="13" t="s">
        <v>28</v>
      </c>
      <c r="P807" s="13">
        <f t="shared" si="32"/>
        <v>36</v>
      </c>
      <c r="Q807" s="15">
        <f t="shared" si="33"/>
        <v>3.6666666666666665</v>
      </c>
      <c r="R807" s="13" t="s">
        <v>528</v>
      </c>
      <c r="S807" s="13"/>
      <c r="T807" s="13" t="s">
        <v>2950</v>
      </c>
      <c r="U807" s="13" t="s">
        <v>2951</v>
      </c>
      <c r="V807" s="13" t="s">
        <v>3980</v>
      </c>
      <c r="W807" s="13"/>
      <c r="X807" s="13" t="s">
        <v>4691</v>
      </c>
      <c r="Y807" s="13" t="s">
        <v>3980</v>
      </c>
      <c r="Z807" s="13" t="s">
        <v>3980</v>
      </c>
      <c r="AC807" s="18"/>
    </row>
    <row r="808" spans="1:29" x14ac:dyDescent="0.25">
      <c r="A808" s="18" t="s">
        <v>2548</v>
      </c>
      <c r="B808" s="30">
        <v>2000</v>
      </c>
      <c r="C808" s="13">
        <v>44</v>
      </c>
      <c r="D808" s="14">
        <v>0.16</v>
      </c>
      <c r="E808" s="14">
        <v>8.4000000000000005E-2</v>
      </c>
      <c r="F808" s="13">
        <v>2</v>
      </c>
      <c r="G808" s="14">
        <v>7.0999999999999994E-2</v>
      </c>
      <c r="I808" s="26" t="s">
        <v>916</v>
      </c>
      <c r="J808" s="18" t="s">
        <v>26</v>
      </c>
      <c r="L808" s="9">
        <f>B808</f>
        <v>2000</v>
      </c>
      <c r="M808" s="20" t="s">
        <v>3132</v>
      </c>
      <c r="N808" s="30" t="s">
        <v>34</v>
      </c>
      <c r="O808" s="13" t="s">
        <v>42</v>
      </c>
      <c r="P808" s="13">
        <f t="shared" si="32"/>
        <v>18</v>
      </c>
      <c r="Q808" s="15">
        <f t="shared" si="33"/>
        <v>2.4444444444444446</v>
      </c>
      <c r="R808" s="13" t="s">
        <v>2549</v>
      </c>
      <c r="S808" s="13"/>
      <c r="T808" s="13" t="s">
        <v>2550</v>
      </c>
      <c r="U808" s="13"/>
      <c r="V808" s="13" t="s">
        <v>3980</v>
      </c>
      <c r="W808" s="13"/>
      <c r="X808" s="13" t="s">
        <v>3980</v>
      </c>
      <c r="Y808" s="13" t="s">
        <v>3980</v>
      </c>
      <c r="Z808" s="13" t="s">
        <v>3980</v>
      </c>
      <c r="AC808" s="18"/>
    </row>
    <row r="809" spans="1:29" x14ac:dyDescent="0.25">
      <c r="A809" s="18" t="s">
        <v>2742</v>
      </c>
      <c r="B809" s="30">
        <v>1981</v>
      </c>
      <c r="C809" s="13">
        <v>21</v>
      </c>
      <c r="D809" s="14">
        <v>0.1</v>
      </c>
      <c r="E809" s="14">
        <v>4.2999999999999997E-2</v>
      </c>
      <c r="F809" s="13">
        <v>2</v>
      </c>
      <c r="G809" s="14">
        <v>7.0999999999999994E-2</v>
      </c>
      <c r="I809" s="26" t="s">
        <v>916</v>
      </c>
      <c r="J809" s="4" t="s">
        <v>26</v>
      </c>
      <c r="L809" s="9">
        <f>B809</f>
        <v>1981</v>
      </c>
      <c r="M809" s="11" t="s">
        <v>3132</v>
      </c>
      <c r="N809" s="30" t="s">
        <v>123</v>
      </c>
      <c r="O809" s="13" t="s">
        <v>28</v>
      </c>
      <c r="P809" s="13">
        <f t="shared" si="32"/>
        <v>37</v>
      </c>
      <c r="Q809" s="15">
        <f t="shared" si="33"/>
        <v>0.56756756756756754</v>
      </c>
      <c r="R809" s="13" t="s">
        <v>2743</v>
      </c>
      <c r="S809" s="13"/>
      <c r="T809" s="13" t="s">
        <v>2744</v>
      </c>
      <c r="U809" s="13"/>
      <c r="V809" s="13" t="s">
        <v>3980</v>
      </c>
      <c r="W809" s="13"/>
      <c r="X809" s="13" t="s">
        <v>3980</v>
      </c>
      <c r="Y809" s="13" t="s">
        <v>3980</v>
      </c>
      <c r="Z809" s="13" t="s">
        <v>3980</v>
      </c>
      <c r="AC809" s="18"/>
    </row>
    <row r="810" spans="1:29" x14ac:dyDescent="0.25">
      <c r="A810" s="28" t="s">
        <v>4861</v>
      </c>
      <c r="B810" s="30">
        <v>2012</v>
      </c>
      <c r="C810" s="13">
        <v>125</v>
      </c>
      <c r="D810" s="14">
        <v>0.30199999999999999</v>
      </c>
      <c r="E810" s="14">
        <v>0.57099999999999995</v>
      </c>
      <c r="F810" s="13">
        <v>6</v>
      </c>
      <c r="G810" s="14">
        <v>0.32200000000000001</v>
      </c>
      <c r="I810" s="26" t="s">
        <v>916</v>
      </c>
      <c r="J810" s="18" t="s">
        <v>105</v>
      </c>
      <c r="L810" s="9">
        <v>2012</v>
      </c>
      <c r="N810" s="30" t="s">
        <v>135</v>
      </c>
      <c r="O810" s="13" t="s">
        <v>42</v>
      </c>
      <c r="P810" s="13">
        <f t="shared" si="32"/>
        <v>6</v>
      </c>
      <c r="Q810" s="15">
        <f t="shared" si="33"/>
        <v>20.833333333333332</v>
      </c>
      <c r="R810" s="13" t="s">
        <v>1692</v>
      </c>
      <c r="S810" s="13" t="s">
        <v>859</v>
      </c>
      <c r="T810" s="13" t="s">
        <v>1693</v>
      </c>
      <c r="U810" s="13" t="s">
        <v>1694</v>
      </c>
      <c r="V810" s="13" t="s">
        <v>4221</v>
      </c>
      <c r="W810" s="13"/>
      <c r="X810" s="13" t="s">
        <v>4692</v>
      </c>
      <c r="Y810" s="13" t="s">
        <v>3980</v>
      </c>
      <c r="Z810" s="13" t="s">
        <v>3980</v>
      </c>
      <c r="AC810" s="18"/>
    </row>
    <row r="811" spans="1:29" x14ac:dyDescent="0.25">
      <c r="A811" s="18" t="s">
        <v>2127</v>
      </c>
      <c r="B811" s="30">
        <v>2016</v>
      </c>
      <c r="C811" s="13">
        <v>12</v>
      </c>
      <c r="D811" s="14">
        <v>7.6999999999999999E-2</v>
      </c>
      <c r="E811" s="14">
        <v>0.15</v>
      </c>
      <c r="F811" s="13">
        <v>2</v>
      </c>
      <c r="G811" s="14">
        <v>7.0999999999999994E-2</v>
      </c>
      <c r="I811" s="26" t="s">
        <v>916</v>
      </c>
      <c r="J811" s="18" t="s">
        <v>105</v>
      </c>
      <c r="L811" s="9">
        <f>B811</f>
        <v>2016</v>
      </c>
      <c r="N811" s="30" t="s">
        <v>765</v>
      </c>
      <c r="O811" s="13" t="s">
        <v>42</v>
      </c>
      <c r="P811" s="13">
        <f t="shared" si="32"/>
        <v>2</v>
      </c>
      <c r="Q811" s="15">
        <f t="shared" si="33"/>
        <v>6</v>
      </c>
      <c r="R811" s="13" t="s">
        <v>338</v>
      </c>
      <c r="S811" s="13"/>
      <c r="T811" s="13" t="s">
        <v>2128</v>
      </c>
      <c r="U811" s="13"/>
      <c r="V811" s="13" t="s">
        <v>3980</v>
      </c>
      <c r="W811" s="13"/>
      <c r="X811" s="13" t="s">
        <v>3980</v>
      </c>
      <c r="Y811" s="13" t="s">
        <v>3980</v>
      </c>
      <c r="Z811" s="13" t="s">
        <v>3980</v>
      </c>
      <c r="AC811" s="18"/>
    </row>
    <row r="812" spans="1:29" x14ac:dyDescent="0.25">
      <c r="A812" s="18" t="s">
        <v>1540</v>
      </c>
      <c r="B812" s="30">
        <v>2013</v>
      </c>
      <c r="C812" s="13">
        <v>36</v>
      </c>
      <c r="D812" s="14">
        <v>0.14399999999999999</v>
      </c>
      <c r="E812" s="14">
        <v>0.29099999999999998</v>
      </c>
      <c r="F812" s="13">
        <v>3</v>
      </c>
      <c r="G812" s="14">
        <v>0.13100000000000001</v>
      </c>
      <c r="I812" s="26" t="s">
        <v>55</v>
      </c>
      <c r="J812" s="4" t="s">
        <v>105</v>
      </c>
      <c r="K812" s="4"/>
      <c r="L812" s="9">
        <v>2013</v>
      </c>
      <c r="N812" s="30" t="s">
        <v>123</v>
      </c>
      <c r="O812" s="13" t="s">
        <v>42</v>
      </c>
      <c r="P812" s="13">
        <f t="shared" si="32"/>
        <v>5</v>
      </c>
      <c r="Q812" s="15">
        <f t="shared" si="33"/>
        <v>7.2</v>
      </c>
      <c r="R812" s="13" t="s">
        <v>1537</v>
      </c>
      <c r="S812" s="13" t="s">
        <v>1541</v>
      </c>
      <c r="T812" s="13" t="s">
        <v>1542</v>
      </c>
      <c r="U812" s="13" t="s">
        <v>1543</v>
      </c>
      <c r="V812" s="13" t="s">
        <v>4222</v>
      </c>
      <c r="W812" s="13"/>
      <c r="X812" s="13" t="s">
        <v>4693</v>
      </c>
      <c r="Y812" s="13" t="s">
        <v>3980</v>
      </c>
      <c r="Z812" s="13" t="s">
        <v>3980</v>
      </c>
      <c r="AC812" s="18"/>
    </row>
    <row r="813" spans="1:29" x14ac:dyDescent="0.25">
      <c r="A813" s="18" t="s">
        <v>4880</v>
      </c>
      <c r="B813" s="30">
        <v>2001</v>
      </c>
      <c r="C813" s="13">
        <v>541</v>
      </c>
      <c r="D813" s="14">
        <v>0.57199999999999995</v>
      </c>
      <c r="E813" s="14">
        <v>0.64400000000000002</v>
      </c>
      <c r="F813" s="13">
        <v>7</v>
      </c>
      <c r="G813" s="14">
        <v>0.39300000000000002</v>
      </c>
      <c r="I813" s="26" t="s">
        <v>55</v>
      </c>
      <c r="J813" s="18" t="s">
        <v>54</v>
      </c>
      <c r="L813" s="9">
        <v>2001</v>
      </c>
      <c r="N813" s="30" t="s">
        <v>67</v>
      </c>
      <c r="O813" s="13" t="s">
        <v>28</v>
      </c>
      <c r="P813" s="13">
        <f t="shared" si="32"/>
        <v>17</v>
      </c>
      <c r="Q813" s="15">
        <f t="shared" si="33"/>
        <v>31.823529411764707</v>
      </c>
      <c r="R813" s="13" t="s">
        <v>173</v>
      </c>
      <c r="S813" s="13" t="s">
        <v>669</v>
      </c>
      <c r="T813" s="13" t="s">
        <v>1826</v>
      </c>
      <c r="U813" s="13" t="s">
        <v>1827</v>
      </c>
      <c r="V813" s="13" t="s">
        <v>3980</v>
      </c>
      <c r="W813" s="13"/>
      <c r="X813" s="13" t="s">
        <v>3980</v>
      </c>
      <c r="Y813" s="13" t="s">
        <v>3980</v>
      </c>
      <c r="Z813" s="13" t="s">
        <v>3980</v>
      </c>
      <c r="AC813" s="18"/>
    </row>
    <row r="814" spans="1:29" x14ac:dyDescent="0.25">
      <c r="A814" s="18" t="s">
        <v>5016</v>
      </c>
      <c r="B814" s="30">
        <v>2003</v>
      </c>
      <c r="C814" s="13">
        <v>467</v>
      </c>
      <c r="D814" s="14">
        <v>0.53900000000000003</v>
      </c>
      <c r="E814" s="14">
        <v>0.59299999999999997</v>
      </c>
      <c r="F814" s="13">
        <v>11</v>
      </c>
      <c r="G814" s="14">
        <v>0.56000000000000005</v>
      </c>
      <c r="H814" s="18" t="s">
        <v>3692</v>
      </c>
      <c r="I814" s="26" t="s">
        <v>55</v>
      </c>
      <c r="J814" s="18" t="s">
        <v>54</v>
      </c>
      <c r="K814" s="4"/>
      <c r="L814" s="9">
        <v>2003</v>
      </c>
      <c r="N814" s="30" t="s">
        <v>565</v>
      </c>
      <c r="O814" s="13" t="s">
        <v>42</v>
      </c>
      <c r="P814" s="13">
        <f t="shared" si="32"/>
        <v>15</v>
      </c>
      <c r="Q814" s="15">
        <f t="shared" si="33"/>
        <v>31.133333333333333</v>
      </c>
      <c r="R814" s="13" t="s">
        <v>2482</v>
      </c>
      <c r="S814" s="13" t="s">
        <v>541</v>
      </c>
      <c r="T814" s="13" t="s">
        <v>1025</v>
      </c>
      <c r="U814" s="13" t="s">
        <v>1026</v>
      </c>
      <c r="V814" s="13" t="s">
        <v>4223</v>
      </c>
      <c r="W814" s="13"/>
      <c r="X814" s="13" t="s">
        <v>4694</v>
      </c>
      <c r="Y814" s="13" t="s">
        <v>3980</v>
      </c>
      <c r="Z814" s="13" t="s">
        <v>3980</v>
      </c>
      <c r="AC814" s="18"/>
    </row>
    <row r="815" spans="1:29" x14ac:dyDescent="0.25">
      <c r="A815" s="28" t="s">
        <v>4850</v>
      </c>
      <c r="B815" s="30">
        <v>2006</v>
      </c>
      <c r="C815" s="13">
        <v>116</v>
      </c>
      <c r="D815" s="14">
        <v>0.28799999999999998</v>
      </c>
      <c r="E815" s="14">
        <v>0.26</v>
      </c>
      <c r="F815" s="13">
        <v>6</v>
      </c>
      <c r="G815" s="14">
        <v>0.32200000000000001</v>
      </c>
      <c r="I815" s="26" t="s">
        <v>55</v>
      </c>
      <c r="J815" s="4" t="s">
        <v>54</v>
      </c>
      <c r="K815" s="4"/>
      <c r="L815" s="9">
        <v>2006</v>
      </c>
      <c r="N815" s="30" t="s">
        <v>106</v>
      </c>
      <c r="O815" s="13" t="s">
        <v>42</v>
      </c>
      <c r="P815" s="13">
        <f t="shared" si="32"/>
        <v>12</v>
      </c>
      <c r="Q815" s="15">
        <f t="shared" si="33"/>
        <v>9.6666666666666661</v>
      </c>
      <c r="R815" s="13" t="s">
        <v>1623</v>
      </c>
      <c r="S815" s="13" t="s">
        <v>239</v>
      </c>
      <c r="T815" s="13" t="s">
        <v>1624</v>
      </c>
      <c r="U815" s="13" t="s">
        <v>1625</v>
      </c>
      <c r="V815" s="13" t="s">
        <v>4224</v>
      </c>
      <c r="W815" s="13"/>
      <c r="X815" s="13" t="s">
        <v>4695</v>
      </c>
      <c r="Y815" s="13" t="s">
        <v>3980</v>
      </c>
      <c r="Z815" s="13" t="s">
        <v>3980</v>
      </c>
      <c r="AC815" s="18"/>
    </row>
    <row r="816" spans="1:29" x14ac:dyDescent="0.25">
      <c r="A816" s="18" t="s">
        <v>5032</v>
      </c>
      <c r="B816" s="30">
        <v>2001</v>
      </c>
      <c r="C816" s="13">
        <v>79</v>
      </c>
      <c r="D816" s="14">
        <v>0.22800000000000001</v>
      </c>
      <c r="E816" s="14">
        <v>0.191</v>
      </c>
      <c r="F816" s="13">
        <v>4</v>
      </c>
      <c r="G816" s="14">
        <v>0.19600000000000001</v>
      </c>
      <c r="I816" s="26" t="s">
        <v>55</v>
      </c>
      <c r="J816" s="18" t="s">
        <v>54</v>
      </c>
      <c r="K816" s="4"/>
      <c r="L816" s="9">
        <v>2001</v>
      </c>
      <c r="N816" s="30" t="s">
        <v>152</v>
      </c>
      <c r="O816" s="13" t="s">
        <v>42</v>
      </c>
      <c r="P816" s="13">
        <f t="shared" si="32"/>
        <v>17</v>
      </c>
      <c r="Q816" s="15">
        <f t="shared" si="33"/>
        <v>4.6470588235294121</v>
      </c>
      <c r="R816" s="13" t="s">
        <v>2555</v>
      </c>
      <c r="S816" s="13" t="s">
        <v>239</v>
      </c>
      <c r="T816" s="13" t="s">
        <v>2056</v>
      </c>
      <c r="U816" s="13" t="s">
        <v>2557</v>
      </c>
      <c r="V816" s="13" t="s">
        <v>3980</v>
      </c>
      <c r="W816" s="13"/>
      <c r="X816" s="13" t="s">
        <v>4696</v>
      </c>
      <c r="Y816" s="13" t="s">
        <v>3980</v>
      </c>
      <c r="Z816" s="13" t="s">
        <v>3980</v>
      </c>
      <c r="AC816" s="18"/>
    </row>
    <row r="817" spans="1:29" x14ac:dyDescent="0.25">
      <c r="A817" s="18" t="s">
        <v>2467</v>
      </c>
      <c r="B817" s="30">
        <v>2015</v>
      </c>
      <c r="C817" s="13">
        <v>67</v>
      </c>
      <c r="D817" s="14">
        <v>0.20799999999999999</v>
      </c>
      <c r="E817" s="14">
        <v>0.39600000000000002</v>
      </c>
      <c r="F817" s="13">
        <v>5</v>
      </c>
      <c r="G817" s="14">
        <v>0.27400000000000002</v>
      </c>
      <c r="H817" s="18" t="s">
        <v>3544</v>
      </c>
      <c r="I817" s="18" t="s">
        <v>1416</v>
      </c>
      <c r="J817" s="18" t="s">
        <v>105</v>
      </c>
      <c r="K817" s="4"/>
      <c r="L817" s="9">
        <f>B817</f>
        <v>2015</v>
      </c>
      <c r="N817" s="30" t="s">
        <v>2336</v>
      </c>
      <c r="O817" s="13" t="s">
        <v>28</v>
      </c>
      <c r="P817" s="13">
        <f t="shared" si="32"/>
        <v>3</v>
      </c>
      <c r="Q817" s="15">
        <f t="shared" si="33"/>
        <v>22.333333333333332</v>
      </c>
      <c r="R817" s="13" t="s">
        <v>746</v>
      </c>
      <c r="S817" s="13"/>
      <c r="T817" s="13" t="s">
        <v>2468</v>
      </c>
      <c r="U817" s="13"/>
      <c r="V817" s="13" t="s">
        <v>3980</v>
      </c>
      <c r="W817" s="13"/>
      <c r="X817" s="13" t="s">
        <v>3980</v>
      </c>
      <c r="Y817" s="13" t="s">
        <v>3980</v>
      </c>
      <c r="Z817" s="13" t="s">
        <v>3980</v>
      </c>
      <c r="AC817" s="18"/>
    </row>
    <row r="818" spans="1:29" x14ac:dyDescent="0.25">
      <c r="A818" s="18" t="s">
        <v>1530</v>
      </c>
      <c r="B818" s="30">
        <v>1980</v>
      </c>
      <c r="C818" s="13">
        <v>297</v>
      </c>
      <c r="D818" s="14">
        <v>0.44500000000000001</v>
      </c>
      <c r="E818" s="14">
        <v>0.23899999999999999</v>
      </c>
      <c r="F818" s="13">
        <v>8</v>
      </c>
      <c r="G818" s="14">
        <v>0.434</v>
      </c>
      <c r="I818" s="18" t="s">
        <v>1416</v>
      </c>
      <c r="J818" t="s">
        <v>26</v>
      </c>
      <c r="L818" s="9">
        <f>B818</f>
        <v>1980</v>
      </c>
      <c r="N818" s="30" t="s">
        <v>77</v>
      </c>
      <c r="O818" s="13" t="s">
        <v>28</v>
      </c>
      <c r="P818" s="13">
        <f t="shared" si="32"/>
        <v>38</v>
      </c>
      <c r="Q818" s="15">
        <f t="shared" si="33"/>
        <v>7.8157894736842106</v>
      </c>
      <c r="R818" s="13" t="s">
        <v>153</v>
      </c>
      <c r="S818" s="13"/>
      <c r="T818" s="13" t="s">
        <v>1531</v>
      </c>
      <c r="U818" s="13"/>
      <c r="V818" s="13" t="s">
        <v>3980</v>
      </c>
      <c r="W818" s="13"/>
      <c r="X818" s="13" t="s">
        <v>3980</v>
      </c>
      <c r="Y818" s="13" t="s">
        <v>3980</v>
      </c>
      <c r="Z818" s="13" t="s">
        <v>3980</v>
      </c>
      <c r="AC818" s="18"/>
    </row>
    <row r="819" spans="1:29" x14ac:dyDescent="0.25">
      <c r="A819" s="18" t="s">
        <v>4965</v>
      </c>
      <c r="B819" s="30">
        <v>2012</v>
      </c>
      <c r="C819" s="13">
        <v>29</v>
      </c>
      <c r="D819" s="14">
        <v>0.124</v>
      </c>
      <c r="E819" s="14">
        <v>0.249</v>
      </c>
      <c r="F819" s="13">
        <v>2</v>
      </c>
      <c r="G819" s="14">
        <v>7.0999999999999994E-2</v>
      </c>
      <c r="I819" s="26" t="s">
        <v>1242</v>
      </c>
      <c r="J819" s="4" t="s">
        <v>105</v>
      </c>
      <c r="L819" s="9">
        <v>2012</v>
      </c>
      <c r="N819" s="30" t="s">
        <v>83</v>
      </c>
      <c r="O819" s="13" t="s">
        <v>28</v>
      </c>
      <c r="P819" s="13">
        <f t="shared" si="32"/>
        <v>6</v>
      </c>
      <c r="Q819" s="15">
        <f t="shared" si="33"/>
        <v>4.833333333333333</v>
      </c>
      <c r="R819" s="13" t="s">
        <v>808</v>
      </c>
      <c r="S819" s="13" t="s">
        <v>1024</v>
      </c>
      <c r="T819" s="13" t="s">
        <v>2164</v>
      </c>
      <c r="U819" s="13" t="s">
        <v>2165</v>
      </c>
      <c r="V819" s="13" t="s">
        <v>3980</v>
      </c>
      <c r="W819" s="13"/>
      <c r="X819" s="13" t="s">
        <v>3980</v>
      </c>
      <c r="Y819" s="13" t="s">
        <v>3980</v>
      </c>
      <c r="Z819" s="13" t="s">
        <v>3980</v>
      </c>
      <c r="AC819" s="18"/>
    </row>
    <row r="820" spans="1:29" x14ac:dyDescent="0.25">
      <c r="A820" s="18" t="s">
        <v>1241</v>
      </c>
      <c r="B820" s="30">
        <v>2014</v>
      </c>
      <c r="C820" s="13">
        <v>43</v>
      </c>
      <c r="D820" s="14">
        <v>0.159</v>
      </c>
      <c r="E820" s="14">
        <v>0.31900000000000001</v>
      </c>
      <c r="F820" s="13">
        <v>3</v>
      </c>
      <c r="G820" s="14">
        <v>0.13100000000000001</v>
      </c>
      <c r="H820" s="18" t="s">
        <v>3628</v>
      </c>
      <c r="I820" s="26" t="s">
        <v>1242</v>
      </c>
      <c r="J820" s="4" t="s">
        <v>105</v>
      </c>
      <c r="L820" s="9">
        <v>2014</v>
      </c>
      <c r="N820" s="30" t="s">
        <v>1243</v>
      </c>
      <c r="O820" s="13" t="s">
        <v>28</v>
      </c>
      <c r="P820" s="13">
        <f t="shared" si="32"/>
        <v>4</v>
      </c>
      <c r="Q820" s="15">
        <f t="shared" si="33"/>
        <v>10.75</v>
      </c>
      <c r="R820" s="13" t="s">
        <v>1244</v>
      </c>
      <c r="S820" s="13"/>
      <c r="T820" s="13" t="s">
        <v>1245</v>
      </c>
      <c r="U820" s="13" t="s">
        <v>1246</v>
      </c>
      <c r="V820" s="13" t="s">
        <v>4225</v>
      </c>
      <c r="W820" s="13"/>
      <c r="X820" s="13" t="s">
        <v>4697</v>
      </c>
      <c r="Y820" s="13" t="s">
        <v>3980</v>
      </c>
      <c r="Z820" s="13" t="s">
        <v>3980</v>
      </c>
      <c r="AC820" s="18"/>
    </row>
    <row r="821" spans="1:29" x14ac:dyDescent="0.25">
      <c r="A821" s="18" t="s">
        <v>2011</v>
      </c>
      <c r="B821" s="30">
        <v>1998</v>
      </c>
      <c r="C821" s="13">
        <v>600</v>
      </c>
      <c r="D821" s="14">
        <v>0.6</v>
      </c>
      <c r="E821" s="14">
        <v>0.33700000000000002</v>
      </c>
      <c r="F821" s="13">
        <v>12</v>
      </c>
      <c r="G821" s="14">
        <v>0.60899999999999999</v>
      </c>
      <c r="I821" s="26" t="s">
        <v>1242</v>
      </c>
      <c r="J821" s="18" t="s">
        <v>26</v>
      </c>
      <c r="L821" s="9">
        <v>1998</v>
      </c>
      <c r="M821" s="11"/>
      <c r="N821" s="30" t="s">
        <v>98</v>
      </c>
      <c r="O821" s="13" t="s">
        <v>28</v>
      </c>
      <c r="P821" s="13">
        <f t="shared" si="32"/>
        <v>20</v>
      </c>
      <c r="Q821" s="15">
        <f t="shared" si="33"/>
        <v>30</v>
      </c>
      <c r="R821" s="13" t="s">
        <v>2012</v>
      </c>
      <c r="S821" s="13"/>
      <c r="T821" s="13" t="s">
        <v>1165</v>
      </c>
      <c r="U821" s="13" t="s">
        <v>2013</v>
      </c>
      <c r="V821" s="13" t="s">
        <v>4226</v>
      </c>
      <c r="W821" s="13"/>
      <c r="X821" s="13" t="s">
        <v>4698</v>
      </c>
      <c r="Y821" s="13" t="s">
        <v>3980</v>
      </c>
      <c r="Z821" s="13" t="s">
        <v>3980</v>
      </c>
      <c r="AC821" s="18"/>
    </row>
    <row r="822" spans="1:29" x14ac:dyDescent="0.25">
      <c r="A822" s="18" t="s">
        <v>1718</v>
      </c>
      <c r="B822" s="30">
        <v>2003</v>
      </c>
      <c r="C822" s="13">
        <v>1</v>
      </c>
      <c r="D822" s="14">
        <v>0</v>
      </c>
      <c r="E822" s="14">
        <v>0</v>
      </c>
      <c r="F822" s="13">
        <v>1</v>
      </c>
      <c r="G822" s="14">
        <v>0</v>
      </c>
      <c r="I822" s="26" t="s">
        <v>1242</v>
      </c>
      <c r="J822" s="18" t="s">
        <v>54</v>
      </c>
      <c r="L822" s="9">
        <v>2003</v>
      </c>
      <c r="M822" s="11"/>
      <c r="N822" s="30" t="s">
        <v>83</v>
      </c>
      <c r="O822" s="13" t="s">
        <v>28</v>
      </c>
      <c r="P822" s="13">
        <f t="shared" si="32"/>
        <v>15</v>
      </c>
      <c r="Q822" s="15">
        <f t="shared" si="33"/>
        <v>6.6666666666666666E-2</v>
      </c>
      <c r="R822" s="13" t="s">
        <v>1391</v>
      </c>
      <c r="S822" s="13"/>
      <c r="T822" s="13" t="s">
        <v>1719</v>
      </c>
      <c r="U822" s="13" t="s">
        <v>1720</v>
      </c>
      <c r="V822" s="13" t="s">
        <v>3980</v>
      </c>
      <c r="W822" s="13"/>
      <c r="X822" s="13" t="s">
        <v>3980</v>
      </c>
      <c r="Y822" s="13" t="s">
        <v>3980</v>
      </c>
      <c r="Z822" s="13" t="s">
        <v>3980</v>
      </c>
      <c r="AC822" s="18"/>
    </row>
    <row r="823" spans="1:29" x14ac:dyDescent="0.25">
      <c r="A823" s="28" t="s">
        <v>2254</v>
      </c>
      <c r="B823" s="30">
        <v>2009</v>
      </c>
      <c r="C823" s="13">
        <v>25</v>
      </c>
      <c r="D823" s="14">
        <v>0.113</v>
      </c>
      <c r="E823" s="14">
        <v>0.224</v>
      </c>
      <c r="F823" s="13">
        <v>1</v>
      </c>
      <c r="G823" s="14">
        <v>0</v>
      </c>
      <c r="I823" s="26" t="s">
        <v>1242</v>
      </c>
      <c r="J823" s="18" t="s">
        <v>105</v>
      </c>
      <c r="L823" s="9">
        <f t="shared" ref="L823:L828" si="34">B823</f>
        <v>2009</v>
      </c>
      <c r="M823" s="11"/>
      <c r="N823" s="30" t="s">
        <v>161</v>
      </c>
      <c r="O823" s="13" t="s">
        <v>42</v>
      </c>
      <c r="P823" s="13">
        <f t="shared" si="32"/>
        <v>9</v>
      </c>
      <c r="Q823" s="15">
        <f t="shared" si="33"/>
        <v>2.7777777777777777</v>
      </c>
      <c r="R823" s="13" t="s">
        <v>541</v>
      </c>
      <c r="S823" s="13" t="s">
        <v>323</v>
      </c>
      <c r="T823" s="13" t="s">
        <v>2255</v>
      </c>
      <c r="U823" s="13"/>
      <c r="V823" s="13" t="s">
        <v>3980</v>
      </c>
      <c r="W823" s="13"/>
      <c r="X823" s="13" t="s">
        <v>3980</v>
      </c>
      <c r="Y823" s="13" t="s">
        <v>3980</v>
      </c>
      <c r="Z823" s="13" t="s">
        <v>3980</v>
      </c>
      <c r="AC823" s="18"/>
    </row>
    <row r="824" spans="1:29" x14ac:dyDescent="0.25">
      <c r="A824" s="18" t="s">
        <v>1606</v>
      </c>
      <c r="B824" s="30">
        <v>2002</v>
      </c>
      <c r="C824" s="8">
        <v>150</v>
      </c>
      <c r="D824" s="14">
        <v>0.33700000000000002</v>
      </c>
      <c r="E824" s="14">
        <v>0.621</v>
      </c>
      <c r="F824" s="8">
        <v>6</v>
      </c>
      <c r="G824" s="14">
        <v>0.32200000000000001</v>
      </c>
      <c r="H824" s="18" t="s">
        <v>3537</v>
      </c>
      <c r="I824" s="26" t="s">
        <v>60</v>
      </c>
      <c r="J824" s="18" t="s">
        <v>105</v>
      </c>
      <c r="L824" s="9">
        <f t="shared" si="34"/>
        <v>2002</v>
      </c>
      <c r="N824" s="28" t="s">
        <v>60</v>
      </c>
      <c r="O824" s="13" t="s">
        <v>28</v>
      </c>
      <c r="P824" s="13">
        <f t="shared" si="32"/>
        <v>16</v>
      </c>
      <c r="Q824" s="15">
        <f t="shared" si="33"/>
        <v>9.375</v>
      </c>
      <c r="R824" s="18" t="s">
        <v>3712</v>
      </c>
      <c r="T824" s="18" t="s">
        <v>896</v>
      </c>
      <c r="V824" s="18" t="s">
        <v>3980</v>
      </c>
      <c r="X824" s="18" t="s">
        <v>3980</v>
      </c>
      <c r="Y824" s="18" t="s">
        <v>3980</v>
      </c>
      <c r="Z824" s="18" t="s">
        <v>3980</v>
      </c>
      <c r="AC824" s="18"/>
    </row>
    <row r="825" spans="1:29" x14ac:dyDescent="0.25">
      <c r="A825" s="18" t="s">
        <v>2733</v>
      </c>
      <c r="B825" s="30">
        <v>1998</v>
      </c>
      <c r="C825" s="8">
        <v>1711</v>
      </c>
      <c r="D825" s="14">
        <v>0.80600000000000005</v>
      </c>
      <c r="E825" s="14">
        <v>0.91600000000000004</v>
      </c>
      <c r="F825" s="8">
        <v>9</v>
      </c>
      <c r="G825" s="14">
        <v>0.48799999999999999</v>
      </c>
      <c r="I825" s="26" t="s">
        <v>60</v>
      </c>
      <c r="J825" t="s">
        <v>54</v>
      </c>
      <c r="L825" s="9">
        <f t="shared" si="34"/>
        <v>1998</v>
      </c>
      <c r="N825" s="28" t="s">
        <v>3149</v>
      </c>
      <c r="O825" s="13" t="s">
        <v>42</v>
      </c>
      <c r="P825" s="13">
        <f t="shared" si="32"/>
        <v>20</v>
      </c>
      <c r="Q825" s="15">
        <f t="shared" si="33"/>
        <v>85.55</v>
      </c>
      <c r="R825" s="18" t="s">
        <v>3812</v>
      </c>
      <c r="T825" s="18" t="s">
        <v>3813</v>
      </c>
      <c r="V825" s="18" t="s">
        <v>3980</v>
      </c>
      <c r="X825" s="18" t="s">
        <v>3980</v>
      </c>
      <c r="Y825" s="18" t="s">
        <v>3980</v>
      </c>
      <c r="Z825" s="18" t="s">
        <v>3980</v>
      </c>
      <c r="AC825" s="18"/>
    </row>
    <row r="826" spans="1:29" x14ac:dyDescent="0.25">
      <c r="A826" s="18" t="s">
        <v>2002</v>
      </c>
      <c r="B826" s="30">
        <v>2010</v>
      </c>
      <c r="C826" s="13">
        <v>9</v>
      </c>
      <c r="D826" s="14">
        <v>6.3E-2</v>
      </c>
      <c r="E826" s="14">
        <v>0.06</v>
      </c>
      <c r="F826" s="13">
        <v>2</v>
      </c>
      <c r="G826" s="14">
        <v>7.0999999999999994E-2</v>
      </c>
      <c r="I826" s="26" t="s">
        <v>60</v>
      </c>
      <c r="J826" s="18" t="s">
        <v>54</v>
      </c>
      <c r="K826" s="4"/>
      <c r="L826" s="9">
        <f t="shared" si="34"/>
        <v>2010</v>
      </c>
      <c r="N826" s="30" t="s">
        <v>3125</v>
      </c>
      <c r="O826" s="13" t="s">
        <v>28</v>
      </c>
      <c r="P826" s="13">
        <f t="shared" si="32"/>
        <v>8</v>
      </c>
      <c r="Q826" s="15">
        <f t="shared" si="33"/>
        <v>1.125</v>
      </c>
      <c r="R826" s="13" t="s">
        <v>1398</v>
      </c>
      <c r="S826" s="13"/>
      <c r="T826" s="13" t="s">
        <v>2003</v>
      </c>
      <c r="U826" s="13"/>
      <c r="V826" s="13" t="s">
        <v>3980</v>
      </c>
      <c r="W826" s="13"/>
      <c r="X826" s="13" t="s">
        <v>3980</v>
      </c>
      <c r="Y826" s="13" t="s">
        <v>3980</v>
      </c>
      <c r="Z826" s="13" t="s">
        <v>3980</v>
      </c>
      <c r="AC826" s="18"/>
    </row>
    <row r="827" spans="1:29" x14ac:dyDescent="0.25">
      <c r="A827" s="18" t="s">
        <v>937</v>
      </c>
      <c r="B827" s="30">
        <v>2015</v>
      </c>
      <c r="C827" s="13">
        <v>90</v>
      </c>
      <c r="D827" s="14">
        <v>0.24199999999999999</v>
      </c>
      <c r="E827" s="14">
        <v>0.20899999999999999</v>
      </c>
      <c r="F827" s="13">
        <v>4</v>
      </c>
      <c r="G827" s="14">
        <v>0.19600000000000001</v>
      </c>
      <c r="H827" s="18" t="s">
        <v>3382</v>
      </c>
      <c r="I827" s="26" t="s">
        <v>60</v>
      </c>
      <c r="J827" s="18" t="s">
        <v>54</v>
      </c>
      <c r="K827" s="4"/>
      <c r="L827" s="9">
        <f t="shared" si="34"/>
        <v>2015</v>
      </c>
      <c r="N827" s="30" t="s">
        <v>760</v>
      </c>
      <c r="O827" s="13" t="s">
        <v>28</v>
      </c>
      <c r="P827" s="13">
        <f t="shared" si="32"/>
        <v>3</v>
      </c>
      <c r="Q827" s="15">
        <f t="shared" si="33"/>
        <v>30</v>
      </c>
      <c r="R827" s="13" t="s">
        <v>938</v>
      </c>
      <c r="S827" s="13"/>
      <c r="T827" s="13" t="s">
        <v>939</v>
      </c>
      <c r="U827" s="13"/>
      <c r="V827" s="13" t="s">
        <v>3980</v>
      </c>
      <c r="W827" s="13"/>
      <c r="X827" s="13" t="s">
        <v>3980</v>
      </c>
      <c r="Y827" s="13" t="s">
        <v>3980</v>
      </c>
      <c r="Z827" s="13" t="s">
        <v>3980</v>
      </c>
      <c r="AC827" s="18"/>
    </row>
    <row r="828" spans="1:29" x14ac:dyDescent="0.25">
      <c r="A828" s="18" t="s">
        <v>2355</v>
      </c>
      <c r="B828" s="30">
        <v>1992</v>
      </c>
      <c r="C828" s="13">
        <v>1607</v>
      </c>
      <c r="D828" s="14">
        <v>0.80100000000000005</v>
      </c>
      <c r="E828" s="14">
        <v>0.91400000000000003</v>
      </c>
      <c r="F828" s="13">
        <v>19</v>
      </c>
      <c r="G828" s="14">
        <v>0.81299999999999994</v>
      </c>
      <c r="I828" s="26" t="s">
        <v>60</v>
      </c>
      <c r="J828" s="18" t="s">
        <v>54</v>
      </c>
      <c r="L828" s="9">
        <f t="shared" si="34"/>
        <v>1992</v>
      </c>
      <c r="N828" s="30" t="s">
        <v>34</v>
      </c>
      <c r="O828" s="13" t="s">
        <v>42</v>
      </c>
      <c r="P828" s="13">
        <f t="shared" si="32"/>
        <v>26</v>
      </c>
      <c r="Q828" s="15">
        <f t="shared" si="33"/>
        <v>61.807692307692307</v>
      </c>
      <c r="R828" s="13" t="s">
        <v>766</v>
      </c>
      <c r="S828" s="13"/>
      <c r="T828" s="13" t="s">
        <v>2356</v>
      </c>
      <c r="U828" s="13"/>
      <c r="V828" s="13" t="s">
        <v>3980</v>
      </c>
      <c r="W828" s="13"/>
      <c r="X828" s="13" t="s">
        <v>3980</v>
      </c>
      <c r="Y828" s="13" t="s">
        <v>3980</v>
      </c>
      <c r="Z828" s="13" t="s">
        <v>3980</v>
      </c>
      <c r="AC828" s="18"/>
    </row>
    <row r="829" spans="1:29" x14ac:dyDescent="0.25">
      <c r="A829" s="18" t="s">
        <v>5057</v>
      </c>
      <c r="B829" s="30">
        <v>2011</v>
      </c>
      <c r="C829" s="13">
        <v>120</v>
      </c>
      <c r="D829" s="14">
        <v>0.29299999999999998</v>
      </c>
      <c r="E829" s="14">
        <v>0.55400000000000005</v>
      </c>
      <c r="F829" s="13">
        <v>6</v>
      </c>
      <c r="G829" s="14">
        <v>0.32200000000000001</v>
      </c>
      <c r="H829" s="18" t="s">
        <v>3709</v>
      </c>
      <c r="I829" s="26" t="s">
        <v>60</v>
      </c>
      <c r="J829" s="18" t="s">
        <v>105</v>
      </c>
      <c r="L829" s="9">
        <v>2011</v>
      </c>
      <c r="N829" s="30" t="s">
        <v>187</v>
      </c>
      <c r="O829" s="13" t="s">
        <v>28</v>
      </c>
      <c r="P829" s="13">
        <f t="shared" si="32"/>
        <v>7</v>
      </c>
      <c r="Q829" s="15">
        <f t="shared" si="33"/>
        <v>17.142857142857142</v>
      </c>
      <c r="R829" s="13" t="s">
        <v>511</v>
      </c>
      <c r="S829" s="13" t="s">
        <v>1024</v>
      </c>
      <c r="T829" s="13" t="s">
        <v>1813</v>
      </c>
      <c r="U829" s="13" t="s">
        <v>2725</v>
      </c>
      <c r="V829" s="13" t="s">
        <v>3980</v>
      </c>
      <c r="W829" s="13"/>
      <c r="X829" s="13" t="s">
        <v>4699</v>
      </c>
      <c r="Y829" s="13" t="s">
        <v>3980</v>
      </c>
      <c r="Z829" s="13" t="s">
        <v>3980</v>
      </c>
      <c r="AC829" s="18"/>
    </row>
    <row r="830" spans="1:29" x14ac:dyDescent="0.25">
      <c r="A830" s="18" t="s">
        <v>5063</v>
      </c>
      <c r="B830" s="30">
        <v>1995</v>
      </c>
      <c r="C830" s="13">
        <v>2331</v>
      </c>
      <c r="D830" s="14">
        <v>0.86</v>
      </c>
      <c r="E830" s="14">
        <v>0.69399999999999995</v>
      </c>
      <c r="F830" s="13">
        <v>21</v>
      </c>
      <c r="G830" s="14">
        <v>0.84199999999999997</v>
      </c>
      <c r="I830" s="26" t="s">
        <v>60</v>
      </c>
      <c r="J830" s="18" t="s">
        <v>26</v>
      </c>
      <c r="L830" s="9">
        <v>1995</v>
      </c>
      <c r="N830" s="30" t="s">
        <v>111</v>
      </c>
      <c r="O830" s="13" t="s">
        <v>28</v>
      </c>
      <c r="P830" s="13">
        <f t="shared" si="32"/>
        <v>23</v>
      </c>
      <c r="Q830" s="15">
        <f t="shared" si="33"/>
        <v>101.34782608695652</v>
      </c>
      <c r="R830" s="13" t="s">
        <v>130</v>
      </c>
      <c r="S830" s="13" t="s">
        <v>680</v>
      </c>
      <c r="T830" s="13" t="s">
        <v>2751</v>
      </c>
      <c r="U830" s="13" t="s">
        <v>2752</v>
      </c>
      <c r="V830" s="13" t="s">
        <v>4227</v>
      </c>
      <c r="W830" s="13"/>
      <c r="X830" s="13" t="s">
        <v>3980</v>
      </c>
      <c r="Y830" s="13" t="s">
        <v>3980</v>
      </c>
      <c r="Z830" s="13" t="s">
        <v>3980</v>
      </c>
      <c r="AC830" s="18"/>
    </row>
    <row r="831" spans="1:29" x14ac:dyDescent="0.25">
      <c r="A831" s="18" t="s">
        <v>1196</v>
      </c>
      <c r="B831" s="30">
        <v>2014</v>
      </c>
      <c r="C831" s="13">
        <v>59</v>
      </c>
      <c r="D831" s="14">
        <v>0.19600000000000001</v>
      </c>
      <c r="E831" s="14">
        <v>0.375</v>
      </c>
      <c r="F831" s="13">
        <v>5</v>
      </c>
      <c r="G831" s="14">
        <v>0.27400000000000002</v>
      </c>
      <c r="H831" s="18" t="s">
        <v>3455</v>
      </c>
      <c r="I831" s="26" t="s">
        <v>60</v>
      </c>
      <c r="J831" s="18" t="s">
        <v>105</v>
      </c>
      <c r="K831" s="4"/>
      <c r="L831" s="9">
        <f>B831</f>
        <v>2014</v>
      </c>
      <c r="N831" s="30" t="s">
        <v>1243</v>
      </c>
      <c r="O831" s="13" t="s">
        <v>42</v>
      </c>
      <c r="P831" s="13">
        <f t="shared" si="32"/>
        <v>4</v>
      </c>
      <c r="Q831" s="15">
        <f t="shared" si="33"/>
        <v>14.75</v>
      </c>
      <c r="R831" s="13" t="s">
        <v>1197</v>
      </c>
      <c r="S831" s="13"/>
      <c r="T831" s="13" t="s">
        <v>1198</v>
      </c>
      <c r="U831" s="13"/>
      <c r="V831" s="13" t="s">
        <v>3980</v>
      </c>
      <c r="W831" s="13"/>
      <c r="X831" s="13" t="s">
        <v>3980</v>
      </c>
      <c r="Y831" s="13" t="s">
        <v>3980</v>
      </c>
      <c r="Z831" s="13" t="s">
        <v>3980</v>
      </c>
      <c r="AC831" s="18"/>
    </row>
    <row r="832" spans="1:29" x14ac:dyDescent="0.25">
      <c r="A832" s="18" t="s">
        <v>2610</v>
      </c>
      <c r="B832" s="30">
        <v>2013</v>
      </c>
      <c r="C832" s="13">
        <v>50</v>
      </c>
      <c r="D832" s="14">
        <v>0.17899999999999999</v>
      </c>
      <c r="E832" s="14">
        <v>0.35</v>
      </c>
      <c r="F832" s="13">
        <v>3</v>
      </c>
      <c r="G832" s="14">
        <v>0.13100000000000001</v>
      </c>
      <c r="I832" s="26" t="s">
        <v>60</v>
      </c>
      <c r="J832" s="18" t="s">
        <v>105</v>
      </c>
      <c r="L832" s="9">
        <f>B832</f>
        <v>2013</v>
      </c>
      <c r="M832" s="11"/>
      <c r="N832" s="30" t="s">
        <v>72</v>
      </c>
      <c r="O832" s="13" t="s">
        <v>42</v>
      </c>
      <c r="P832" s="13">
        <f t="shared" si="32"/>
        <v>5</v>
      </c>
      <c r="Q832" s="15">
        <f t="shared" si="33"/>
        <v>10</v>
      </c>
      <c r="R832" s="13" t="s">
        <v>2611</v>
      </c>
      <c r="S832" s="13"/>
      <c r="T832" s="13" t="s">
        <v>2612</v>
      </c>
      <c r="U832" s="13"/>
      <c r="V832" s="13" t="s">
        <v>3980</v>
      </c>
      <c r="W832" s="13"/>
      <c r="X832" s="13" t="s">
        <v>3980</v>
      </c>
      <c r="Y832" s="13" t="s">
        <v>3980</v>
      </c>
      <c r="Z832" s="13" t="s">
        <v>3980</v>
      </c>
      <c r="AC832" s="18"/>
    </row>
    <row r="833" spans="1:29" x14ac:dyDescent="0.25">
      <c r="A833" s="18" t="s">
        <v>1991</v>
      </c>
      <c r="B833" s="30">
        <v>2007</v>
      </c>
      <c r="C833" s="13">
        <v>307</v>
      </c>
      <c r="D833" s="14">
        <v>0.44800000000000001</v>
      </c>
      <c r="E833" s="14">
        <v>0.45500000000000002</v>
      </c>
      <c r="F833" s="13">
        <v>8</v>
      </c>
      <c r="G833" s="14">
        <v>0.434</v>
      </c>
      <c r="I833" s="26" t="s">
        <v>60</v>
      </c>
      <c r="J833" s="18" t="s">
        <v>54</v>
      </c>
      <c r="L833" s="9">
        <v>2007</v>
      </c>
      <c r="N833" s="30" t="s">
        <v>41</v>
      </c>
      <c r="O833" s="13" t="s">
        <v>28</v>
      </c>
      <c r="P833" s="13">
        <f t="shared" si="32"/>
        <v>11</v>
      </c>
      <c r="Q833" s="15">
        <f t="shared" si="33"/>
        <v>27.90909090909091</v>
      </c>
      <c r="R833" s="13" t="s">
        <v>1989</v>
      </c>
      <c r="S833" s="13"/>
      <c r="T833" s="13" t="s">
        <v>1992</v>
      </c>
      <c r="U833" s="13" t="s">
        <v>1993</v>
      </c>
      <c r="V833" s="13" t="s">
        <v>3980</v>
      </c>
      <c r="W833" s="13"/>
      <c r="X833" s="13" t="s">
        <v>4700</v>
      </c>
      <c r="Y833" s="13" t="s">
        <v>3980</v>
      </c>
      <c r="Z833" s="13" t="s">
        <v>3980</v>
      </c>
      <c r="AC833" s="18"/>
    </row>
    <row r="834" spans="1:29" x14ac:dyDescent="0.25">
      <c r="A834" s="18" t="s">
        <v>557</v>
      </c>
      <c r="B834" s="30">
        <v>2001</v>
      </c>
      <c r="C834" s="13">
        <v>1802</v>
      </c>
      <c r="D834" s="14">
        <v>0.81299999999999994</v>
      </c>
      <c r="E834" s="14">
        <v>0.60799999999999998</v>
      </c>
      <c r="F834" s="13">
        <v>14</v>
      </c>
      <c r="G834" s="14">
        <v>0.67900000000000005</v>
      </c>
      <c r="H834" s="18" t="s">
        <v>3279</v>
      </c>
      <c r="I834" s="26" t="s">
        <v>60</v>
      </c>
      <c r="J834" s="18" t="s">
        <v>26</v>
      </c>
      <c r="L834" s="9">
        <v>2001</v>
      </c>
      <c r="N834" s="30" t="s">
        <v>77</v>
      </c>
      <c r="O834" s="13" t="s">
        <v>28</v>
      </c>
      <c r="P834" s="13">
        <f t="shared" ref="P834:P897" si="35">2018-L834</f>
        <v>17</v>
      </c>
      <c r="Q834" s="15">
        <f t="shared" ref="Q834:Q897" si="36">C834/P834</f>
        <v>106</v>
      </c>
      <c r="R834" s="13" t="s">
        <v>558</v>
      </c>
      <c r="S834" s="13"/>
      <c r="T834" s="13" t="s">
        <v>559</v>
      </c>
      <c r="U834" s="13" t="s">
        <v>560</v>
      </c>
      <c r="V834" s="13" t="s">
        <v>4228</v>
      </c>
      <c r="W834" s="13"/>
      <c r="X834" s="13" t="s">
        <v>4701</v>
      </c>
      <c r="Y834" s="13" t="s">
        <v>3980</v>
      </c>
      <c r="Z834" s="13" t="s">
        <v>3980</v>
      </c>
      <c r="AC834" s="18"/>
    </row>
    <row r="835" spans="1:29" x14ac:dyDescent="0.25">
      <c r="A835" s="18" t="s">
        <v>3031</v>
      </c>
      <c r="B835" s="30">
        <v>2007</v>
      </c>
      <c r="C835" s="13">
        <v>547</v>
      </c>
      <c r="D835" s="14">
        <v>0.57599999999999996</v>
      </c>
      <c r="E835" s="14">
        <v>0.65</v>
      </c>
      <c r="F835" s="13">
        <v>9</v>
      </c>
      <c r="G835" s="14">
        <v>0.48799999999999999</v>
      </c>
      <c r="I835" s="26" t="s">
        <v>60</v>
      </c>
      <c r="J835" s="18" t="s">
        <v>54</v>
      </c>
      <c r="L835" s="9">
        <v>2007</v>
      </c>
      <c r="N835" s="30" t="s">
        <v>152</v>
      </c>
      <c r="O835" s="13" t="s">
        <v>28</v>
      </c>
      <c r="P835" s="13">
        <f t="shared" si="35"/>
        <v>11</v>
      </c>
      <c r="Q835" s="15">
        <f t="shared" si="36"/>
        <v>49.727272727272727</v>
      </c>
      <c r="R835" s="13" t="s">
        <v>3032</v>
      </c>
      <c r="S835" s="13"/>
      <c r="T835" s="13" t="s">
        <v>2385</v>
      </c>
      <c r="U835" s="13" t="s">
        <v>3033</v>
      </c>
      <c r="V835" s="13" t="s">
        <v>4229</v>
      </c>
      <c r="W835" s="13"/>
      <c r="X835" s="13" t="s">
        <v>3980</v>
      </c>
      <c r="Y835" s="13" t="s">
        <v>3980</v>
      </c>
      <c r="Z835" s="13" t="s">
        <v>3980</v>
      </c>
      <c r="AC835" s="18"/>
    </row>
    <row r="836" spans="1:29" x14ac:dyDescent="0.25">
      <c r="A836" s="18" t="s">
        <v>2897</v>
      </c>
      <c r="B836" s="30">
        <v>2010</v>
      </c>
      <c r="C836" s="13">
        <v>52</v>
      </c>
      <c r="D836" s="14">
        <v>0.182</v>
      </c>
      <c r="E836" s="14">
        <v>0.14799999999999999</v>
      </c>
      <c r="F836" s="13">
        <v>4</v>
      </c>
      <c r="G836" s="14">
        <v>0.19600000000000001</v>
      </c>
      <c r="H836" s="18" t="s">
        <v>5101</v>
      </c>
      <c r="I836" s="26" t="s">
        <v>220</v>
      </c>
      <c r="J836" s="4" t="s">
        <v>54</v>
      </c>
      <c r="K836" s="4"/>
      <c r="L836" s="9">
        <v>2010</v>
      </c>
      <c r="N836" s="30" t="s">
        <v>41</v>
      </c>
      <c r="O836" s="13" t="s">
        <v>28</v>
      </c>
      <c r="P836" s="13">
        <f t="shared" si="35"/>
        <v>8</v>
      </c>
      <c r="Q836" s="15">
        <f t="shared" si="36"/>
        <v>6.5</v>
      </c>
      <c r="R836" s="13" t="s">
        <v>2898</v>
      </c>
      <c r="S836" s="13"/>
      <c r="T836" s="13" t="s">
        <v>2899</v>
      </c>
      <c r="U836" s="13"/>
      <c r="V836" s="13" t="s">
        <v>3980</v>
      </c>
      <c r="W836" s="13"/>
      <c r="X836" s="13" t="s">
        <v>4702</v>
      </c>
      <c r="Y836" s="13" t="s">
        <v>3980</v>
      </c>
      <c r="Z836" s="13" t="s">
        <v>3980</v>
      </c>
      <c r="AC836" s="18"/>
    </row>
    <row r="837" spans="1:29" x14ac:dyDescent="0.25">
      <c r="A837" s="18" t="s">
        <v>1214</v>
      </c>
      <c r="B837" s="30">
        <v>2009</v>
      </c>
      <c r="C837" s="13">
        <v>24</v>
      </c>
      <c r="D837" s="14">
        <v>0.107</v>
      </c>
      <c r="E837" s="14">
        <v>0.21</v>
      </c>
      <c r="F837" s="13">
        <v>2</v>
      </c>
      <c r="G837" s="14">
        <v>7.0999999999999994E-2</v>
      </c>
      <c r="H837" s="18" t="s">
        <v>3462</v>
      </c>
      <c r="I837" s="26" t="s">
        <v>220</v>
      </c>
      <c r="J837" s="4" t="s">
        <v>105</v>
      </c>
      <c r="K837" s="4"/>
      <c r="L837" s="9">
        <v>2009</v>
      </c>
      <c r="N837" s="30" t="s">
        <v>1215</v>
      </c>
      <c r="O837" s="13" t="s">
        <v>42</v>
      </c>
      <c r="P837" s="13">
        <f t="shared" si="35"/>
        <v>9</v>
      </c>
      <c r="Q837" s="15">
        <f t="shared" si="36"/>
        <v>2.6666666666666665</v>
      </c>
      <c r="R837" s="13" t="s">
        <v>1216</v>
      </c>
      <c r="S837" s="13"/>
      <c r="T837" s="13" t="s">
        <v>1217</v>
      </c>
      <c r="U837" s="13" t="s">
        <v>1218</v>
      </c>
      <c r="V837" s="13" t="s">
        <v>3980</v>
      </c>
      <c r="W837" s="13"/>
      <c r="X837" s="13" t="s">
        <v>3980</v>
      </c>
      <c r="Y837" s="13" t="s">
        <v>3980</v>
      </c>
      <c r="Z837" s="13" t="s">
        <v>3980</v>
      </c>
      <c r="AC837" s="18"/>
    </row>
    <row r="838" spans="1:29" x14ac:dyDescent="0.25">
      <c r="A838" s="18" t="s">
        <v>4907</v>
      </c>
      <c r="B838" s="30">
        <v>1975</v>
      </c>
      <c r="C838" s="13">
        <v>1860</v>
      </c>
      <c r="D838" s="14">
        <v>0.81699999999999995</v>
      </c>
      <c r="E838" s="14">
        <v>0.61699999999999999</v>
      </c>
      <c r="F838" s="13">
        <v>22</v>
      </c>
      <c r="G838" s="14">
        <v>0.85699999999999998</v>
      </c>
      <c r="H838" s="18" t="s">
        <v>3308</v>
      </c>
      <c r="I838" s="26" t="s">
        <v>220</v>
      </c>
      <c r="J838" s="18" t="s">
        <v>26</v>
      </c>
      <c r="L838" s="9">
        <v>1975</v>
      </c>
      <c r="N838" s="30" t="s">
        <v>72</v>
      </c>
      <c r="O838" s="13" t="s">
        <v>42</v>
      </c>
      <c r="P838" s="13">
        <f t="shared" si="35"/>
        <v>43</v>
      </c>
      <c r="Q838" s="15">
        <f t="shared" si="36"/>
        <v>43.255813953488371</v>
      </c>
      <c r="R838" s="13" t="s">
        <v>668</v>
      </c>
      <c r="S838" s="13" t="s">
        <v>669</v>
      </c>
      <c r="T838" s="13" t="s">
        <v>670</v>
      </c>
      <c r="U838" s="13" t="s">
        <v>671</v>
      </c>
      <c r="V838" s="13" t="s">
        <v>4230</v>
      </c>
      <c r="W838" s="13"/>
      <c r="X838" s="13" t="s">
        <v>4703</v>
      </c>
      <c r="Y838" s="13" t="s">
        <v>3980</v>
      </c>
      <c r="Z838" s="13" t="s">
        <v>3980</v>
      </c>
      <c r="AC838" s="18"/>
    </row>
    <row r="839" spans="1:29" x14ac:dyDescent="0.25">
      <c r="A839" s="18" t="s">
        <v>5117</v>
      </c>
      <c r="B839" s="30">
        <v>1984</v>
      </c>
      <c r="C839" s="13">
        <v>1005</v>
      </c>
      <c r="D839" s="14">
        <v>0.70099999999999996</v>
      </c>
      <c r="E839" s="14">
        <v>0.45500000000000002</v>
      </c>
      <c r="F839" s="13">
        <v>16</v>
      </c>
      <c r="G839" s="14">
        <v>0.74099999999999999</v>
      </c>
      <c r="I839" s="26" t="s">
        <v>220</v>
      </c>
      <c r="J839" s="18" t="s">
        <v>26</v>
      </c>
      <c r="L839" s="9">
        <v>1984</v>
      </c>
      <c r="N839" s="30" t="s">
        <v>502</v>
      </c>
      <c r="O839" s="13" t="s">
        <v>28</v>
      </c>
      <c r="P839" s="13">
        <f t="shared" si="35"/>
        <v>34</v>
      </c>
      <c r="Q839" s="15">
        <f t="shared" si="36"/>
        <v>29.558823529411764</v>
      </c>
      <c r="R839" s="13" t="s">
        <v>285</v>
      </c>
      <c r="S839" s="13" t="s">
        <v>669</v>
      </c>
      <c r="T839" s="13" t="s">
        <v>2955</v>
      </c>
      <c r="U839" s="13" t="s">
        <v>2956</v>
      </c>
      <c r="V839" s="13" t="s">
        <v>4231</v>
      </c>
      <c r="W839" s="13"/>
      <c r="X839" s="13" t="s">
        <v>4704</v>
      </c>
      <c r="Y839" s="13" t="s">
        <v>3980</v>
      </c>
      <c r="Z839" s="13" t="s">
        <v>3980</v>
      </c>
      <c r="AC839" s="18"/>
    </row>
    <row r="840" spans="1:29" x14ac:dyDescent="0.25">
      <c r="A840" s="18" t="s">
        <v>636</v>
      </c>
      <c r="B840" s="30">
        <v>2013</v>
      </c>
      <c r="C840" s="13">
        <v>409</v>
      </c>
      <c r="D840" s="14">
        <v>0.50700000000000001</v>
      </c>
      <c r="E840" s="14">
        <v>0.82099999999999995</v>
      </c>
      <c r="F840" s="13">
        <v>10</v>
      </c>
      <c r="G840" s="14">
        <v>0.52200000000000002</v>
      </c>
      <c r="H840" s="18" t="s">
        <v>3299</v>
      </c>
      <c r="I840" s="26" t="s">
        <v>220</v>
      </c>
      <c r="J840" s="4" t="s">
        <v>105</v>
      </c>
      <c r="K840" s="4"/>
      <c r="L840" s="9">
        <v>2013</v>
      </c>
      <c r="N840" s="30" t="s">
        <v>41</v>
      </c>
      <c r="O840" s="13" t="s">
        <v>28</v>
      </c>
      <c r="P840" s="13">
        <f t="shared" si="35"/>
        <v>5</v>
      </c>
      <c r="Q840" s="15">
        <f t="shared" si="36"/>
        <v>81.8</v>
      </c>
      <c r="R840" s="13" t="s">
        <v>637</v>
      </c>
      <c r="S840" s="13"/>
      <c r="T840" s="13" t="s">
        <v>638</v>
      </c>
      <c r="U840" s="13" t="s">
        <v>639</v>
      </c>
      <c r="V840" s="13" t="s">
        <v>3980</v>
      </c>
      <c r="W840" s="13"/>
      <c r="X840" s="13" t="s">
        <v>4705</v>
      </c>
      <c r="Y840" s="13" t="s">
        <v>3980</v>
      </c>
      <c r="Z840" s="13" t="s">
        <v>3980</v>
      </c>
      <c r="AC840" s="18"/>
    </row>
    <row r="841" spans="1:29" x14ac:dyDescent="0.25">
      <c r="A841" s="18" t="s">
        <v>1512</v>
      </c>
      <c r="B841" s="30">
        <v>2001</v>
      </c>
      <c r="C841" s="13">
        <v>2341</v>
      </c>
      <c r="D841" s="14">
        <v>0.86199999999999999</v>
      </c>
      <c r="E841" s="14">
        <v>0.95899999999999996</v>
      </c>
      <c r="F841" s="13">
        <v>26</v>
      </c>
      <c r="G841" s="14">
        <v>0.90200000000000002</v>
      </c>
      <c r="I841" s="26" t="s">
        <v>220</v>
      </c>
      <c r="J841" s="18" t="s">
        <v>54</v>
      </c>
      <c r="L841" s="9">
        <v>2001</v>
      </c>
      <c r="M841" s="11"/>
      <c r="N841" s="30" t="s">
        <v>220</v>
      </c>
      <c r="O841" s="13" t="s">
        <v>42</v>
      </c>
      <c r="P841" s="13">
        <f t="shared" si="35"/>
        <v>17</v>
      </c>
      <c r="Q841" s="15">
        <f t="shared" si="36"/>
        <v>137.70588235294119</v>
      </c>
      <c r="R841" s="13" t="s">
        <v>1091</v>
      </c>
      <c r="S841" s="13"/>
      <c r="T841" s="13" t="s">
        <v>1513</v>
      </c>
      <c r="U841" s="13" t="s">
        <v>1514</v>
      </c>
      <c r="V841" s="13" t="s">
        <v>3980</v>
      </c>
      <c r="W841" s="13"/>
      <c r="X841" s="13" t="s">
        <v>3980</v>
      </c>
      <c r="Y841" s="13" t="s">
        <v>3980</v>
      </c>
      <c r="Z841" s="13" t="s">
        <v>3980</v>
      </c>
      <c r="AC841" s="18"/>
    </row>
    <row r="842" spans="1:29" x14ac:dyDescent="0.25">
      <c r="A842" s="18" t="s">
        <v>4967</v>
      </c>
      <c r="B842" s="30">
        <v>1982</v>
      </c>
      <c r="C842" s="13">
        <v>4978</v>
      </c>
      <c r="D842" s="14">
        <v>0.94599999999999995</v>
      </c>
      <c r="E842" s="14">
        <v>0.876</v>
      </c>
      <c r="F842" s="13">
        <v>33</v>
      </c>
      <c r="G842" s="14">
        <v>0.94899999999999995</v>
      </c>
      <c r="I842" s="26" t="s">
        <v>220</v>
      </c>
      <c r="J842" s="18" t="s">
        <v>26</v>
      </c>
      <c r="K842" s="4"/>
      <c r="L842" s="9">
        <v>1982</v>
      </c>
      <c r="N842" s="30" t="s">
        <v>41</v>
      </c>
      <c r="O842" s="13" t="s">
        <v>28</v>
      </c>
      <c r="P842" s="13">
        <f t="shared" si="35"/>
        <v>36</v>
      </c>
      <c r="Q842" s="15">
        <f t="shared" si="36"/>
        <v>138.27777777777777</v>
      </c>
      <c r="R842" s="13" t="s">
        <v>808</v>
      </c>
      <c r="S842" s="13" t="s">
        <v>680</v>
      </c>
      <c r="T842" s="13" t="s">
        <v>2166</v>
      </c>
      <c r="U842" s="13" t="s">
        <v>2167</v>
      </c>
      <c r="V842" s="13" t="s">
        <v>4232</v>
      </c>
      <c r="W842" s="13"/>
      <c r="X842" s="13" t="s">
        <v>4706</v>
      </c>
      <c r="Y842" s="13" t="s">
        <v>3980</v>
      </c>
      <c r="Z842" s="13" t="s">
        <v>3980</v>
      </c>
      <c r="AC842" s="18"/>
    </row>
    <row r="843" spans="1:29" x14ac:dyDescent="0.25">
      <c r="A843" s="18" t="s">
        <v>1005</v>
      </c>
      <c r="B843" s="30">
        <v>2012</v>
      </c>
      <c r="C843" s="13">
        <v>43</v>
      </c>
      <c r="D843" s="14">
        <v>0.159</v>
      </c>
      <c r="E843" s="14">
        <v>0.31900000000000001</v>
      </c>
      <c r="F843" s="13">
        <v>4</v>
      </c>
      <c r="G843" s="14">
        <v>0.19600000000000001</v>
      </c>
      <c r="H843" s="18" t="s">
        <v>3402</v>
      </c>
      <c r="I843" s="26" t="s">
        <v>220</v>
      </c>
      <c r="J843" s="18" t="s">
        <v>105</v>
      </c>
      <c r="K843" s="4"/>
      <c r="L843" s="9">
        <v>2012</v>
      </c>
      <c r="N843" s="30" t="s">
        <v>192</v>
      </c>
      <c r="O843" s="13" t="s">
        <v>28</v>
      </c>
      <c r="P843" s="13">
        <f t="shared" si="35"/>
        <v>6</v>
      </c>
      <c r="Q843" s="15">
        <f t="shared" si="36"/>
        <v>7.166666666666667</v>
      </c>
      <c r="R843" s="13" t="s">
        <v>1006</v>
      </c>
      <c r="S843" s="13"/>
      <c r="T843" s="13" t="s">
        <v>1007</v>
      </c>
      <c r="U843" s="13" t="s">
        <v>1008</v>
      </c>
      <c r="V843" s="13" t="s">
        <v>3980</v>
      </c>
      <c r="W843" s="13"/>
      <c r="X843" s="13" t="s">
        <v>3980</v>
      </c>
      <c r="Y843" s="13" t="s">
        <v>3980</v>
      </c>
      <c r="Z843" s="13" t="s">
        <v>3980</v>
      </c>
      <c r="AC843" s="18"/>
    </row>
    <row r="844" spans="1:29" x14ac:dyDescent="0.25">
      <c r="A844" s="18" t="s">
        <v>401</v>
      </c>
      <c r="B844" s="30">
        <v>2010</v>
      </c>
      <c r="C844" s="13">
        <v>383</v>
      </c>
      <c r="D844" s="14">
        <v>0.49399999999999999</v>
      </c>
      <c r="E844" s="14">
        <v>0.81</v>
      </c>
      <c r="F844" s="13">
        <v>10</v>
      </c>
      <c r="G844" s="14">
        <v>0.52200000000000002</v>
      </c>
      <c r="H844" s="18" t="s">
        <v>3239</v>
      </c>
      <c r="I844" s="26" t="s">
        <v>220</v>
      </c>
      <c r="J844" s="4" t="s">
        <v>105</v>
      </c>
      <c r="L844" s="9">
        <v>2010</v>
      </c>
      <c r="N844" s="30" t="s">
        <v>41</v>
      </c>
      <c r="O844" s="13" t="s">
        <v>42</v>
      </c>
      <c r="P844" s="13">
        <f t="shared" si="35"/>
        <v>8</v>
      </c>
      <c r="Q844" s="15">
        <f t="shared" si="36"/>
        <v>47.875</v>
      </c>
      <c r="R844" s="13" t="s">
        <v>402</v>
      </c>
      <c r="S844" s="13"/>
      <c r="T844" s="13" t="s">
        <v>403</v>
      </c>
      <c r="U844" s="13" t="s">
        <v>404</v>
      </c>
      <c r="V844" s="13" t="s">
        <v>3980</v>
      </c>
      <c r="W844" s="13"/>
      <c r="X844" s="13" t="s">
        <v>4707</v>
      </c>
      <c r="Y844" s="13" t="s">
        <v>3980</v>
      </c>
      <c r="Z844" s="13" t="s">
        <v>3980</v>
      </c>
      <c r="AC844" s="18"/>
    </row>
    <row r="845" spans="1:29" x14ac:dyDescent="0.25">
      <c r="A845" s="18" t="s">
        <v>5003</v>
      </c>
      <c r="B845" s="30">
        <v>1995</v>
      </c>
      <c r="C845" s="8">
        <v>3232</v>
      </c>
      <c r="D845" s="14">
        <v>0.90400000000000003</v>
      </c>
      <c r="E845" s="14">
        <v>0.78300000000000003</v>
      </c>
      <c r="F845" s="8">
        <v>27</v>
      </c>
      <c r="G845" s="14">
        <v>0.90700000000000003</v>
      </c>
      <c r="I845" s="26" t="s">
        <v>220</v>
      </c>
      <c r="J845" s="18" t="s">
        <v>26</v>
      </c>
      <c r="L845" s="9">
        <f>B845</f>
        <v>1995</v>
      </c>
      <c r="N845" s="28" t="s">
        <v>765</v>
      </c>
      <c r="O845" s="13" t="s">
        <v>42</v>
      </c>
      <c r="P845" s="13">
        <f t="shared" si="35"/>
        <v>23</v>
      </c>
      <c r="Q845" s="15">
        <f t="shared" si="36"/>
        <v>140.52173913043478</v>
      </c>
      <c r="R845" s="18" t="s">
        <v>193</v>
      </c>
      <c r="T845" s="18" t="s">
        <v>3854</v>
      </c>
      <c r="V845" s="18" t="s">
        <v>3980</v>
      </c>
      <c r="X845" s="18" t="s">
        <v>3980</v>
      </c>
      <c r="Y845" s="18" t="s">
        <v>3980</v>
      </c>
      <c r="Z845" s="18" t="s">
        <v>3980</v>
      </c>
      <c r="AC845" s="18"/>
    </row>
    <row r="846" spans="1:29" x14ac:dyDescent="0.25">
      <c r="A846" s="18" t="s">
        <v>2461</v>
      </c>
      <c r="B846" s="30">
        <v>1974</v>
      </c>
      <c r="C846" s="8">
        <v>5889</v>
      </c>
      <c r="D846" s="14">
        <v>0.95699999999999996</v>
      </c>
      <c r="E846" s="14">
        <v>0.90200000000000002</v>
      </c>
      <c r="F846" s="8">
        <v>37</v>
      </c>
      <c r="G846" s="14">
        <v>0.96899999999999997</v>
      </c>
      <c r="I846" s="26" t="s">
        <v>220</v>
      </c>
      <c r="J846" s="18" t="s">
        <v>26</v>
      </c>
      <c r="L846" s="9">
        <f>B846</f>
        <v>1974</v>
      </c>
      <c r="N846" s="28" t="s">
        <v>3141</v>
      </c>
      <c r="O846" s="13" t="s">
        <v>42</v>
      </c>
      <c r="P846" s="13">
        <f t="shared" si="35"/>
        <v>44</v>
      </c>
      <c r="Q846" s="15">
        <f t="shared" si="36"/>
        <v>133.84090909090909</v>
      </c>
      <c r="R846" s="18" t="s">
        <v>3855</v>
      </c>
      <c r="T846" s="18" t="s">
        <v>576</v>
      </c>
      <c r="V846" s="18" t="s">
        <v>3980</v>
      </c>
      <c r="X846" s="18" t="s">
        <v>3980</v>
      </c>
      <c r="Y846" s="18" t="s">
        <v>3980</v>
      </c>
      <c r="Z846" s="18" t="s">
        <v>3980</v>
      </c>
      <c r="AC846" s="18"/>
    </row>
    <row r="847" spans="1:29" x14ac:dyDescent="0.25">
      <c r="A847" s="18" t="s">
        <v>1874</v>
      </c>
      <c r="B847" s="30">
        <v>2004</v>
      </c>
      <c r="C847" s="13">
        <v>414</v>
      </c>
      <c r="D847" s="14">
        <v>0.51100000000000001</v>
      </c>
      <c r="E847" s="14">
        <v>0.55800000000000005</v>
      </c>
      <c r="F847" s="13">
        <v>12</v>
      </c>
      <c r="G847" s="14">
        <v>0.60899999999999999</v>
      </c>
      <c r="I847" s="26" t="s">
        <v>220</v>
      </c>
      <c r="J847" s="18" t="s">
        <v>54</v>
      </c>
      <c r="K847" s="4"/>
      <c r="L847" s="9">
        <v>2004</v>
      </c>
      <c r="N847" s="30" t="s">
        <v>220</v>
      </c>
      <c r="O847" s="13" t="s">
        <v>28</v>
      </c>
      <c r="P847" s="13">
        <f t="shared" si="35"/>
        <v>14</v>
      </c>
      <c r="Q847" s="15">
        <f t="shared" si="36"/>
        <v>29.571428571428573</v>
      </c>
      <c r="R847" s="13" t="s">
        <v>1875</v>
      </c>
      <c r="S847" s="13"/>
      <c r="T847" s="13" t="s">
        <v>1876</v>
      </c>
      <c r="U847" s="13" t="s">
        <v>1877</v>
      </c>
      <c r="V847" s="13" t="s">
        <v>4233</v>
      </c>
      <c r="W847" s="13"/>
      <c r="X847" s="13" t="s">
        <v>3980</v>
      </c>
      <c r="Y847" s="13" t="s">
        <v>3980</v>
      </c>
      <c r="Z847" s="13" t="s">
        <v>3980</v>
      </c>
      <c r="AC847" s="18"/>
    </row>
    <row r="848" spans="1:29" x14ac:dyDescent="0.25">
      <c r="A848" s="18" t="s">
        <v>5089</v>
      </c>
      <c r="B848" s="30">
        <v>1990</v>
      </c>
      <c r="C848" s="13">
        <v>885</v>
      </c>
      <c r="D848" s="14">
        <v>0.68200000000000005</v>
      </c>
      <c r="E848" s="14">
        <v>0.77900000000000003</v>
      </c>
      <c r="F848" s="13">
        <v>9</v>
      </c>
      <c r="G848" s="14">
        <v>0.48799999999999999</v>
      </c>
      <c r="H848" s="18" t="s">
        <v>3615</v>
      </c>
      <c r="I848" s="26" t="s">
        <v>728</v>
      </c>
      <c r="J848" s="18" t="s">
        <v>54</v>
      </c>
      <c r="K848" s="4"/>
      <c r="L848" s="9">
        <v>1990</v>
      </c>
      <c r="N848" s="30" t="s">
        <v>765</v>
      </c>
      <c r="O848" s="13" t="s">
        <v>42</v>
      </c>
      <c r="P848" s="13">
        <f t="shared" si="35"/>
        <v>28</v>
      </c>
      <c r="Q848" s="15">
        <f t="shared" si="36"/>
        <v>31.607142857142858</v>
      </c>
      <c r="R848" s="13" t="s">
        <v>910</v>
      </c>
      <c r="S848" s="13" t="s">
        <v>859</v>
      </c>
      <c r="T848" s="13" t="s">
        <v>911</v>
      </c>
      <c r="U848" s="13"/>
      <c r="V848" s="13" t="s">
        <v>3980</v>
      </c>
      <c r="W848" s="13"/>
      <c r="X848" s="13" t="s">
        <v>4708</v>
      </c>
      <c r="Y848" s="13" t="s">
        <v>3980</v>
      </c>
      <c r="Z848" s="13" t="s">
        <v>3980</v>
      </c>
      <c r="AC848" s="18"/>
    </row>
    <row r="849" spans="1:29" x14ac:dyDescent="0.25">
      <c r="A849" s="18" t="s">
        <v>4920</v>
      </c>
      <c r="B849" s="30">
        <v>2000</v>
      </c>
      <c r="C849" s="13">
        <v>73</v>
      </c>
      <c r="D849" s="14">
        <v>0.22</v>
      </c>
      <c r="E849" s="14">
        <v>0.42099999999999999</v>
      </c>
      <c r="F849" s="13">
        <v>4</v>
      </c>
      <c r="G849" s="14">
        <v>0.19600000000000001</v>
      </c>
      <c r="H849" s="18" t="s">
        <v>3633</v>
      </c>
      <c r="I849" s="26" t="s">
        <v>728</v>
      </c>
      <c r="J849" s="18" t="s">
        <v>105</v>
      </c>
      <c r="L849" s="9">
        <v>2000</v>
      </c>
      <c r="N849" s="30" t="s">
        <v>162</v>
      </c>
      <c r="O849" s="13" t="s">
        <v>28</v>
      </c>
      <c r="P849" s="13">
        <f t="shared" si="35"/>
        <v>18</v>
      </c>
      <c r="Q849" s="15">
        <f t="shared" si="36"/>
        <v>4.0555555555555554</v>
      </c>
      <c r="R849" s="13" t="s">
        <v>729</v>
      </c>
      <c r="S849" s="13" t="s">
        <v>480</v>
      </c>
      <c r="T849" s="13" t="s">
        <v>1420</v>
      </c>
      <c r="U849" s="13" t="s">
        <v>1421</v>
      </c>
      <c r="V849" s="13" t="s">
        <v>4234</v>
      </c>
      <c r="W849" s="13"/>
      <c r="X849" s="13" t="s">
        <v>4709</v>
      </c>
      <c r="Y849" s="13" t="s">
        <v>3980</v>
      </c>
      <c r="Z849" s="13" t="s">
        <v>3980</v>
      </c>
      <c r="AC849" s="18"/>
    </row>
    <row r="850" spans="1:29" x14ac:dyDescent="0.25">
      <c r="A850" s="18" t="s">
        <v>5134</v>
      </c>
      <c r="B850" s="30">
        <v>1969</v>
      </c>
      <c r="C850" s="8">
        <v>12229</v>
      </c>
      <c r="D850" s="14">
        <v>0.98699999999999999</v>
      </c>
      <c r="E850" s="14">
        <v>0.97</v>
      </c>
      <c r="F850" s="8">
        <v>29</v>
      </c>
      <c r="G850" s="14">
        <v>0.92400000000000004</v>
      </c>
      <c r="H850" s="18" t="s">
        <v>4821</v>
      </c>
      <c r="I850" s="26" t="s">
        <v>728</v>
      </c>
      <c r="J850" s="18" t="s">
        <v>26</v>
      </c>
      <c r="L850" s="9">
        <v>1969</v>
      </c>
      <c r="N850" s="30" t="s">
        <v>3081</v>
      </c>
      <c r="O850" s="13" t="s">
        <v>28</v>
      </c>
      <c r="P850" s="13">
        <f t="shared" si="35"/>
        <v>49</v>
      </c>
      <c r="Q850" s="15">
        <f t="shared" si="36"/>
        <v>249.57142857142858</v>
      </c>
      <c r="R850" s="18" t="s">
        <v>1432</v>
      </c>
      <c r="T850" s="18" t="s">
        <v>3867</v>
      </c>
      <c r="V850" s="18" t="s">
        <v>3980</v>
      </c>
      <c r="X850" s="18" t="s">
        <v>3980</v>
      </c>
      <c r="Y850" s="18" t="s">
        <v>3980</v>
      </c>
      <c r="Z850" s="18" t="s">
        <v>3980</v>
      </c>
      <c r="AC850" s="18"/>
    </row>
    <row r="851" spans="1:29" x14ac:dyDescent="0.25">
      <c r="A851" s="18" t="s">
        <v>882</v>
      </c>
      <c r="B851" s="30">
        <v>1988</v>
      </c>
      <c r="C851" s="13">
        <v>1036</v>
      </c>
      <c r="D851" s="14">
        <v>0.70599999999999996</v>
      </c>
      <c r="E851" s="14">
        <v>0.46200000000000002</v>
      </c>
      <c r="F851" s="13">
        <v>15</v>
      </c>
      <c r="G851" s="14">
        <v>0.71</v>
      </c>
      <c r="H851" s="18" t="s">
        <v>3614</v>
      </c>
      <c r="I851" s="26" t="s">
        <v>728</v>
      </c>
      <c r="J851" s="18" t="s">
        <v>26</v>
      </c>
      <c r="K851" s="4"/>
      <c r="L851" s="9">
        <v>1988</v>
      </c>
      <c r="N851" s="30" t="s">
        <v>728</v>
      </c>
      <c r="O851" s="13" t="s">
        <v>28</v>
      </c>
      <c r="P851" s="13">
        <f t="shared" si="35"/>
        <v>30</v>
      </c>
      <c r="Q851" s="15">
        <f t="shared" si="36"/>
        <v>34.533333333333331</v>
      </c>
      <c r="R851" s="13" t="s">
        <v>173</v>
      </c>
      <c r="S851" s="13"/>
      <c r="T851" s="13" t="s">
        <v>883</v>
      </c>
      <c r="U851" s="13" t="s">
        <v>884</v>
      </c>
      <c r="V851" s="13" t="s">
        <v>3980</v>
      </c>
      <c r="W851" s="13"/>
      <c r="X851" s="13" t="s">
        <v>3980</v>
      </c>
      <c r="Y851" s="13" t="s">
        <v>3980</v>
      </c>
      <c r="Z851" s="13" t="s">
        <v>3980</v>
      </c>
      <c r="AC851" s="18"/>
    </row>
    <row r="852" spans="1:29" x14ac:dyDescent="0.25">
      <c r="A852" s="18" t="s">
        <v>5008</v>
      </c>
      <c r="B852" s="30">
        <v>2007</v>
      </c>
      <c r="C852" s="13">
        <v>99</v>
      </c>
      <c r="D852" s="14">
        <v>0.26200000000000001</v>
      </c>
      <c r="E852" s="14">
        <v>0.501</v>
      </c>
      <c r="F852" s="13">
        <v>4</v>
      </c>
      <c r="G852" s="14">
        <v>0.19600000000000001</v>
      </c>
      <c r="H852" s="18" t="s">
        <v>3618</v>
      </c>
      <c r="I852" s="26" t="s">
        <v>728</v>
      </c>
      <c r="J852" s="18" t="s">
        <v>105</v>
      </c>
      <c r="K852" s="4"/>
      <c r="L852" s="9">
        <v>2007</v>
      </c>
      <c r="N852" s="30" t="s">
        <v>268</v>
      </c>
      <c r="O852" s="13" t="s">
        <v>42</v>
      </c>
      <c r="P852" s="13">
        <f t="shared" si="35"/>
        <v>11</v>
      </c>
      <c r="Q852" s="15">
        <f t="shared" si="36"/>
        <v>9</v>
      </c>
      <c r="R852" s="13" t="s">
        <v>973</v>
      </c>
      <c r="S852" s="13" t="s">
        <v>974</v>
      </c>
      <c r="T852" s="13" t="s">
        <v>975</v>
      </c>
      <c r="U852" s="13" t="s">
        <v>976</v>
      </c>
      <c r="V852" s="13" t="s">
        <v>4235</v>
      </c>
      <c r="W852" s="13"/>
      <c r="X852" s="13" t="s">
        <v>3980</v>
      </c>
      <c r="Y852" s="13" t="s">
        <v>3980</v>
      </c>
      <c r="Z852" s="13" t="s">
        <v>3980</v>
      </c>
      <c r="AC852" s="18"/>
    </row>
    <row r="853" spans="1:29" x14ac:dyDescent="0.25">
      <c r="A853" s="18" t="s">
        <v>3643</v>
      </c>
      <c r="B853" s="30">
        <v>1990</v>
      </c>
      <c r="C853" s="13">
        <v>42</v>
      </c>
      <c r="D853" s="14">
        <v>0.156</v>
      </c>
      <c r="E853" s="14">
        <v>8.2000000000000003E-2</v>
      </c>
      <c r="F853" s="13">
        <v>4</v>
      </c>
      <c r="G853" s="14">
        <v>0.19600000000000001</v>
      </c>
      <c r="I853" s="26" t="s">
        <v>1688</v>
      </c>
      <c r="J853" s="18" t="s">
        <v>26</v>
      </c>
      <c r="L853" s="9">
        <f>B853</f>
        <v>1990</v>
      </c>
      <c r="N853" s="30" t="s">
        <v>3119</v>
      </c>
      <c r="O853" s="13" t="s">
        <v>42</v>
      </c>
      <c r="P853" s="13">
        <f t="shared" si="35"/>
        <v>28</v>
      </c>
      <c r="Q853" s="15">
        <f t="shared" si="36"/>
        <v>1.5</v>
      </c>
      <c r="R853" s="13" t="s">
        <v>1689</v>
      </c>
      <c r="S853" s="13" t="s">
        <v>239</v>
      </c>
      <c r="T853" s="13" t="s">
        <v>1690</v>
      </c>
      <c r="U853" s="13"/>
      <c r="V853" s="13" t="s">
        <v>3980</v>
      </c>
      <c r="W853" s="13"/>
      <c r="X853" s="13" t="s">
        <v>3980</v>
      </c>
      <c r="Y853" s="13" t="s">
        <v>3980</v>
      </c>
      <c r="Z853" s="13" t="s">
        <v>3980</v>
      </c>
      <c r="AC853" s="18"/>
    </row>
    <row r="854" spans="1:29" x14ac:dyDescent="0.25">
      <c r="A854" s="28" t="s">
        <v>4897</v>
      </c>
      <c r="B854" s="30">
        <v>1973</v>
      </c>
      <c r="C854" s="13">
        <v>57</v>
      </c>
      <c r="D854" s="14">
        <v>0.193</v>
      </c>
      <c r="E854" s="14">
        <v>0.10199999999999999</v>
      </c>
      <c r="F854" s="13">
        <v>4</v>
      </c>
      <c r="G854" s="14">
        <v>0.19600000000000001</v>
      </c>
      <c r="I854" s="26" t="s">
        <v>1688</v>
      </c>
      <c r="J854" s="18" t="s">
        <v>26</v>
      </c>
      <c r="L854" s="9">
        <f>B854</f>
        <v>1973</v>
      </c>
      <c r="N854" s="30" t="s">
        <v>152</v>
      </c>
      <c r="O854" s="13" t="s">
        <v>28</v>
      </c>
      <c r="P854" s="13">
        <f t="shared" si="35"/>
        <v>45</v>
      </c>
      <c r="Q854" s="15">
        <f t="shared" si="36"/>
        <v>1.2666666666666666</v>
      </c>
      <c r="R854" s="13" t="s">
        <v>1903</v>
      </c>
      <c r="S854" s="13" t="s">
        <v>1636</v>
      </c>
      <c r="T854" s="13" t="s">
        <v>1904</v>
      </c>
      <c r="U854" s="13"/>
      <c r="V854" s="13" t="s">
        <v>3980</v>
      </c>
      <c r="W854" s="13"/>
      <c r="X854" s="13" t="s">
        <v>3980</v>
      </c>
      <c r="Y854" s="13" t="s">
        <v>3980</v>
      </c>
      <c r="Z854" s="13" t="s">
        <v>3980</v>
      </c>
      <c r="AC854" s="18"/>
    </row>
    <row r="855" spans="1:29" x14ac:dyDescent="0.25">
      <c r="A855" s="28" t="s">
        <v>5052</v>
      </c>
      <c r="B855" s="30">
        <v>1981</v>
      </c>
      <c r="C855" s="13">
        <v>35</v>
      </c>
      <c r="D855" s="14">
        <v>0.13800000000000001</v>
      </c>
      <c r="E855" s="14">
        <v>6.8000000000000005E-2</v>
      </c>
      <c r="F855" s="13">
        <v>2</v>
      </c>
      <c r="G855" s="14">
        <v>7.0999999999999994E-2</v>
      </c>
      <c r="I855" s="26" t="s">
        <v>1688</v>
      </c>
      <c r="J855" s="18" t="s">
        <v>26</v>
      </c>
      <c r="L855" s="9">
        <f>B855</f>
        <v>1981</v>
      </c>
      <c r="N855" s="30" t="s">
        <v>34</v>
      </c>
      <c r="O855" s="13" t="s">
        <v>28</v>
      </c>
      <c r="P855" s="13">
        <f t="shared" si="35"/>
        <v>37</v>
      </c>
      <c r="Q855" s="15">
        <f t="shared" si="36"/>
        <v>0.94594594594594594</v>
      </c>
      <c r="R855" s="13" t="s">
        <v>2694</v>
      </c>
      <c r="S855" s="13" t="s">
        <v>669</v>
      </c>
      <c r="T855" s="13" t="s">
        <v>2695</v>
      </c>
      <c r="U855" s="13"/>
      <c r="V855" s="13" t="s">
        <v>3980</v>
      </c>
      <c r="W855" s="13"/>
      <c r="X855" s="13" t="s">
        <v>3980</v>
      </c>
      <c r="Y855" s="13" t="s">
        <v>3980</v>
      </c>
      <c r="Z855" s="13" t="s">
        <v>3980</v>
      </c>
      <c r="AC855" s="18"/>
    </row>
    <row r="856" spans="1:29" x14ac:dyDescent="0.25">
      <c r="A856" s="18" t="s">
        <v>1776</v>
      </c>
      <c r="B856" s="30">
        <v>2005</v>
      </c>
      <c r="C856" s="13">
        <v>4</v>
      </c>
      <c r="D856" s="14">
        <v>3.9E-2</v>
      </c>
      <c r="E856" s="14">
        <v>3.4000000000000002E-2</v>
      </c>
      <c r="F856" s="13">
        <v>1</v>
      </c>
      <c r="G856" s="14">
        <v>0</v>
      </c>
      <c r="I856" s="26" t="s">
        <v>1688</v>
      </c>
      <c r="J856" s="18" t="s">
        <v>54</v>
      </c>
      <c r="L856" s="9">
        <v>2005</v>
      </c>
      <c r="N856" s="30" t="s">
        <v>123</v>
      </c>
      <c r="O856" s="13" t="s">
        <v>42</v>
      </c>
      <c r="P856" s="13">
        <f t="shared" si="35"/>
        <v>13</v>
      </c>
      <c r="Q856" s="15">
        <f t="shared" si="36"/>
        <v>0.30769230769230771</v>
      </c>
      <c r="R856" s="13" t="s">
        <v>1777</v>
      </c>
      <c r="S856" s="13"/>
      <c r="T856" s="13" t="s">
        <v>1778</v>
      </c>
      <c r="U856" s="13"/>
      <c r="V856" s="13" t="s">
        <v>4236</v>
      </c>
      <c r="W856" s="13"/>
      <c r="X856" s="13" t="s">
        <v>4710</v>
      </c>
      <c r="Y856" s="13" t="s">
        <v>3980</v>
      </c>
      <c r="Z856" s="13" t="s">
        <v>3980</v>
      </c>
      <c r="AC856" s="18"/>
    </row>
    <row r="857" spans="1:29" x14ac:dyDescent="0.25">
      <c r="A857" s="18" t="s">
        <v>1988</v>
      </c>
      <c r="B857" s="30">
        <v>1972</v>
      </c>
      <c r="C857" s="13">
        <v>3265</v>
      </c>
      <c r="D857" s="14">
        <v>0.90600000000000003</v>
      </c>
      <c r="E857" s="14">
        <v>0.79</v>
      </c>
      <c r="F857" s="13">
        <v>7</v>
      </c>
      <c r="G857" s="14">
        <v>0.39300000000000002</v>
      </c>
      <c r="I857" s="26" t="s">
        <v>1688</v>
      </c>
      <c r="J857" s="18" t="s">
        <v>26</v>
      </c>
      <c r="L857" s="9">
        <v>1972</v>
      </c>
      <c r="N857" s="30" t="s">
        <v>765</v>
      </c>
      <c r="O857" s="13" t="s">
        <v>28</v>
      </c>
      <c r="P857" s="13">
        <f t="shared" si="35"/>
        <v>46</v>
      </c>
      <c r="Q857" s="15">
        <f t="shared" si="36"/>
        <v>70.978260869565219</v>
      </c>
      <c r="R857" s="13" t="s">
        <v>1989</v>
      </c>
      <c r="S857" s="13"/>
      <c r="T857" s="13" t="s">
        <v>1990</v>
      </c>
      <c r="U857" s="13"/>
      <c r="V857" s="13" t="s">
        <v>3980</v>
      </c>
      <c r="W857" s="13"/>
      <c r="X857" s="13" t="s">
        <v>4711</v>
      </c>
      <c r="Y857" s="13" t="s">
        <v>3980</v>
      </c>
      <c r="Z857" s="13" t="s">
        <v>3980</v>
      </c>
      <c r="AC857" s="18"/>
    </row>
    <row r="858" spans="1:29" x14ac:dyDescent="0.25">
      <c r="A858" s="18" t="s">
        <v>5012</v>
      </c>
      <c r="B858" s="30">
        <v>1997</v>
      </c>
      <c r="C858" s="13">
        <v>23</v>
      </c>
      <c r="D858" s="14">
        <v>0.105</v>
      </c>
      <c r="E858" s="14">
        <v>5.1999999999999998E-2</v>
      </c>
      <c r="F858" s="13">
        <v>3</v>
      </c>
      <c r="G858" s="14">
        <v>0.13100000000000001</v>
      </c>
      <c r="I858" s="26" t="s">
        <v>1688</v>
      </c>
      <c r="J858" s="18" t="s">
        <v>26</v>
      </c>
      <c r="K858" s="4"/>
      <c r="L858" s="9">
        <f>B858</f>
        <v>1997</v>
      </c>
      <c r="N858" s="30" t="s">
        <v>1688</v>
      </c>
      <c r="O858" s="13" t="s">
        <v>42</v>
      </c>
      <c r="P858" s="13">
        <f t="shared" si="35"/>
        <v>21</v>
      </c>
      <c r="Q858" s="15">
        <f t="shared" si="36"/>
        <v>1.0952380952380953</v>
      </c>
      <c r="R858" s="13" t="s">
        <v>2465</v>
      </c>
      <c r="S858" s="13" t="s">
        <v>1943</v>
      </c>
      <c r="T858" s="13" t="s">
        <v>2466</v>
      </c>
      <c r="U858" s="13"/>
      <c r="V858" s="13" t="s">
        <v>3980</v>
      </c>
      <c r="W858" s="13"/>
      <c r="X858" s="13" t="s">
        <v>3980</v>
      </c>
      <c r="Y858" s="13" t="s">
        <v>3980</v>
      </c>
      <c r="Z858" s="13" t="s">
        <v>3980</v>
      </c>
      <c r="AC858" s="18"/>
    </row>
    <row r="859" spans="1:29" x14ac:dyDescent="0.25">
      <c r="A859" s="18" t="s">
        <v>5039</v>
      </c>
      <c r="B859" s="30">
        <v>2006</v>
      </c>
      <c r="C859" s="13">
        <v>1</v>
      </c>
      <c r="D859" s="14">
        <v>0</v>
      </c>
      <c r="E859" s="14">
        <v>0</v>
      </c>
      <c r="F859" s="13">
        <v>1</v>
      </c>
      <c r="G859" s="14">
        <v>0</v>
      </c>
      <c r="I859" s="26" t="s">
        <v>1688</v>
      </c>
      <c r="J859" s="18" t="s">
        <v>54</v>
      </c>
      <c r="K859" s="4"/>
      <c r="L859" s="9">
        <v>2006</v>
      </c>
      <c r="N859" s="30" t="s">
        <v>181</v>
      </c>
      <c r="O859" s="13" t="s">
        <v>42</v>
      </c>
      <c r="P859" s="13">
        <f t="shared" si="35"/>
        <v>12</v>
      </c>
      <c r="Q859" s="15">
        <f t="shared" si="36"/>
        <v>8.3333333333333329E-2</v>
      </c>
      <c r="R859" s="13" t="s">
        <v>2633</v>
      </c>
      <c r="S859" s="13" t="s">
        <v>2469</v>
      </c>
      <c r="T859" s="13" t="s">
        <v>2634</v>
      </c>
      <c r="U859" s="13"/>
      <c r="V859" s="13" t="s">
        <v>3980</v>
      </c>
      <c r="W859" s="13"/>
      <c r="X859" s="13" t="s">
        <v>3980</v>
      </c>
      <c r="Y859" s="13" t="s">
        <v>3980</v>
      </c>
      <c r="Z859" s="13" t="s">
        <v>3980</v>
      </c>
      <c r="AC859" s="18"/>
    </row>
    <row r="860" spans="1:29" x14ac:dyDescent="0.25">
      <c r="A860" s="28" t="s">
        <v>5004</v>
      </c>
      <c r="B860" s="30">
        <v>1999</v>
      </c>
      <c r="C860" s="13">
        <v>22</v>
      </c>
      <c r="D860" s="14">
        <v>0.10199999999999999</v>
      </c>
      <c r="E860" s="14">
        <v>4.7E-2</v>
      </c>
      <c r="F860" s="13">
        <v>3</v>
      </c>
      <c r="G860" s="14">
        <v>0.13100000000000001</v>
      </c>
      <c r="I860" s="26" t="s">
        <v>1688</v>
      </c>
      <c r="J860" s="18" t="s">
        <v>26</v>
      </c>
      <c r="L860" s="9">
        <f>B860</f>
        <v>1999</v>
      </c>
      <c r="N860" s="30" t="s">
        <v>152</v>
      </c>
      <c r="O860" s="13" t="s">
        <v>28</v>
      </c>
      <c r="P860" s="13">
        <f t="shared" si="35"/>
        <v>19</v>
      </c>
      <c r="Q860" s="15">
        <f t="shared" si="36"/>
        <v>1.1578947368421053</v>
      </c>
      <c r="R860" s="13" t="s">
        <v>2421</v>
      </c>
      <c r="S860" s="13" t="s">
        <v>859</v>
      </c>
      <c r="T860" s="13" t="s">
        <v>2422</v>
      </c>
      <c r="U860" s="13"/>
      <c r="V860" s="13" t="s">
        <v>3980</v>
      </c>
      <c r="W860" s="13"/>
      <c r="X860" s="13" t="s">
        <v>3980</v>
      </c>
      <c r="Y860" s="13" t="s">
        <v>3980</v>
      </c>
      <c r="Z860" s="13" t="s">
        <v>3980</v>
      </c>
      <c r="AC860" s="18"/>
    </row>
    <row r="861" spans="1:29" x14ac:dyDescent="0.25">
      <c r="A861" s="18" t="s">
        <v>847</v>
      </c>
      <c r="B861" s="30">
        <v>1987</v>
      </c>
      <c r="C861" s="13">
        <v>784</v>
      </c>
      <c r="D861" s="14">
        <v>0.65200000000000002</v>
      </c>
      <c r="E861" s="14">
        <v>0.38900000000000001</v>
      </c>
      <c r="F861" s="13">
        <v>19</v>
      </c>
      <c r="G861" s="14">
        <v>0.81299999999999994</v>
      </c>
      <c r="H861" s="18" t="s">
        <v>3354</v>
      </c>
      <c r="I861" s="18" t="s">
        <v>779</v>
      </c>
      <c r="J861" s="18" t="s">
        <v>26</v>
      </c>
      <c r="L861" s="9">
        <v>1987</v>
      </c>
      <c r="N861" s="30" t="s">
        <v>1323</v>
      </c>
      <c r="O861" s="13" t="s">
        <v>28</v>
      </c>
      <c r="P861" s="13">
        <f t="shared" si="35"/>
        <v>31</v>
      </c>
      <c r="Q861" s="15">
        <f t="shared" si="36"/>
        <v>25.29032258064516</v>
      </c>
      <c r="R861" s="13" t="s">
        <v>848</v>
      </c>
      <c r="S861" s="13"/>
      <c r="T861" s="13" t="s">
        <v>849</v>
      </c>
      <c r="U861" s="13"/>
      <c r="V861" s="13" t="s">
        <v>3980</v>
      </c>
      <c r="W861" s="13"/>
      <c r="X861" s="13" t="s">
        <v>3980</v>
      </c>
      <c r="Y861" s="13" t="s">
        <v>3980</v>
      </c>
      <c r="Z861" s="13" t="s">
        <v>3980</v>
      </c>
      <c r="AC861" s="18"/>
    </row>
    <row r="862" spans="1:29" x14ac:dyDescent="0.25">
      <c r="A862" s="18" t="s">
        <v>1577</v>
      </c>
      <c r="B862" s="30">
        <v>1982</v>
      </c>
      <c r="C862" s="13">
        <v>1</v>
      </c>
      <c r="D862" s="14">
        <v>0</v>
      </c>
      <c r="E862" s="14">
        <v>0</v>
      </c>
      <c r="F862" s="13">
        <v>1</v>
      </c>
      <c r="G862" s="14">
        <v>0</v>
      </c>
      <c r="I862" s="18" t="s">
        <v>779</v>
      </c>
      <c r="J862" s="18" t="s">
        <v>26</v>
      </c>
      <c r="L862" s="9">
        <f>B862</f>
        <v>1982</v>
      </c>
      <c r="N862" s="30" t="s">
        <v>2336</v>
      </c>
      <c r="O862" s="13" t="s">
        <v>28</v>
      </c>
      <c r="P862" s="13">
        <f t="shared" si="35"/>
        <v>36</v>
      </c>
      <c r="Q862" s="15">
        <f t="shared" si="36"/>
        <v>2.7777777777777776E-2</v>
      </c>
      <c r="R862" s="13" t="s">
        <v>1578</v>
      </c>
      <c r="S862" s="13"/>
      <c r="T862" s="13" t="s">
        <v>1579</v>
      </c>
      <c r="U862" s="13"/>
      <c r="V862" s="13" t="s">
        <v>3980</v>
      </c>
      <c r="W862" s="13"/>
      <c r="X862" s="13" t="s">
        <v>3980</v>
      </c>
      <c r="Y862" s="13" t="s">
        <v>3980</v>
      </c>
      <c r="Z862" s="13" t="s">
        <v>3980</v>
      </c>
      <c r="AC862" s="18"/>
    </row>
    <row r="863" spans="1:29" x14ac:dyDescent="0.25">
      <c r="A863" s="18" t="s">
        <v>4952</v>
      </c>
      <c r="B863" s="30">
        <v>2009</v>
      </c>
      <c r="C863" s="13">
        <v>314</v>
      </c>
      <c r="D863" s="14">
        <v>0.45500000000000002</v>
      </c>
      <c r="E863" s="14">
        <v>0.46400000000000002</v>
      </c>
      <c r="F863" s="13">
        <v>7</v>
      </c>
      <c r="G863" s="14">
        <v>0.39300000000000002</v>
      </c>
      <c r="I863" s="18" t="s">
        <v>779</v>
      </c>
      <c r="J863" s="18" t="s">
        <v>54</v>
      </c>
      <c r="L863" s="9">
        <f>B863</f>
        <v>2009</v>
      </c>
      <c r="N863" s="28" t="s">
        <v>779</v>
      </c>
      <c r="O863" s="13" t="s">
        <v>42</v>
      </c>
      <c r="P863" s="13">
        <f t="shared" si="35"/>
        <v>9</v>
      </c>
      <c r="Q863" s="15">
        <f t="shared" si="36"/>
        <v>34.888888888888886</v>
      </c>
      <c r="R863" s="13" t="s">
        <v>993</v>
      </c>
      <c r="S863" s="13" t="s">
        <v>2146</v>
      </c>
      <c r="T863" s="13" t="s">
        <v>2147</v>
      </c>
      <c r="U863" s="13"/>
      <c r="V863" s="13" t="s">
        <v>3980</v>
      </c>
      <c r="W863" s="13"/>
      <c r="X863" s="13" t="s">
        <v>3980</v>
      </c>
      <c r="Y863" s="13" t="s">
        <v>3980</v>
      </c>
      <c r="Z863" s="13" t="s">
        <v>3980</v>
      </c>
      <c r="AC863" s="18"/>
    </row>
    <row r="864" spans="1:29" x14ac:dyDescent="0.25">
      <c r="A864" s="18" t="s">
        <v>934</v>
      </c>
      <c r="B864" s="30">
        <v>2008</v>
      </c>
      <c r="C864" s="13">
        <v>73</v>
      </c>
      <c r="D864" s="14">
        <v>0.22</v>
      </c>
      <c r="E864" s="14">
        <v>0.42099999999999999</v>
      </c>
      <c r="F864" s="13">
        <v>4</v>
      </c>
      <c r="G864" s="14">
        <v>0.19600000000000001</v>
      </c>
      <c r="H864" s="18" t="s">
        <v>3381</v>
      </c>
      <c r="I864" s="18" t="s">
        <v>779</v>
      </c>
      <c r="J864" s="18" t="s">
        <v>105</v>
      </c>
      <c r="L864" s="9">
        <f>B864</f>
        <v>2008</v>
      </c>
      <c r="N864" s="30" t="s">
        <v>1627</v>
      </c>
      <c r="O864" s="13" t="s">
        <v>28</v>
      </c>
      <c r="P864" s="13">
        <f t="shared" si="35"/>
        <v>10</v>
      </c>
      <c r="Q864" s="15">
        <f t="shared" si="36"/>
        <v>7.3</v>
      </c>
      <c r="R864" s="13" t="s">
        <v>935</v>
      </c>
      <c r="S864" s="13"/>
      <c r="T864" s="13" t="s">
        <v>936</v>
      </c>
      <c r="U864" s="13"/>
      <c r="V864" s="13" t="s">
        <v>3980</v>
      </c>
      <c r="W864" s="13"/>
      <c r="X864" s="13" t="s">
        <v>3980</v>
      </c>
      <c r="Y864" s="13" t="s">
        <v>3980</v>
      </c>
      <c r="Z864" s="13" t="s">
        <v>3980</v>
      </c>
      <c r="AC864" s="18"/>
    </row>
    <row r="865" spans="1:29" x14ac:dyDescent="0.25">
      <c r="A865" s="18" t="s">
        <v>1868</v>
      </c>
      <c r="B865" s="30">
        <v>1989</v>
      </c>
      <c r="C865" s="13">
        <v>794</v>
      </c>
      <c r="D865" s="14">
        <v>0.65400000000000003</v>
      </c>
      <c r="E865" s="14">
        <v>0.39400000000000002</v>
      </c>
      <c r="F865" s="13">
        <v>16</v>
      </c>
      <c r="G865" s="14">
        <v>0.74099999999999999</v>
      </c>
      <c r="I865" s="18" t="s">
        <v>779</v>
      </c>
      <c r="J865" s="18" t="s">
        <v>26</v>
      </c>
      <c r="K865" s="4"/>
      <c r="L865" s="9">
        <f>B865</f>
        <v>1989</v>
      </c>
      <c r="N865" s="30" t="s">
        <v>114</v>
      </c>
      <c r="O865" s="13" t="s">
        <v>28</v>
      </c>
      <c r="P865" s="13">
        <f t="shared" si="35"/>
        <v>29</v>
      </c>
      <c r="Q865" s="15">
        <f t="shared" si="36"/>
        <v>27.379310344827587</v>
      </c>
      <c r="R865" s="13" t="s">
        <v>1869</v>
      </c>
      <c r="S865" s="13"/>
      <c r="T865" s="13" t="s">
        <v>5145</v>
      </c>
      <c r="U865" s="13"/>
      <c r="V865" s="13" t="s">
        <v>3980</v>
      </c>
      <c r="W865" s="13"/>
      <c r="X865" s="13" t="s">
        <v>3980</v>
      </c>
      <c r="Y865" s="13" t="s">
        <v>3980</v>
      </c>
      <c r="Z865" s="13" t="s">
        <v>3980</v>
      </c>
      <c r="AC865" s="18"/>
    </row>
    <row r="866" spans="1:29" x14ac:dyDescent="0.25">
      <c r="A866" s="18" t="s">
        <v>3021</v>
      </c>
      <c r="B866" s="30">
        <v>2000</v>
      </c>
      <c r="C866" s="13">
        <v>1504</v>
      </c>
      <c r="D866" s="14">
        <v>0.78800000000000003</v>
      </c>
      <c r="E866" s="14">
        <v>0.57599999999999996</v>
      </c>
      <c r="F866" s="13">
        <v>22</v>
      </c>
      <c r="G866" s="14">
        <v>0.85699999999999998</v>
      </c>
      <c r="I866" s="18" t="s">
        <v>779</v>
      </c>
      <c r="J866" s="18" t="s">
        <v>26</v>
      </c>
      <c r="L866" s="9">
        <v>2000</v>
      </c>
      <c r="N866" s="30" t="s">
        <v>267</v>
      </c>
      <c r="O866" s="13" t="s">
        <v>42</v>
      </c>
      <c r="P866" s="13">
        <f t="shared" si="35"/>
        <v>18</v>
      </c>
      <c r="Q866" s="15">
        <f t="shared" si="36"/>
        <v>83.555555555555557</v>
      </c>
      <c r="R866" s="13" t="s">
        <v>3022</v>
      </c>
      <c r="S866" s="13"/>
      <c r="T866" s="13" t="s">
        <v>3023</v>
      </c>
      <c r="U866" s="13"/>
      <c r="V866" s="13" t="s">
        <v>3980</v>
      </c>
      <c r="W866" s="13"/>
      <c r="X866" s="13" t="s">
        <v>3980</v>
      </c>
      <c r="Y866" s="13" t="s">
        <v>3980</v>
      </c>
      <c r="Z866" s="13" t="s">
        <v>3980</v>
      </c>
      <c r="AC866" s="18"/>
    </row>
    <row r="867" spans="1:29" x14ac:dyDescent="0.25">
      <c r="A867" s="18" t="s">
        <v>4999</v>
      </c>
      <c r="B867" s="30">
        <v>1987</v>
      </c>
      <c r="C867" s="13">
        <v>4884</v>
      </c>
      <c r="D867" s="14">
        <v>0.94299999999999995</v>
      </c>
      <c r="E867" s="14">
        <v>0.87</v>
      </c>
      <c r="F867" s="13">
        <v>30</v>
      </c>
      <c r="G867" s="14">
        <v>0.93200000000000005</v>
      </c>
      <c r="H867" s="18" t="s">
        <v>3415</v>
      </c>
      <c r="I867" s="18" t="s">
        <v>779</v>
      </c>
      <c r="J867" s="18" t="s">
        <v>26</v>
      </c>
      <c r="L867" s="9">
        <f>B867</f>
        <v>1987</v>
      </c>
      <c r="N867" s="28" t="s">
        <v>779</v>
      </c>
      <c r="O867" s="13" t="s">
        <v>28</v>
      </c>
      <c r="P867" s="13">
        <f t="shared" si="35"/>
        <v>31</v>
      </c>
      <c r="Q867" s="15">
        <f t="shared" si="36"/>
        <v>157.54838709677421</v>
      </c>
      <c r="R867" s="13" t="s">
        <v>197</v>
      </c>
      <c r="S867" s="13" t="s">
        <v>480</v>
      </c>
      <c r="T867" s="13" t="s">
        <v>1057</v>
      </c>
      <c r="U867" s="13"/>
      <c r="V867" s="13" t="s">
        <v>3980</v>
      </c>
      <c r="W867" s="13"/>
      <c r="X867" s="13" t="s">
        <v>3980</v>
      </c>
      <c r="Y867" s="13" t="s">
        <v>3980</v>
      </c>
      <c r="Z867" s="13" t="s">
        <v>3980</v>
      </c>
      <c r="AC867" s="18"/>
    </row>
    <row r="868" spans="1:29" x14ac:dyDescent="0.25">
      <c r="A868" s="18" t="s">
        <v>778</v>
      </c>
      <c r="B868" s="30">
        <v>2002</v>
      </c>
      <c r="C868" s="13">
        <v>2720</v>
      </c>
      <c r="D868" s="14">
        <v>0.88</v>
      </c>
      <c r="E868" s="14">
        <v>0.73499999999999999</v>
      </c>
      <c r="F868" s="13">
        <v>30</v>
      </c>
      <c r="G868" s="14">
        <v>0.93200000000000005</v>
      </c>
      <c r="H868" s="18" t="s">
        <v>3334</v>
      </c>
      <c r="I868" s="18" t="s">
        <v>779</v>
      </c>
      <c r="J868" s="18" t="s">
        <v>26</v>
      </c>
      <c r="L868" s="9">
        <v>2002</v>
      </c>
      <c r="M868" s="11"/>
      <c r="N868" s="30" t="s">
        <v>3078</v>
      </c>
      <c r="O868" s="13" t="s">
        <v>28</v>
      </c>
      <c r="P868" s="13">
        <f t="shared" si="35"/>
        <v>16</v>
      </c>
      <c r="Q868" s="15">
        <f t="shared" si="36"/>
        <v>170</v>
      </c>
      <c r="R868" s="13" t="s">
        <v>780</v>
      </c>
      <c r="S868" s="13"/>
      <c r="T868" s="13" t="s">
        <v>781</v>
      </c>
      <c r="U868" s="13"/>
      <c r="V868" s="13" t="s">
        <v>3980</v>
      </c>
      <c r="W868" s="13"/>
      <c r="X868" s="13" t="s">
        <v>3980</v>
      </c>
      <c r="Y868" s="13" t="s">
        <v>3980</v>
      </c>
      <c r="Z868" s="13" t="s">
        <v>3980</v>
      </c>
      <c r="AC868" s="18"/>
    </row>
    <row r="869" spans="1:29" x14ac:dyDescent="0.25">
      <c r="A869" s="18" t="s">
        <v>2785</v>
      </c>
      <c r="B869" s="30">
        <v>2007</v>
      </c>
      <c r="C869" s="13">
        <v>1498</v>
      </c>
      <c r="D869" s="14">
        <v>0.78500000000000003</v>
      </c>
      <c r="E869" s="14">
        <v>0.89100000000000001</v>
      </c>
      <c r="F869" s="13">
        <v>12</v>
      </c>
      <c r="G869" s="14">
        <v>0.60899999999999999</v>
      </c>
      <c r="I869" s="18" t="s">
        <v>779</v>
      </c>
      <c r="J869" s="18" t="s">
        <v>54</v>
      </c>
      <c r="K869" s="4"/>
      <c r="L869" s="9">
        <f>B869</f>
        <v>2007</v>
      </c>
      <c r="N869" s="30" t="s">
        <v>775</v>
      </c>
      <c r="O869" s="13" t="s">
        <v>28</v>
      </c>
      <c r="P869" s="13">
        <f t="shared" si="35"/>
        <v>11</v>
      </c>
      <c r="Q869" s="15">
        <f t="shared" si="36"/>
        <v>136.18181818181819</v>
      </c>
      <c r="R869" s="13" t="s">
        <v>177</v>
      </c>
      <c r="S869" s="13"/>
      <c r="T869" s="13" t="s">
        <v>2649</v>
      </c>
      <c r="U869" s="13"/>
      <c r="V869" s="13" t="s">
        <v>3980</v>
      </c>
      <c r="W869" s="13"/>
      <c r="X869" s="13" t="s">
        <v>3980</v>
      </c>
      <c r="Y869" s="13" t="s">
        <v>3980</v>
      </c>
      <c r="Z869" s="13" t="s">
        <v>3980</v>
      </c>
      <c r="AC869" s="18"/>
    </row>
    <row r="870" spans="1:29" x14ac:dyDescent="0.25">
      <c r="A870" s="18" t="s">
        <v>807</v>
      </c>
      <c r="B870" s="30">
        <v>1988</v>
      </c>
      <c r="C870" s="13">
        <v>12375</v>
      </c>
      <c r="D870" s="14">
        <v>0.98899999999999999</v>
      </c>
      <c r="E870" s="14">
        <v>0.97399999999999998</v>
      </c>
      <c r="F870" s="13">
        <v>57</v>
      </c>
      <c r="G870" s="14">
        <v>0.998</v>
      </c>
      <c r="H870" s="18" t="s">
        <v>3341</v>
      </c>
      <c r="I870" s="18" t="s">
        <v>779</v>
      </c>
      <c r="J870" s="18" t="s">
        <v>26</v>
      </c>
      <c r="L870" s="9">
        <v>1988</v>
      </c>
      <c r="N870" s="28" t="s">
        <v>779</v>
      </c>
      <c r="O870" s="13" t="s">
        <v>28</v>
      </c>
      <c r="P870" s="13">
        <f t="shared" si="35"/>
        <v>30</v>
      </c>
      <c r="Q870" s="15">
        <f t="shared" si="36"/>
        <v>412.5</v>
      </c>
      <c r="R870" s="13" t="s">
        <v>808</v>
      </c>
      <c r="S870" s="13"/>
      <c r="T870" s="13" t="s">
        <v>809</v>
      </c>
      <c r="U870" s="13"/>
      <c r="V870" s="13" t="s">
        <v>3980</v>
      </c>
      <c r="W870" s="13"/>
      <c r="X870" s="13" t="s">
        <v>3980</v>
      </c>
      <c r="Y870" s="13" t="s">
        <v>3980</v>
      </c>
      <c r="Z870" s="13" t="s">
        <v>3980</v>
      </c>
      <c r="AC870" s="18"/>
    </row>
    <row r="871" spans="1:29" x14ac:dyDescent="0.25">
      <c r="A871" s="18" t="s">
        <v>5088</v>
      </c>
      <c r="B871" s="30">
        <v>2004</v>
      </c>
      <c r="C871" s="13">
        <v>275</v>
      </c>
      <c r="D871" s="14">
        <v>0.43</v>
      </c>
      <c r="E871" s="14">
        <v>0.22700000000000001</v>
      </c>
      <c r="F871" s="13">
        <v>8</v>
      </c>
      <c r="G871" s="14">
        <v>0.434</v>
      </c>
      <c r="I871" s="18" t="s">
        <v>779</v>
      </c>
      <c r="J871" s="18" t="s">
        <v>26</v>
      </c>
      <c r="K871" s="4"/>
      <c r="L871" s="9">
        <f>B871</f>
        <v>2004</v>
      </c>
      <c r="M871" s="11"/>
      <c r="N871" s="30" t="s">
        <v>1627</v>
      </c>
      <c r="O871" s="13" t="s">
        <v>28</v>
      </c>
      <c r="P871" s="13">
        <f t="shared" si="35"/>
        <v>14</v>
      </c>
      <c r="Q871" s="15">
        <f t="shared" si="36"/>
        <v>19.642857142857142</v>
      </c>
      <c r="R871" s="13" t="s">
        <v>776</v>
      </c>
      <c r="S871" s="13"/>
      <c r="T871" s="13" t="s">
        <v>2824</v>
      </c>
      <c r="U871" s="13"/>
      <c r="V871" s="13" t="s">
        <v>3980</v>
      </c>
      <c r="W871" s="13"/>
      <c r="X871" s="13" t="s">
        <v>3980</v>
      </c>
      <c r="Y871" s="13" t="s">
        <v>3980</v>
      </c>
      <c r="Z871" s="13" t="s">
        <v>3980</v>
      </c>
      <c r="AC871" s="18"/>
    </row>
    <row r="872" spans="1:29" x14ac:dyDescent="0.25">
      <c r="A872" s="18" t="s">
        <v>1094</v>
      </c>
      <c r="B872" s="30">
        <v>2005</v>
      </c>
      <c r="C872" s="13">
        <v>1066</v>
      </c>
      <c r="D872" s="14">
        <v>0.71099999999999997</v>
      </c>
      <c r="E872" s="14">
        <v>0.81</v>
      </c>
      <c r="F872" s="13">
        <v>18</v>
      </c>
      <c r="G872" s="14">
        <v>0.78700000000000003</v>
      </c>
      <c r="H872" s="18" t="s">
        <v>3426</v>
      </c>
      <c r="I872" s="18" t="s">
        <v>779</v>
      </c>
      <c r="J872" s="18" t="s">
        <v>54</v>
      </c>
      <c r="K872" s="4"/>
      <c r="L872" s="9">
        <f>B872</f>
        <v>2005</v>
      </c>
      <c r="N872" s="30" t="s">
        <v>2672</v>
      </c>
      <c r="O872" s="13" t="s">
        <v>42</v>
      </c>
      <c r="P872" s="13">
        <f t="shared" si="35"/>
        <v>13</v>
      </c>
      <c r="Q872" s="15">
        <f t="shared" si="36"/>
        <v>82</v>
      </c>
      <c r="R872" s="13" t="s">
        <v>1095</v>
      </c>
      <c r="S872" s="13"/>
      <c r="T872" s="13" t="s">
        <v>1096</v>
      </c>
      <c r="U872" s="13"/>
      <c r="V872" s="13" t="s">
        <v>3980</v>
      </c>
      <c r="W872" s="13"/>
      <c r="X872" s="13" t="s">
        <v>3980</v>
      </c>
      <c r="Y872" s="13" t="s">
        <v>3980</v>
      </c>
      <c r="Z872" s="13" t="s">
        <v>3980</v>
      </c>
      <c r="AC872" s="18"/>
    </row>
    <row r="873" spans="1:29" x14ac:dyDescent="0.25">
      <c r="A873" s="18" t="s">
        <v>977</v>
      </c>
      <c r="B873" s="30">
        <v>2013</v>
      </c>
      <c r="C873" s="13">
        <v>245</v>
      </c>
      <c r="D873" s="14">
        <v>0.41</v>
      </c>
      <c r="E873" s="14">
        <v>0.71499999999999997</v>
      </c>
      <c r="F873" s="13">
        <v>3</v>
      </c>
      <c r="G873" s="14">
        <v>0.13100000000000001</v>
      </c>
      <c r="H873" s="18" t="s">
        <v>3393</v>
      </c>
      <c r="I873" s="26" t="s">
        <v>794</v>
      </c>
      <c r="J873" s="18" t="s">
        <v>105</v>
      </c>
      <c r="K873" s="4"/>
      <c r="L873" s="9">
        <f>B873</f>
        <v>2013</v>
      </c>
      <c r="N873" s="30" t="s">
        <v>140</v>
      </c>
      <c r="O873" s="13" t="s">
        <v>28</v>
      </c>
      <c r="P873" s="13">
        <f t="shared" si="35"/>
        <v>5</v>
      </c>
      <c r="Q873" s="15">
        <f t="shared" si="36"/>
        <v>49</v>
      </c>
      <c r="R873" s="13" t="s">
        <v>978</v>
      </c>
      <c r="S873" s="13"/>
      <c r="T873" s="13" t="s">
        <v>979</v>
      </c>
      <c r="U873" s="13"/>
      <c r="V873" s="13" t="s">
        <v>3980</v>
      </c>
      <c r="W873" s="13"/>
      <c r="X873" s="13" t="s">
        <v>3980</v>
      </c>
      <c r="Y873" s="13" t="s">
        <v>3980</v>
      </c>
      <c r="Z873" s="13" t="s">
        <v>3980</v>
      </c>
      <c r="AC873" s="18"/>
    </row>
    <row r="874" spans="1:29" x14ac:dyDescent="0.25">
      <c r="A874" s="18" t="s">
        <v>1434</v>
      </c>
      <c r="B874" s="30">
        <v>2000</v>
      </c>
      <c r="C874" s="13">
        <v>230</v>
      </c>
      <c r="D874" s="14">
        <v>0.39800000000000002</v>
      </c>
      <c r="E874" s="14">
        <v>0.39200000000000002</v>
      </c>
      <c r="F874" s="13">
        <v>8</v>
      </c>
      <c r="G874" s="14">
        <v>0.434</v>
      </c>
      <c r="H874" s="18" t="s">
        <v>3526</v>
      </c>
      <c r="I874" s="26" t="s">
        <v>794</v>
      </c>
      <c r="J874" s="4" t="s">
        <v>54</v>
      </c>
      <c r="L874" s="9">
        <v>2000</v>
      </c>
      <c r="N874" s="30" t="s">
        <v>1435</v>
      </c>
      <c r="O874" s="13" t="s">
        <v>42</v>
      </c>
      <c r="P874" s="13">
        <f t="shared" si="35"/>
        <v>18</v>
      </c>
      <c r="Q874" s="15">
        <f t="shared" si="36"/>
        <v>12.777777777777779</v>
      </c>
      <c r="R874" s="13" t="s">
        <v>1436</v>
      </c>
      <c r="S874" s="13"/>
      <c r="T874" s="13" t="s">
        <v>1437</v>
      </c>
      <c r="U874" s="13"/>
      <c r="V874" s="13" t="s">
        <v>4237</v>
      </c>
      <c r="W874" s="13"/>
      <c r="X874" s="13" t="s">
        <v>4712</v>
      </c>
      <c r="Y874" s="13" t="s">
        <v>3980</v>
      </c>
      <c r="Z874" s="13" t="s">
        <v>3980</v>
      </c>
      <c r="AC874" s="18"/>
    </row>
    <row r="875" spans="1:29" x14ac:dyDescent="0.25">
      <c r="A875" s="18" t="s">
        <v>793</v>
      </c>
      <c r="B875" s="30">
        <v>2012</v>
      </c>
      <c r="C875" s="13">
        <v>25</v>
      </c>
      <c r="D875" s="14">
        <v>0.113</v>
      </c>
      <c r="E875" s="14">
        <v>0.224</v>
      </c>
      <c r="F875" s="13">
        <v>3</v>
      </c>
      <c r="G875" s="14">
        <v>0.13100000000000001</v>
      </c>
      <c r="H875" s="18" t="s">
        <v>3339</v>
      </c>
      <c r="I875" s="26" t="s">
        <v>794</v>
      </c>
      <c r="J875" s="4" t="s">
        <v>105</v>
      </c>
      <c r="L875" s="9">
        <v>2012</v>
      </c>
      <c r="N875" s="30" t="s">
        <v>220</v>
      </c>
      <c r="O875" s="13" t="s">
        <v>42</v>
      </c>
      <c r="P875" s="13">
        <f t="shared" si="35"/>
        <v>6</v>
      </c>
      <c r="Q875" s="15">
        <f t="shared" si="36"/>
        <v>4.166666666666667</v>
      </c>
      <c r="R875" s="13" t="s">
        <v>795</v>
      </c>
      <c r="S875" s="13"/>
      <c r="T875" s="13" t="s">
        <v>796</v>
      </c>
      <c r="U875" s="13"/>
      <c r="V875" s="13" t="s">
        <v>3980</v>
      </c>
      <c r="W875" s="13"/>
      <c r="X875" s="13" t="s">
        <v>3980</v>
      </c>
      <c r="Y875" s="13" t="s">
        <v>3980</v>
      </c>
      <c r="Z875" s="13" t="s">
        <v>3980</v>
      </c>
      <c r="AC875" s="18"/>
    </row>
    <row r="876" spans="1:29" x14ac:dyDescent="0.25">
      <c r="A876" s="18" t="s">
        <v>1176</v>
      </c>
      <c r="B876" s="30">
        <v>1990</v>
      </c>
      <c r="C876" s="13">
        <v>623</v>
      </c>
      <c r="D876" s="14">
        <v>0.60899999999999999</v>
      </c>
      <c r="E876" s="14">
        <v>0.69599999999999995</v>
      </c>
      <c r="F876" s="13">
        <v>6</v>
      </c>
      <c r="G876" s="14">
        <v>0.32200000000000001</v>
      </c>
      <c r="H876" s="18" t="s">
        <v>3451</v>
      </c>
      <c r="I876" s="26" t="s">
        <v>1177</v>
      </c>
      <c r="J876" s="18" t="s">
        <v>54</v>
      </c>
      <c r="L876" s="9">
        <f>B876</f>
        <v>1990</v>
      </c>
      <c r="N876" s="30" t="s">
        <v>213</v>
      </c>
      <c r="O876" s="13" t="s">
        <v>42</v>
      </c>
      <c r="P876" s="13">
        <f t="shared" si="35"/>
        <v>28</v>
      </c>
      <c r="Q876" s="15">
        <f t="shared" si="36"/>
        <v>22.25</v>
      </c>
      <c r="R876" s="13" t="s">
        <v>1178</v>
      </c>
      <c r="S876" s="13"/>
      <c r="T876" s="13" t="s">
        <v>1179</v>
      </c>
      <c r="U876" s="13"/>
      <c r="V876" s="13" t="s">
        <v>3980</v>
      </c>
      <c r="W876" s="13"/>
      <c r="X876" s="13" t="s">
        <v>3980</v>
      </c>
      <c r="Y876" s="13" t="s">
        <v>3980</v>
      </c>
      <c r="Z876" s="13" t="s">
        <v>3980</v>
      </c>
      <c r="AC876" s="18"/>
    </row>
    <row r="877" spans="1:29" x14ac:dyDescent="0.25">
      <c r="A877" s="18" t="s">
        <v>3038</v>
      </c>
      <c r="B877" s="30">
        <v>2010</v>
      </c>
      <c r="C877" s="13">
        <v>8</v>
      </c>
      <c r="D877" s="14">
        <v>5.7000000000000002E-2</v>
      </c>
      <c r="E877" s="14">
        <v>0.108</v>
      </c>
      <c r="F877" s="13">
        <v>1</v>
      </c>
      <c r="G877" s="14">
        <v>0</v>
      </c>
      <c r="I877" s="26" t="s">
        <v>1177</v>
      </c>
      <c r="J877" s="18" t="s">
        <v>105</v>
      </c>
      <c r="L877" s="9">
        <v>2010</v>
      </c>
      <c r="N877" s="30" t="s">
        <v>1311</v>
      </c>
      <c r="O877" s="13" t="s">
        <v>28</v>
      </c>
      <c r="P877" s="13">
        <f t="shared" si="35"/>
        <v>8</v>
      </c>
      <c r="Q877" s="15">
        <f t="shared" si="36"/>
        <v>1</v>
      </c>
      <c r="R877" s="13" t="s">
        <v>3039</v>
      </c>
      <c r="S877" s="13"/>
      <c r="T877" s="13" t="s">
        <v>320</v>
      </c>
      <c r="U877" s="13" t="s">
        <v>3040</v>
      </c>
      <c r="V877" s="13" t="s">
        <v>3980</v>
      </c>
      <c r="W877" s="13"/>
      <c r="X877" s="13" t="s">
        <v>4713</v>
      </c>
      <c r="Y877" s="13" t="s">
        <v>3980</v>
      </c>
      <c r="Z877" s="13" t="s">
        <v>3980</v>
      </c>
      <c r="AC877" s="18"/>
    </row>
    <row r="878" spans="1:29" x14ac:dyDescent="0.25">
      <c r="A878" s="18" t="s">
        <v>1563</v>
      </c>
      <c r="B878" s="30">
        <v>1979</v>
      </c>
      <c r="C878" s="13">
        <v>93</v>
      </c>
      <c r="D878" s="14">
        <v>0.251</v>
      </c>
      <c r="E878" s="14">
        <v>0.129</v>
      </c>
      <c r="F878" s="13">
        <v>5</v>
      </c>
      <c r="G878" s="14">
        <v>0.27400000000000002</v>
      </c>
      <c r="I878" s="26" t="s">
        <v>818</v>
      </c>
      <c r="J878" s="18" t="s">
        <v>26</v>
      </c>
      <c r="L878" s="9">
        <v>1979</v>
      </c>
      <c r="N878" s="30" t="s">
        <v>192</v>
      </c>
      <c r="O878" s="13" t="s">
        <v>28</v>
      </c>
      <c r="P878" s="13">
        <f t="shared" si="35"/>
        <v>39</v>
      </c>
      <c r="Q878" s="15">
        <f t="shared" si="36"/>
        <v>2.3846153846153846</v>
      </c>
      <c r="R878" s="13" t="s">
        <v>1564</v>
      </c>
      <c r="S878" s="13"/>
      <c r="T878" s="13" t="s">
        <v>1565</v>
      </c>
      <c r="U878" s="13" t="s">
        <v>1566</v>
      </c>
      <c r="V878" s="13" t="s">
        <v>4238</v>
      </c>
      <c r="W878" s="13"/>
      <c r="X878" s="13" t="s">
        <v>4714</v>
      </c>
      <c r="Y878" s="13" t="s">
        <v>3980</v>
      </c>
      <c r="Z878" s="13" t="s">
        <v>3980</v>
      </c>
      <c r="AC878" s="18"/>
    </row>
    <row r="879" spans="1:29" x14ac:dyDescent="0.25">
      <c r="A879" s="18" t="s">
        <v>2433</v>
      </c>
      <c r="B879" s="30">
        <v>1999</v>
      </c>
      <c r="C879" s="8">
        <v>550</v>
      </c>
      <c r="D879" s="14">
        <v>0.57999999999999996</v>
      </c>
      <c r="E879" s="14">
        <v>0.316</v>
      </c>
      <c r="F879" s="8">
        <v>11</v>
      </c>
      <c r="G879" s="14">
        <v>0.56000000000000005</v>
      </c>
      <c r="H879" s="18" t="s">
        <v>3536</v>
      </c>
      <c r="I879" s="26" t="s">
        <v>818</v>
      </c>
      <c r="J879" s="18" t="s">
        <v>26</v>
      </c>
      <c r="L879" s="9">
        <f>B879</f>
        <v>1999</v>
      </c>
      <c r="N879" s="28" t="s">
        <v>1243</v>
      </c>
      <c r="O879" s="13" t="s">
        <v>28</v>
      </c>
      <c r="P879" s="13">
        <f t="shared" si="35"/>
        <v>19</v>
      </c>
      <c r="Q879" s="15">
        <f t="shared" si="36"/>
        <v>28.94736842105263</v>
      </c>
      <c r="R879" s="18" t="s">
        <v>3818</v>
      </c>
      <c r="T879" s="18" t="s">
        <v>3819</v>
      </c>
      <c r="V879" s="18" t="s">
        <v>3980</v>
      </c>
      <c r="X879" s="18" t="s">
        <v>3980</v>
      </c>
      <c r="Y879" s="18" t="s">
        <v>3980</v>
      </c>
      <c r="Z879" s="18" t="s">
        <v>3980</v>
      </c>
      <c r="AC879" s="18"/>
    </row>
    <row r="880" spans="1:29" x14ac:dyDescent="0.25">
      <c r="A880" s="18" t="s">
        <v>1916</v>
      </c>
      <c r="B880" s="30">
        <v>1996</v>
      </c>
      <c r="C880" s="13">
        <v>89</v>
      </c>
      <c r="D880" s="14">
        <v>0.24</v>
      </c>
      <c r="E880" s="14">
        <v>0.20599999999999999</v>
      </c>
      <c r="F880" s="13">
        <v>5</v>
      </c>
      <c r="G880" s="14">
        <v>0.27400000000000002</v>
      </c>
      <c r="I880" s="26" t="s">
        <v>818</v>
      </c>
      <c r="J880" s="18" t="s">
        <v>54</v>
      </c>
      <c r="K880" s="4"/>
      <c r="L880" s="9">
        <v>1996</v>
      </c>
      <c r="N880" s="30" t="s">
        <v>565</v>
      </c>
      <c r="O880" s="13" t="s">
        <v>42</v>
      </c>
      <c r="P880" s="13">
        <f t="shared" si="35"/>
        <v>22</v>
      </c>
      <c r="Q880" s="15">
        <f t="shared" si="36"/>
        <v>4.0454545454545459</v>
      </c>
      <c r="R880" s="13" t="s">
        <v>1917</v>
      </c>
      <c r="S880" s="13"/>
      <c r="T880" s="13" t="s">
        <v>1918</v>
      </c>
      <c r="U880" s="13" t="s">
        <v>1919</v>
      </c>
      <c r="V880" s="13" t="s">
        <v>3980</v>
      </c>
      <c r="W880" s="13"/>
      <c r="X880" s="13" t="s">
        <v>3980</v>
      </c>
      <c r="Y880" s="13" t="s">
        <v>3980</v>
      </c>
      <c r="Z880" s="13" t="s">
        <v>3980</v>
      </c>
      <c r="AC880" s="18"/>
    </row>
    <row r="881" spans="1:29" x14ac:dyDescent="0.25">
      <c r="A881" s="18" t="s">
        <v>2046</v>
      </c>
      <c r="B881" s="30">
        <v>1987</v>
      </c>
      <c r="C881" s="13">
        <v>1470</v>
      </c>
      <c r="D881" s="14">
        <v>0.77800000000000002</v>
      </c>
      <c r="E881" s="14">
        <v>0.88500000000000001</v>
      </c>
      <c r="F881" s="13">
        <v>18</v>
      </c>
      <c r="G881" s="14">
        <v>0.78700000000000003</v>
      </c>
      <c r="H881" s="18" t="s">
        <v>3538</v>
      </c>
      <c r="I881" s="26" t="s">
        <v>818</v>
      </c>
      <c r="J881" s="18" t="s">
        <v>54</v>
      </c>
      <c r="L881" s="9">
        <v>1987</v>
      </c>
      <c r="N881" s="30" t="s">
        <v>830</v>
      </c>
      <c r="O881" s="13" t="s">
        <v>42</v>
      </c>
      <c r="P881" s="13">
        <f t="shared" si="35"/>
        <v>31</v>
      </c>
      <c r="Q881" s="15">
        <f t="shared" si="36"/>
        <v>47.41935483870968</v>
      </c>
      <c r="R881" s="13" t="s">
        <v>2047</v>
      </c>
      <c r="S881" s="13"/>
      <c r="T881" s="13" t="s">
        <v>2048</v>
      </c>
      <c r="U881" s="13" t="s">
        <v>2049</v>
      </c>
      <c r="V881" s="13" t="s">
        <v>4239</v>
      </c>
      <c r="W881" s="13"/>
      <c r="X881" s="13" t="s">
        <v>3980</v>
      </c>
      <c r="Y881" s="13" t="s">
        <v>3980</v>
      </c>
      <c r="Z881" s="13" t="s">
        <v>3980</v>
      </c>
      <c r="AC881" s="18"/>
    </row>
    <row r="882" spans="1:29" x14ac:dyDescent="0.25">
      <c r="A882" s="18" t="s">
        <v>1343</v>
      </c>
      <c r="B882" s="30">
        <v>2015</v>
      </c>
      <c r="C882" s="13">
        <v>682</v>
      </c>
      <c r="D882" s="14">
        <v>0.627</v>
      </c>
      <c r="E882" s="14">
        <v>0.92900000000000005</v>
      </c>
      <c r="F882" s="13">
        <v>13</v>
      </c>
      <c r="G882" s="14">
        <v>0.64500000000000002</v>
      </c>
      <c r="H882" s="18" t="s">
        <v>3498</v>
      </c>
      <c r="I882" s="26" t="s">
        <v>818</v>
      </c>
      <c r="J882" s="4" t="s">
        <v>105</v>
      </c>
      <c r="L882" s="9">
        <v>2015</v>
      </c>
      <c r="N882" s="30" t="s">
        <v>290</v>
      </c>
      <c r="O882" s="13" t="s">
        <v>42</v>
      </c>
      <c r="P882" s="13">
        <f t="shared" si="35"/>
        <v>3</v>
      </c>
      <c r="Q882" s="15">
        <f t="shared" si="36"/>
        <v>227.33333333333334</v>
      </c>
      <c r="R882" s="13" t="s">
        <v>1344</v>
      </c>
      <c r="S882" s="13"/>
      <c r="T882" s="13" t="s">
        <v>1345</v>
      </c>
      <c r="U882" s="13"/>
      <c r="V882" s="13" t="s">
        <v>3980</v>
      </c>
      <c r="W882" s="13"/>
      <c r="X882" s="13" t="s">
        <v>3980</v>
      </c>
      <c r="Y882" s="13" t="s">
        <v>3980</v>
      </c>
      <c r="Z882" s="13" t="s">
        <v>3980</v>
      </c>
      <c r="AC882" s="18"/>
    </row>
    <row r="883" spans="1:29" x14ac:dyDescent="0.25">
      <c r="A883" s="18" t="s">
        <v>2143</v>
      </c>
      <c r="B883" s="30">
        <v>1997</v>
      </c>
      <c r="C883" s="13">
        <v>135</v>
      </c>
      <c r="D883" s="14">
        <v>0.318</v>
      </c>
      <c r="E883" s="14">
        <v>0.152</v>
      </c>
      <c r="F883" s="13">
        <v>4</v>
      </c>
      <c r="G883" s="14">
        <v>0.19600000000000001</v>
      </c>
      <c r="I883" s="26" t="s">
        <v>818</v>
      </c>
      <c r="J883" s="18" t="s">
        <v>26</v>
      </c>
      <c r="L883" s="9">
        <v>1997</v>
      </c>
      <c r="N883" s="30" t="s">
        <v>88</v>
      </c>
      <c r="O883" s="13" t="s">
        <v>42</v>
      </c>
      <c r="P883" s="13">
        <f t="shared" si="35"/>
        <v>21</v>
      </c>
      <c r="Q883" s="15">
        <f t="shared" si="36"/>
        <v>6.4285714285714288</v>
      </c>
      <c r="R883" s="13" t="s">
        <v>2144</v>
      </c>
      <c r="S883" s="13"/>
      <c r="T883" s="13" t="s">
        <v>628</v>
      </c>
      <c r="U883" s="13" t="s">
        <v>2145</v>
      </c>
      <c r="V883" s="13" t="s">
        <v>3980</v>
      </c>
      <c r="W883" s="13"/>
      <c r="X883" s="13" t="s">
        <v>3980</v>
      </c>
      <c r="Y883" s="13" t="s">
        <v>3980</v>
      </c>
      <c r="Z883" s="13" t="s">
        <v>3980</v>
      </c>
      <c r="AC883" s="18"/>
    </row>
    <row r="884" spans="1:29" x14ac:dyDescent="0.25">
      <c r="A884" s="18" t="s">
        <v>817</v>
      </c>
      <c r="B884" s="30">
        <v>2003</v>
      </c>
      <c r="C884" s="13">
        <v>160</v>
      </c>
      <c r="D884" s="14">
        <v>0.34899999999999998</v>
      </c>
      <c r="E884" s="14">
        <v>0.33800000000000002</v>
      </c>
      <c r="F884" s="13">
        <v>6</v>
      </c>
      <c r="G884" s="14">
        <v>0.32200000000000001</v>
      </c>
      <c r="H884" s="18" t="s">
        <v>3344</v>
      </c>
      <c r="I884" s="26" t="s">
        <v>818</v>
      </c>
      <c r="J884" s="18" t="s">
        <v>54</v>
      </c>
      <c r="L884" s="9">
        <v>2003</v>
      </c>
      <c r="N884" s="30" t="s">
        <v>819</v>
      </c>
      <c r="O884" s="13" t="s">
        <v>42</v>
      </c>
      <c r="P884" s="13">
        <f t="shared" si="35"/>
        <v>15</v>
      </c>
      <c r="Q884" s="15">
        <f t="shared" si="36"/>
        <v>10.666666666666666</v>
      </c>
      <c r="R884" s="13" t="s">
        <v>99</v>
      </c>
      <c r="S884" s="13"/>
      <c r="T884" s="13" t="s">
        <v>820</v>
      </c>
      <c r="U884" s="13" t="s">
        <v>821</v>
      </c>
      <c r="V884" s="13" t="s">
        <v>4240</v>
      </c>
      <c r="W884" s="13"/>
      <c r="X884" s="13" t="s">
        <v>4715</v>
      </c>
      <c r="Y884" s="13" t="s">
        <v>3980</v>
      </c>
      <c r="Z884" s="13" t="s">
        <v>3980</v>
      </c>
      <c r="AC884" s="18"/>
    </row>
    <row r="885" spans="1:29" x14ac:dyDescent="0.25">
      <c r="A885" s="18" t="s">
        <v>1849</v>
      </c>
      <c r="B885" s="30">
        <v>1989</v>
      </c>
      <c r="C885" s="8">
        <v>25</v>
      </c>
      <c r="D885" s="14">
        <v>0.113</v>
      </c>
      <c r="E885" s="14">
        <v>9.0999999999999998E-2</v>
      </c>
      <c r="F885" s="8">
        <v>3</v>
      </c>
      <c r="G885" s="14">
        <v>0.13100000000000001</v>
      </c>
      <c r="H885" s="18" t="s">
        <v>4891</v>
      </c>
      <c r="I885" s="18" t="s">
        <v>798</v>
      </c>
      <c r="J885" s="18" t="s">
        <v>54</v>
      </c>
      <c r="K885" s="4"/>
      <c r="L885" s="9">
        <f>B885</f>
        <v>1989</v>
      </c>
      <c r="M885" s="20" t="s">
        <v>3132</v>
      </c>
      <c r="N885" s="30" t="s">
        <v>3089</v>
      </c>
      <c r="O885" s="13" t="s">
        <v>28</v>
      </c>
      <c r="P885" s="13">
        <f t="shared" si="35"/>
        <v>29</v>
      </c>
      <c r="Q885" s="15">
        <f t="shared" si="36"/>
        <v>0.86206896551724133</v>
      </c>
      <c r="R885" s="13" t="s">
        <v>971</v>
      </c>
      <c r="S885" s="13"/>
      <c r="T885" s="13" t="s">
        <v>1850</v>
      </c>
      <c r="U885" s="13"/>
      <c r="V885" s="13" t="s">
        <v>3980</v>
      </c>
      <c r="W885" s="13"/>
      <c r="X885" s="13" t="s">
        <v>3980</v>
      </c>
      <c r="Y885" s="13" t="s">
        <v>3980</v>
      </c>
      <c r="Z885" s="13" t="s">
        <v>3980</v>
      </c>
      <c r="AC885" s="18"/>
    </row>
    <row r="886" spans="1:29" x14ac:dyDescent="0.25">
      <c r="A886" s="18" t="s">
        <v>2530</v>
      </c>
      <c r="B886" s="30">
        <v>1991</v>
      </c>
      <c r="C886" s="13">
        <v>110</v>
      </c>
      <c r="D886" s="14">
        <v>0.28000000000000003</v>
      </c>
      <c r="E886" s="14">
        <v>0.252</v>
      </c>
      <c r="F886" s="13">
        <v>5</v>
      </c>
      <c r="G886" s="14">
        <v>0.27400000000000002</v>
      </c>
      <c r="I886" s="18" t="s">
        <v>798</v>
      </c>
      <c r="J886" s="18" t="s">
        <v>54</v>
      </c>
      <c r="L886" s="9">
        <v>1991</v>
      </c>
      <c r="N886" s="30" t="s">
        <v>123</v>
      </c>
      <c r="O886" s="13" t="s">
        <v>28</v>
      </c>
      <c r="P886" s="13">
        <f t="shared" si="35"/>
        <v>27</v>
      </c>
      <c r="Q886" s="15">
        <f t="shared" si="36"/>
        <v>4.0740740740740744</v>
      </c>
      <c r="R886" s="13" t="s">
        <v>84</v>
      </c>
      <c r="S886" s="13"/>
      <c r="T886" s="13" t="s">
        <v>2531</v>
      </c>
      <c r="U886" s="13" t="s">
        <v>2532</v>
      </c>
      <c r="V886" s="13" t="s">
        <v>3980</v>
      </c>
      <c r="W886" s="13"/>
      <c r="X886" s="13" t="s">
        <v>3980</v>
      </c>
      <c r="Y886" s="13" t="s">
        <v>3980</v>
      </c>
      <c r="Z886" s="13" t="s">
        <v>3980</v>
      </c>
      <c r="AC886" s="18"/>
    </row>
    <row r="887" spans="1:29" x14ac:dyDescent="0.25">
      <c r="A887" s="18" t="s">
        <v>903</v>
      </c>
      <c r="B887" s="30">
        <v>2010</v>
      </c>
      <c r="C887" s="13">
        <v>507</v>
      </c>
      <c r="D887" s="14">
        <v>0.55700000000000005</v>
      </c>
      <c r="E887" s="14">
        <v>0.877</v>
      </c>
      <c r="F887" s="13">
        <v>9</v>
      </c>
      <c r="G887" s="14">
        <v>0.48799999999999999</v>
      </c>
      <c r="H887" s="18" t="s">
        <v>3371</v>
      </c>
      <c r="I887" s="26" t="s">
        <v>798</v>
      </c>
      <c r="J887" s="18" t="s">
        <v>105</v>
      </c>
      <c r="K887" s="4"/>
      <c r="L887" s="9">
        <v>2010</v>
      </c>
      <c r="N887" s="30" t="s">
        <v>168</v>
      </c>
      <c r="O887" s="13" t="s">
        <v>28</v>
      </c>
      <c r="P887" s="13">
        <f t="shared" si="35"/>
        <v>8</v>
      </c>
      <c r="Q887" s="15">
        <f t="shared" si="36"/>
        <v>63.375</v>
      </c>
      <c r="R887" s="13" t="s">
        <v>904</v>
      </c>
      <c r="S887" s="13"/>
      <c r="T887" s="13" t="s">
        <v>905</v>
      </c>
      <c r="U887" s="13" t="s">
        <v>906</v>
      </c>
      <c r="V887" s="13" t="s">
        <v>3980</v>
      </c>
      <c r="W887" s="13"/>
      <c r="X887" s="13" t="s">
        <v>4716</v>
      </c>
      <c r="Y887" s="13" t="s">
        <v>3980</v>
      </c>
      <c r="Z887" s="13" t="s">
        <v>3980</v>
      </c>
      <c r="AC887" s="18"/>
    </row>
    <row r="888" spans="1:29" x14ac:dyDescent="0.25">
      <c r="A888" s="18" t="s">
        <v>1493</v>
      </c>
      <c r="B888" s="30">
        <v>2012</v>
      </c>
      <c r="C888" s="8">
        <v>612</v>
      </c>
      <c r="D888" s="14">
        <v>0.60599999999999998</v>
      </c>
      <c r="E888" s="14">
        <v>0.91500000000000004</v>
      </c>
      <c r="F888" s="8">
        <v>10</v>
      </c>
      <c r="G888" s="14">
        <v>0.52200000000000002</v>
      </c>
      <c r="H888" s="18" t="s">
        <v>3638</v>
      </c>
      <c r="I888" s="18" t="s">
        <v>798</v>
      </c>
      <c r="J888" s="18" t="s">
        <v>105</v>
      </c>
      <c r="L888" s="9">
        <f>B888</f>
        <v>2012</v>
      </c>
      <c r="N888" s="28" t="s">
        <v>3098</v>
      </c>
      <c r="O888" s="13" t="s">
        <v>28</v>
      </c>
      <c r="P888" s="13">
        <f t="shared" si="35"/>
        <v>6</v>
      </c>
      <c r="Q888" s="15">
        <f t="shared" si="36"/>
        <v>102</v>
      </c>
      <c r="R888" s="18" t="s">
        <v>1100</v>
      </c>
      <c r="T888" s="18" t="s">
        <v>3740</v>
      </c>
      <c r="V888" s="18" t="s">
        <v>3980</v>
      </c>
      <c r="X888" s="18" t="s">
        <v>3980</v>
      </c>
      <c r="Y888" s="18" t="s">
        <v>3980</v>
      </c>
      <c r="Z888" s="18" t="s">
        <v>3980</v>
      </c>
      <c r="AC888" s="18"/>
    </row>
    <row r="889" spans="1:29" x14ac:dyDescent="0.25">
      <c r="A889" s="18" t="s">
        <v>2277</v>
      </c>
      <c r="B889" s="30">
        <v>2007</v>
      </c>
      <c r="C889" s="8">
        <v>80</v>
      </c>
      <c r="D889" s="14">
        <v>0.23</v>
      </c>
      <c r="E889" s="14">
        <v>0.442</v>
      </c>
      <c r="F889" s="8">
        <v>4</v>
      </c>
      <c r="G889" s="14">
        <v>0.19600000000000001</v>
      </c>
      <c r="I889" s="26" t="s">
        <v>798</v>
      </c>
      <c r="J889" s="18" t="s">
        <v>105</v>
      </c>
      <c r="L889" s="9">
        <f>B889</f>
        <v>2007</v>
      </c>
      <c r="N889" s="28" t="s">
        <v>152</v>
      </c>
      <c r="O889" s="13" t="s">
        <v>42</v>
      </c>
      <c r="P889" s="13">
        <f t="shared" si="35"/>
        <v>11</v>
      </c>
      <c r="Q889" s="15">
        <f t="shared" si="36"/>
        <v>7.2727272727272725</v>
      </c>
      <c r="R889" s="18" t="s">
        <v>2279</v>
      </c>
      <c r="T889" s="18" t="s">
        <v>3756</v>
      </c>
      <c r="V889" s="18" t="s">
        <v>3980</v>
      </c>
      <c r="X889" s="18" t="s">
        <v>3980</v>
      </c>
      <c r="Y889" s="18" t="s">
        <v>3980</v>
      </c>
      <c r="Z889" s="18" t="s">
        <v>3980</v>
      </c>
      <c r="AC889" s="18"/>
    </row>
    <row r="890" spans="1:29" x14ac:dyDescent="0.25">
      <c r="A890" s="18" t="s">
        <v>4899</v>
      </c>
      <c r="B890" s="30">
        <v>1992</v>
      </c>
      <c r="C890" s="13">
        <v>438</v>
      </c>
      <c r="D890" s="14">
        <v>0.52900000000000003</v>
      </c>
      <c r="E890" s="14">
        <v>0.57499999999999996</v>
      </c>
      <c r="F890" s="13">
        <v>11</v>
      </c>
      <c r="G890" s="14">
        <v>0.56000000000000005</v>
      </c>
      <c r="H890" s="18" t="s">
        <v>3673</v>
      </c>
      <c r="I890" s="18" t="s">
        <v>798</v>
      </c>
      <c r="J890" s="18" t="s">
        <v>54</v>
      </c>
      <c r="K890" s="4"/>
      <c r="L890" s="9">
        <v>1992</v>
      </c>
      <c r="N890" s="30" t="s">
        <v>41</v>
      </c>
      <c r="O890" s="13" t="s">
        <v>42</v>
      </c>
      <c r="P890" s="13">
        <f t="shared" si="35"/>
        <v>26</v>
      </c>
      <c r="Q890" s="15">
        <f t="shared" si="36"/>
        <v>16.846153846153847</v>
      </c>
      <c r="R890" s="13" t="s">
        <v>294</v>
      </c>
      <c r="S890" s="13" t="s">
        <v>62</v>
      </c>
      <c r="T890" s="13" t="s">
        <v>1908</v>
      </c>
      <c r="U890" s="13" t="s">
        <v>1909</v>
      </c>
      <c r="V890" s="13" t="s">
        <v>4241</v>
      </c>
      <c r="W890" s="13"/>
      <c r="X890" s="13" t="s">
        <v>4717</v>
      </c>
      <c r="Y890" s="13" t="s">
        <v>3980</v>
      </c>
      <c r="Z890" s="13" t="s">
        <v>3980</v>
      </c>
      <c r="AC890" s="18"/>
    </row>
    <row r="891" spans="1:29" x14ac:dyDescent="0.25">
      <c r="A891" s="18" t="s">
        <v>2540</v>
      </c>
      <c r="B891" s="30">
        <v>1992</v>
      </c>
      <c r="C891" s="13">
        <v>433</v>
      </c>
      <c r="D891" s="14">
        <v>0.52300000000000002</v>
      </c>
      <c r="E891" s="14">
        <v>0.28000000000000003</v>
      </c>
      <c r="F891" s="13">
        <v>10</v>
      </c>
      <c r="G891" s="14">
        <v>0.52200000000000002</v>
      </c>
      <c r="I891" s="18" t="s">
        <v>798</v>
      </c>
      <c r="J891" s="18" t="s">
        <v>26</v>
      </c>
      <c r="L891" s="9">
        <v>1992</v>
      </c>
      <c r="N891" s="30" t="s">
        <v>1840</v>
      </c>
      <c r="O891" s="13" t="s">
        <v>28</v>
      </c>
      <c r="P891" s="13">
        <f t="shared" si="35"/>
        <v>26</v>
      </c>
      <c r="Q891" s="15">
        <f t="shared" si="36"/>
        <v>16.653846153846153</v>
      </c>
      <c r="R891" s="13" t="s">
        <v>84</v>
      </c>
      <c r="S891" s="13"/>
      <c r="T891" s="13" t="s">
        <v>2541</v>
      </c>
      <c r="U891" s="13" t="s">
        <v>2542</v>
      </c>
      <c r="V891" s="13" t="s">
        <v>3980</v>
      </c>
      <c r="W891" s="13"/>
      <c r="X891" s="13" t="s">
        <v>4718</v>
      </c>
      <c r="Y891" s="13" t="s">
        <v>3980</v>
      </c>
      <c r="Z891" s="13" t="s">
        <v>3980</v>
      </c>
      <c r="AC891" s="18"/>
    </row>
    <row r="892" spans="1:29" x14ac:dyDescent="0.25">
      <c r="A892" s="18" t="s">
        <v>5075</v>
      </c>
      <c r="B892" s="30">
        <v>2001</v>
      </c>
      <c r="C892" s="13">
        <v>1867</v>
      </c>
      <c r="D892" s="14">
        <v>0.81799999999999995</v>
      </c>
      <c r="E892" s="14">
        <v>0.61899999999999999</v>
      </c>
      <c r="F892" s="13">
        <v>15</v>
      </c>
      <c r="G892" s="14">
        <v>0.71</v>
      </c>
      <c r="I892" s="18" t="s">
        <v>798</v>
      </c>
      <c r="J892" s="18" t="s">
        <v>26</v>
      </c>
      <c r="L892" s="9">
        <v>2001</v>
      </c>
      <c r="N892" s="30" t="s">
        <v>94</v>
      </c>
      <c r="O892" s="13" t="s">
        <v>28</v>
      </c>
      <c r="P892" s="13">
        <f t="shared" si="35"/>
        <v>17</v>
      </c>
      <c r="Q892" s="15">
        <f t="shared" si="36"/>
        <v>109.82352941176471</v>
      </c>
      <c r="R892" s="13" t="s">
        <v>177</v>
      </c>
      <c r="S892" s="13" t="s">
        <v>164</v>
      </c>
      <c r="T892" s="13" t="s">
        <v>2775</v>
      </c>
      <c r="U892" s="13" t="s">
        <v>2776</v>
      </c>
      <c r="V892" s="13" t="s">
        <v>3980</v>
      </c>
      <c r="W892" s="13"/>
      <c r="X892" s="13" t="s">
        <v>3980</v>
      </c>
      <c r="Y892" s="13" t="s">
        <v>3980</v>
      </c>
      <c r="Z892" s="13" t="s">
        <v>3980</v>
      </c>
      <c r="AC892" s="18"/>
    </row>
    <row r="893" spans="1:29" x14ac:dyDescent="0.25">
      <c r="A893" s="28" t="s">
        <v>4836</v>
      </c>
      <c r="B893" s="30">
        <v>2003</v>
      </c>
      <c r="C893" s="13">
        <v>308</v>
      </c>
      <c r="D893" s="14">
        <v>0.44900000000000001</v>
      </c>
      <c r="E893" s="14">
        <v>0.45800000000000002</v>
      </c>
      <c r="F893" s="13">
        <v>7</v>
      </c>
      <c r="G893" s="14">
        <v>0.39300000000000002</v>
      </c>
      <c r="I893" s="18" t="s">
        <v>798</v>
      </c>
      <c r="J893" s="18" t="s">
        <v>54</v>
      </c>
      <c r="L893" s="9">
        <f>B893</f>
        <v>2003</v>
      </c>
      <c r="N893" s="30" t="s">
        <v>34</v>
      </c>
      <c r="O893" s="13" t="s">
        <v>28</v>
      </c>
      <c r="P893" s="13">
        <f t="shared" si="35"/>
        <v>15</v>
      </c>
      <c r="Q893" s="15">
        <f t="shared" si="36"/>
        <v>20.533333333333335</v>
      </c>
      <c r="R893" s="13" t="s">
        <v>1503</v>
      </c>
      <c r="S893" s="13" t="s">
        <v>480</v>
      </c>
      <c r="T893" s="13" t="s">
        <v>1504</v>
      </c>
      <c r="U893" s="13"/>
      <c r="V893" s="13" t="s">
        <v>3980</v>
      </c>
      <c r="W893" s="13"/>
      <c r="X893" s="13" t="s">
        <v>3980</v>
      </c>
      <c r="Y893" s="13" t="s">
        <v>3980</v>
      </c>
      <c r="Z893" s="13" t="s">
        <v>3980</v>
      </c>
      <c r="AC893" s="18"/>
    </row>
    <row r="894" spans="1:29" x14ac:dyDescent="0.25">
      <c r="A894" s="18" t="s">
        <v>1638</v>
      </c>
      <c r="B894" s="30">
        <v>2006</v>
      </c>
      <c r="C894" s="13">
        <v>656</v>
      </c>
      <c r="D894" s="14">
        <v>0.62</v>
      </c>
      <c r="E894" s="14">
        <v>0.71299999999999997</v>
      </c>
      <c r="F894" s="13">
        <v>14</v>
      </c>
      <c r="G894" s="14">
        <v>0.67900000000000005</v>
      </c>
      <c r="I894" s="18" t="s">
        <v>798</v>
      </c>
      <c r="J894" s="18" t="s">
        <v>54</v>
      </c>
      <c r="L894" s="9">
        <v>2006</v>
      </c>
      <c r="N894" s="30" t="s">
        <v>152</v>
      </c>
      <c r="O894" s="13" t="s">
        <v>28</v>
      </c>
      <c r="P894" s="13">
        <f t="shared" si="35"/>
        <v>12</v>
      </c>
      <c r="Q894" s="15">
        <f t="shared" si="36"/>
        <v>54.666666666666664</v>
      </c>
      <c r="R894" s="13" t="s">
        <v>1639</v>
      </c>
      <c r="S894" s="13"/>
      <c r="T894" s="13" t="s">
        <v>1640</v>
      </c>
      <c r="U894" s="13" t="s">
        <v>1641</v>
      </c>
      <c r="V894" s="13" t="s">
        <v>3980</v>
      </c>
      <c r="W894" s="13"/>
      <c r="X894" s="13" t="s">
        <v>4719</v>
      </c>
      <c r="Y894" s="13" t="s">
        <v>3980</v>
      </c>
      <c r="Z894" s="13" t="s">
        <v>3980</v>
      </c>
      <c r="AC894" s="18"/>
    </row>
    <row r="895" spans="1:29" x14ac:dyDescent="0.25">
      <c r="A895" s="18" t="s">
        <v>949</v>
      </c>
      <c r="B895" s="30">
        <v>2014</v>
      </c>
      <c r="C895" s="13">
        <v>134</v>
      </c>
      <c r="D895" s="14">
        <v>0.316</v>
      </c>
      <c r="E895" s="14">
        <v>0.58499999999999996</v>
      </c>
      <c r="F895" s="13">
        <v>6</v>
      </c>
      <c r="G895" s="14">
        <v>0.32200000000000001</v>
      </c>
      <c r="H895" s="18" t="s">
        <v>3616</v>
      </c>
      <c r="I895" s="18" t="s">
        <v>798</v>
      </c>
      <c r="J895" s="18" t="s">
        <v>105</v>
      </c>
      <c r="L895" s="9">
        <v>2014</v>
      </c>
      <c r="N895" s="30" t="s">
        <v>765</v>
      </c>
      <c r="O895" s="13" t="s">
        <v>28</v>
      </c>
      <c r="P895" s="13">
        <f t="shared" si="35"/>
        <v>4</v>
      </c>
      <c r="Q895" s="15">
        <f t="shared" si="36"/>
        <v>33.5</v>
      </c>
      <c r="R895" s="13" t="s">
        <v>950</v>
      </c>
      <c r="S895" s="13"/>
      <c r="T895" s="13" t="s">
        <v>951</v>
      </c>
      <c r="U895" s="13"/>
      <c r="V895" s="13" t="s">
        <v>3980</v>
      </c>
      <c r="W895" s="13"/>
      <c r="X895" s="13" t="s">
        <v>4720</v>
      </c>
      <c r="Y895" s="13" t="s">
        <v>3980</v>
      </c>
      <c r="Z895" s="13" t="s">
        <v>3980</v>
      </c>
      <c r="AC895" s="18"/>
    </row>
    <row r="896" spans="1:29" x14ac:dyDescent="0.25">
      <c r="A896" s="18" t="s">
        <v>5044</v>
      </c>
      <c r="B896" s="30">
        <v>1995</v>
      </c>
      <c r="C896" s="13">
        <v>1379</v>
      </c>
      <c r="D896" s="14">
        <v>0.76600000000000001</v>
      </c>
      <c r="E896" s="14">
        <v>0.53500000000000003</v>
      </c>
      <c r="F896" s="13">
        <v>13</v>
      </c>
      <c r="G896" s="14">
        <v>0.64500000000000002</v>
      </c>
      <c r="H896" s="18" t="s">
        <v>3552</v>
      </c>
      <c r="I896" s="18" t="s">
        <v>798</v>
      </c>
      <c r="J896" s="18" t="s">
        <v>26</v>
      </c>
      <c r="K896" s="4"/>
      <c r="L896" s="9">
        <v>1995</v>
      </c>
      <c r="N896" s="30" t="s">
        <v>152</v>
      </c>
      <c r="O896" s="13" t="s">
        <v>42</v>
      </c>
      <c r="P896" s="13">
        <f t="shared" si="35"/>
        <v>23</v>
      </c>
      <c r="Q896" s="15">
        <f t="shared" si="36"/>
        <v>59.956521739130437</v>
      </c>
      <c r="R896" s="13" t="s">
        <v>1357</v>
      </c>
      <c r="S896" s="13" t="s">
        <v>206</v>
      </c>
      <c r="T896" s="13" t="s">
        <v>407</v>
      </c>
      <c r="U896" s="13" t="s">
        <v>2646</v>
      </c>
      <c r="V896" s="13" t="s">
        <v>4242</v>
      </c>
      <c r="W896" s="13"/>
      <c r="X896" s="13" t="s">
        <v>3980</v>
      </c>
      <c r="Y896" s="13" t="s">
        <v>3980</v>
      </c>
      <c r="Z896" s="13" t="s">
        <v>3980</v>
      </c>
      <c r="AC896" s="18"/>
    </row>
    <row r="897" spans="1:29" x14ac:dyDescent="0.25">
      <c r="A897" s="18" t="s">
        <v>5080</v>
      </c>
      <c r="B897" s="30">
        <v>2007</v>
      </c>
      <c r="C897" s="13">
        <v>487</v>
      </c>
      <c r="D897" s="14">
        <v>0.54800000000000004</v>
      </c>
      <c r="E897" s="14">
        <v>0.85599999999999998</v>
      </c>
      <c r="F897" s="13">
        <v>8</v>
      </c>
      <c r="G897" s="14">
        <v>0.434</v>
      </c>
      <c r="I897" s="26" t="s">
        <v>798</v>
      </c>
      <c r="J897" s="18" t="s">
        <v>105</v>
      </c>
      <c r="L897" s="9">
        <v>2007</v>
      </c>
      <c r="M897" s="11"/>
      <c r="N897" s="30" t="s">
        <v>152</v>
      </c>
      <c r="O897" s="13" t="s">
        <v>28</v>
      </c>
      <c r="P897" s="13">
        <f t="shared" si="35"/>
        <v>11</v>
      </c>
      <c r="Q897" s="15">
        <f t="shared" si="36"/>
        <v>44.272727272727273</v>
      </c>
      <c r="R897" s="13" t="s">
        <v>177</v>
      </c>
      <c r="S897" s="13" t="s">
        <v>418</v>
      </c>
      <c r="T897" s="13" t="s">
        <v>2773</v>
      </c>
      <c r="U897" s="13" t="s">
        <v>2774</v>
      </c>
      <c r="V897" s="13" t="s">
        <v>4243</v>
      </c>
      <c r="W897" s="13"/>
      <c r="X897" s="13" t="s">
        <v>3980</v>
      </c>
      <c r="Y897" s="13" t="s">
        <v>3980</v>
      </c>
      <c r="Z897" s="13" t="s">
        <v>3980</v>
      </c>
      <c r="AC897" s="18"/>
    </row>
    <row r="898" spans="1:29" x14ac:dyDescent="0.25">
      <c r="A898" s="18" t="s">
        <v>1413</v>
      </c>
      <c r="B898" s="30">
        <v>2002</v>
      </c>
      <c r="C898" s="13">
        <v>1172</v>
      </c>
      <c r="D898" s="14">
        <v>0.73499999999999999</v>
      </c>
      <c r="E898" s="14">
        <v>0.48899999999999999</v>
      </c>
      <c r="F898" s="13">
        <v>14</v>
      </c>
      <c r="G898" s="14">
        <v>0.67900000000000005</v>
      </c>
      <c r="H898" s="18" t="s">
        <v>3521</v>
      </c>
      <c r="I898" s="18" t="s">
        <v>798</v>
      </c>
      <c r="J898" s="18" t="s">
        <v>26</v>
      </c>
      <c r="K898" s="4"/>
      <c r="L898" s="9">
        <v>2002</v>
      </c>
      <c r="N898" s="30" t="s">
        <v>123</v>
      </c>
      <c r="O898" s="13" t="s">
        <v>28</v>
      </c>
      <c r="P898" s="13">
        <f t="shared" ref="P898:P961" si="37">2018-L898</f>
        <v>16</v>
      </c>
      <c r="Q898" s="15">
        <f t="shared" ref="Q898:Q961" si="38">C898/P898</f>
        <v>73.25</v>
      </c>
      <c r="R898" s="13" t="s">
        <v>1414</v>
      </c>
      <c r="S898" s="13"/>
      <c r="T898" s="13" t="s">
        <v>1152</v>
      </c>
      <c r="U898" s="13" t="s">
        <v>1415</v>
      </c>
      <c r="V898" s="13" t="s">
        <v>4244</v>
      </c>
      <c r="W898" s="13"/>
      <c r="X898" s="13" t="s">
        <v>4721</v>
      </c>
      <c r="Y898" s="13" t="s">
        <v>3980</v>
      </c>
      <c r="Z898" s="13" t="s">
        <v>3980</v>
      </c>
      <c r="AC898" s="18"/>
    </row>
    <row r="899" spans="1:29" x14ac:dyDescent="0.25">
      <c r="A899" s="18" t="s">
        <v>5067</v>
      </c>
      <c r="B899" s="30">
        <v>1969</v>
      </c>
      <c r="C899" s="13">
        <v>12</v>
      </c>
      <c r="D899" s="14">
        <v>7.6999999999999999E-2</v>
      </c>
      <c r="E899" s="14">
        <v>2.9000000000000001E-2</v>
      </c>
      <c r="F899" s="13">
        <v>2</v>
      </c>
      <c r="G899" s="14">
        <v>7.0999999999999994E-2</v>
      </c>
      <c r="I899" s="18" t="s">
        <v>2430</v>
      </c>
      <c r="J899" s="4" t="s">
        <v>26</v>
      </c>
      <c r="K899" s="4"/>
      <c r="L899" s="9">
        <v>1969</v>
      </c>
      <c r="N899" s="30" t="s">
        <v>106</v>
      </c>
      <c r="O899" s="13" t="s">
        <v>28</v>
      </c>
      <c r="P899" s="13">
        <f t="shared" si="37"/>
        <v>49</v>
      </c>
      <c r="Q899" s="15">
        <f t="shared" si="38"/>
        <v>0.24489795918367346</v>
      </c>
      <c r="R899" s="13" t="s">
        <v>130</v>
      </c>
      <c r="S899" s="13" t="s">
        <v>1636</v>
      </c>
      <c r="T899" s="13" t="s">
        <v>2760</v>
      </c>
      <c r="U899" s="13" t="s">
        <v>2761</v>
      </c>
      <c r="V899" s="13" t="s">
        <v>3980</v>
      </c>
      <c r="W899" s="13"/>
      <c r="X899" s="13" t="s">
        <v>3980</v>
      </c>
      <c r="Y899" s="13" t="s">
        <v>3980</v>
      </c>
      <c r="Z899" s="13" t="s">
        <v>3980</v>
      </c>
      <c r="AC899" s="18"/>
    </row>
    <row r="900" spans="1:29" x14ac:dyDescent="0.25">
      <c r="A900" s="18" t="s">
        <v>2429</v>
      </c>
      <c r="B900" s="30">
        <v>1990</v>
      </c>
      <c r="C900" s="13">
        <v>125</v>
      </c>
      <c r="D900" s="14">
        <v>0.30199999999999999</v>
      </c>
      <c r="E900" s="14">
        <v>0.14499999999999999</v>
      </c>
      <c r="F900" s="13">
        <v>3</v>
      </c>
      <c r="G900" s="14">
        <v>0.13100000000000001</v>
      </c>
      <c r="I900" s="18" t="s">
        <v>2430</v>
      </c>
      <c r="J900" s="4" t="s">
        <v>26</v>
      </c>
      <c r="L900" s="9">
        <v>1990</v>
      </c>
      <c r="N900" s="30" t="s">
        <v>88</v>
      </c>
      <c r="O900" s="13" t="s">
        <v>42</v>
      </c>
      <c r="P900" s="13">
        <f t="shared" si="37"/>
        <v>28</v>
      </c>
      <c r="Q900" s="15">
        <f t="shared" si="38"/>
        <v>4.4642857142857144</v>
      </c>
      <c r="R900" s="13" t="s">
        <v>815</v>
      </c>
      <c r="S900" s="13"/>
      <c r="T900" s="13" t="s">
        <v>2431</v>
      </c>
      <c r="U900" s="13" t="s">
        <v>2432</v>
      </c>
      <c r="V900" s="13" t="s">
        <v>3980</v>
      </c>
      <c r="W900" s="13"/>
      <c r="X900" s="13" t="s">
        <v>3980</v>
      </c>
      <c r="Y900" s="13" t="s">
        <v>3980</v>
      </c>
      <c r="Z900" s="13" t="s">
        <v>3980</v>
      </c>
      <c r="AC900" s="18"/>
    </row>
    <row r="901" spans="1:29" x14ac:dyDescent="0.25">
      <c r="A901" s="18" t="s">
        <v>2729</v>
      </c>
      <c r="B901" s="30">
        <v>2012</v>
      </c>
      <c r="C901" s="13">
        <v>45</v>
      </c>
      <c r="D901" s="14">
        <v>0.16400000000000001</v>
      </c>
      <c r="E901" s="14">
        <v>0.32600000000000001</v>
      </c>
      <c r="F901" s="13">
        <v>3</v>
      </c>
      <c r="G901" s="14">
        <v>0.13100000000000001</v>
      </c>
      <c r="I901" s="18" t="s">
        <v>2430</v>
      </c>
      <c r="J901" s="4" t="s">
        <v>105</v>
      </c>
      <c r="L901" s="9">
        <v>2012</v>
      </c>
      <c r="N901" s="30" t="s">
        <v>145</v>
      </c>
      <c r="O901" s="13" t="s">
        <v>42</v>
      </c>
      <c r="P901" s="13">
        <f t="shared" si="37"/>
        <v>6</v>
      </c>
      <c r="Q901" s="15">
        <f t="shared" si="38"/>
        <v>7.5</v>
      </c>
      <c r="R901" s="13" t="s">
        <v>511</v>
      </c>
      <c r="S901" s="13"/>
      <c r="T901" s="13" t="s">
        <v>163</v>
      </c>
      <c r="U901" s="13"/>
      <c r="V901" s="13" t="s">
        <v>3980</v>
      </c>
      <c r="W901" s="13"/>
      <c r="X901" s="13" t="s">
        <v>3980</v>
      </c>
      <c r="Y901" s="13" t="s">
        <v>3980</v>
      </c>
      <c r="Z901" s="13" t="s">
        <v>3980</v>
      </c>
      <c r="AC901" s="18"/>
    </row>
    <row r="902" spans="1:29" x14ac:dyDescent="0.25">
      <c r="A902" s="18" t="s">
        <v>692</v>
      </c>
      <c r="B902" s="30">
        <v>2005</v>
      </c>
      <c r="C902" s="13">
        <v>147</v>
      </c>
      <c r="D902" s="14">
        <v>0.33600000000000002</v>
      </c>
      <c r="E902" s="14">
        <v>0.32600000000000001</v>
      </c>
      <c r="F902" s="13">
        <v>6</v>
      </c>
      <c r="G902" s="14">
        <v>0.32200000000000001</v>
      </c>
      <c r="H902" s="18" t="s">
        <v>3315</v>
      </c>
      <c r="I902" s="26" t="s">
        <v>693</v>
      </c>
      <c r="J902" s="18" t="s">
        <v>54</v>
      </c>
      <c r="L902" s="9">
        <v>2005</v>
      </c>
      <c r="N902" s="30" t="s">
        <v>83</v>
      </c>
      <c r="O902" s="13" t="s">
        <v>28</v>
      </c>
      <c r="P902" s="13">
        <f t="shared" si="37"/>
        <v>13</v>
      </c>
      <c r="Q902" s="15">
        <f t="shared" si="38"/>
        <v>11.307692307692308</v>
      </c>
      <c r="R902" s="13" t="s">
        <v>694</v>
      </c>
      <c r="S902" s="13"/>
      <c r="T902" s="13" t="s">
        <v>695</v>
      </c>
      <c r="U902" s="13" t="s">
        <v>696</v>
      </c>
      <c r="V902" s="13" t="s">
        <v>4245</v>
      </c>
      <c r="W902" s="13"/>
      <c r="X902" s="13" t="s">
        <v>3980</v>
      </c>
      <c r="Y902" s="13" t="s">
        <v>3980</v>
      </c>
      <c r="Z902" s="13" t="s">
        <v>3980</v>
      </c>
      <c r="AC902" s="18"/>
    </row>
    <row r="903" spans="1:29" x14ac:dyDescent="0.25">
      <c r="A903" s="18" t="s">
        <v>4986</v>
      </c>
      <c r="B903" s="30">
        <v>1995</v>
      </c>
      <c r="C903" s="13">
        <v>1997</v>
      </c>
      <c r="D903" s="14">
        <v>0.83099999999999996</v>
      </c>
      <c r="E903" s="14">
        <v>0.63500000000000001</v>
      </c>
      <c r="F903" s="13">
        <v>19</v>
      </c>
      <c r="G903" s="14">
        <v>0.81299999999999994</v>
      </c>
      <c r="H903" s="18" t="s">
        <v>3679</v>
      </c>
      <c r="I903" s="26" t="s">
        <v>693</v>
      </c>
      <c r="J903" s="18" t="s">
        <v>26</v>
      </c>
      <c r="L903" s="9">
        <v>1995</v>
      </c>
      <c r="N903" s="30" t="s">
        <v>77</v>
      </c>
      <c r="O903" s="13" t="s">
        <v>28</v>
      </c>
      <c r="P903" s="13">
        <f t="shared" si="37"/>
        <v>23</v>
      </c>
      <c r="Q903" s="15">
        <f t="shared" si="38"/>
        <v>86.826086956521735</v>
      </c>
      <c r="R903" s="13" t="s">
        <v>2305</v>
      </c>
      <c r="S903" s="13" t="s">
        <v>947</v>
      </c>
      <c r="T903" s="13" t="s">
        <v>2308</v>
      </c>
      <c r="U903" s="13" t="s">
        <v>2309</v>
      </c>
      <c r="V903" s="13" t="s">
        <v>4246</v>
      </c>
      <c r="W903" s="13"/>
      <c r="X903" s="13" t="s">
        <v>4722</v>
      </c>
      <c r="Y903" s="13" t="s">
        <v>3980</v>
      </c>
      <c r="Z903" s="13" t="s">
        <v>3980</v>
      </c>
      <c r="AC903" s="18"/>
    </row>
    <row r="904" spans="1:29" x14ac:dyDescent="0.25">
      <c r="A904" s="28" t="s">
        <v>4875</v>
      </c>
      <c r="B904" s="30">
        <v>1994</v>
      </c>
      <c r="C904" s="13">
        <v>1735</v>
      </c>
      <c r="D904" s="14">
        <v>0.80900000000000005</v>
      </c>
      <c r="E904" s="14">
        <v>0.60299999999999998</v>
      </c>
      <c r="F904" s="13">
        <v>16</v>
      </c>
      <c r="G904" s="14">
        <v>0.74099999999999999</v>
      </c>
      <c r="I904" s="26" t="s">
        <v>693</v>
      </c>
      <c r="J904" t="s">
        <v>26</v>
      </c>
      <c r="L904" s="9">
        <v>1994</v>
      </c>
      <c r="N904" s="30" t="s">
        <v>119</v>
      </c>
      <c r="O904" s="13" t="s">
        <v>28</v>
      </c>
      <c r="P904" s="13">
        <f t="shared" si="37"/>
        <v>24</v>
      </c>
      <c r="Q904" s="15">
        <f t="shared" si="38"/>
        <v>72.291666666666671</v>
      </c>
      <c r="R904" s="13" t="s">
        <v>89</v>
      </c>
      <c r="S904" s="13" t="s">
        <v>62</v>
      </c>
      <c r="T904" s="13" t="s">
        <v>1791</v>
      </c>
      <c r="U904" s="13" t="s">
        <v>1792</v>
      </c>
      <c r="V904" s="13" t="s">
        <v>3980</v>
      </c>
      <c r="W904" s="13"/>
      <c r="X904" s="13" t="s">
        <v>4723</v>
      </c>
      <c r="Y904" s="13" t="s">
        <v>3980</v>
      </c>
      <c r="Z904" s="13" t="s">
        <v>3980</v>
      </c>
      <c r="AC904" s="18"/>
    </row>
    <row r="905" spans="1:29" x14ac:dyDescent="0.25">
      <c r="A905" s="18" t="s">
        <v>5045</v>
      </c>
      <c r="B905" s="30">
        <v>1996</v>
      </c>
      <c r="C905" s="13">
        <v>201</v>
      </c>
      <c r="D905" s="14">
        <v>0.38100000000000001</v>
      </c>
      <c r="E905" s="14">
        <v>0.186</v>
      </c>
      <c r="F905" s="13">
        <v>8</v>
      </c>
      <c r="G905" s="14">
        <v>0.434</v>
      </c>
      <c r="H905" s="18" t="s">
        <v>3680</v>
      </c>
      <c r="I905" s="26" t="s">
        <v>693</v>
      </c>
      <c r="J905" s="18" t="s">
        <v>26</v>
      </c>
      <c r="K905" s="4"/>
      <c r="L905" s="9">
        <v>1996</v>
      </c>
      <c r="N905" s="30" t="s">
        <v>157</v>
      </c>
      <c r="O905" s="13" t="s">
        <v>28</v>
      </c>
      <c r="P905" s="13">
        <f t="shared" si="37"/>
        <v>22</v>
      </c>
      <c r="Q905" s="15">
        <f t="shared" si="38"/>
        <v>9.1363636363636367</v>
      </c>
      <c r="R905" s="13" t="s">
        <v>2649</v>
      </c>
      <c r="S905" s="13" t="s">
        <v>669</v>
      </c>
      <c r="T905" s="13" t="s">
        <v>197</v>
      </c>
      <c r="U905" s="13"/>
      <c r="V905" s="13" t="s">
        <v>4247</v>
      </c>
      <c r="W905" s="13"/>
      <c r="X905" s="13" t="s">
        <v>3980</v>
      </c>
      <c r="Y905" s="13" t="s">
        <v>3980</v>
      </c>
      <c r="Z905" s="13" t="s">
        <v>3980</v>
      </c>
      <c r="AC905" s="18"/>
    </row>
    <row r="906" spans="1:29" x14ac:dyDescent="0.25">
      <c r="A906" s="18" t="s">
        <v>4884</v>
      </c>
      <c r="B906" s="30">
        <v>1984</v>
      </c>
      <c r="C906" s="13">
        <v>233</v>
      </c>
      <c r="D906" s="14">
        <v>0.40100000000000002</v>
      </c>
      <c r="E906" s="14">
        <v>0.20200000000000001</v>
      </c>
      <c r="F906" s="13">
        <v>9</v>
      </c>
      <c r="G906" s="14">
        <v>0.48799999999999999</v>
      </c>
      <c r="H906" s="18" t="s">
        <v>3667</v>
      </c>
      <c r="I906" s="26" t="s">
        <v>693</v>
      </c>
      <c r="J906" s="18" t="s">
        <v>26</v>
      </c>
      <c r="K906" s="4"/>
      <c r="L906" s="9">
        <v>1984</v>
      </c>
      <c r="N906" s="30" t="s">
        <v>88</v>
      </c>
      <c r="O906" s="13" t="s">
        <v>28</v>
      </c>
      <c r="P906" s="13">
        <f t="shared" si="37"/>
        <v>34</v>
      </c>
      <c r="Q906" s="15">
        <f t="shared" si="38"/>
        <v>6.8529411764705879</v>
      </c>
      <c r="R906" s="13" t="s">
        <v>173</v>
      </c>
      <c r="S906" s="13" t="s">
        <v>62</v>
      </c>
      <c r="T906" s="13" t="s">
        <v>572</v>
      </c>
      <c r="U906" s="13" t="s">
        <v>1825</v>
      </c>
      <c r="V906" s="13" t="s">
        <v>4248</v>
      </c>
      <c r="W906" s="13"/>
      <c r="X906" s="13" t="s">
        <v>4724</v>
      </c>
      <c r="Y906" s="13" t="s">
        <v>3980</v>
      </c>
      <c r="Z906" s="13" t="s">
        <v>3980</v>
      </c>
      <c r="AC906" s="18"/>
    </row>
    <row r="907" spans="1:29" x14ac:dyDescent="0.25">
      <c r="A907" s="18" t="s">
        <v>2602</v>
      </c>
      <c r="B907" s="30">
        <v>1991</v>
      </c>
      <c r="C907" s="13">
        <v>1125</v>
      </c>
      <c r="D907" s="14">
        <v>0.72399999999999998</v>
      </c>
      <c r="E907" s="14">
        <v>0.47799999999999998</v>
      </c>
      <c r="F907" s="13">
        <v>15</v>
      </c>
      <c r="G907" s="14">
        <v>0.71</v>
      </c>
      <c r="I907" s="26" t="s">
        <v>693</v>
      </c>
      <c r="J907" s="18" t="s">
        <v>26</v>
      </c>
      <c r="K907" s="4"/>
      <c r="L907" s="9">
        <v>1991</v>
      </c>
      <c r="N907" s="30" t="s">
        <v>140</v>
      </c>
      <c r="O907" s="13" t="s">
        <v>28</v>
      </c>
      <c r="P907" s="13">
        <f t="shared" si="37"/>
        <v>27</v>
      </c>
      <c r="Q907" s="15">
        <f t="shared" si="38"/>
        <v>41.666666666666664</v>
      </c>
      <c r="R907" s="13" t="s">
        <v>36</v>
      </c>
      <c r="S907" s="13"/>
      <c r="T907" s="13" t="s">
        <v>291</v>
      </c>
      <c r="U907" s="13" t="s">
        <v>2603</v>
      </c>
      <c r="V907" s="13" t="s">
        <v>4249</v>
      </c>
      <c r="W907" s="13"/>
      <c r="X907" s="13" t="s">
        <v>4725</v>
      </c>
      <c r="Y907" s="13" t="s">
        <v>3980</v>
      </c>
      <c r="Z907" s="13" t="s">
        <v>3980</v>
      </c>
      <c r="AC907" s="18"/>
    </row>
    <row r="908" spans="1:29" x14ac:dyDescent="0.25">
      <c r="A908" s="18" t="s">
        <v>5022</v>
      </c>
      <c r="B908" s="30">
        <v>2003</v>
      </c>
      <c r="C908" s="13">
        <v>235</v>
      </c>
      <c r="D908" s="14">
        <v>0.40500000000000003</v>
      </c>
      <c r="E908" s="14">
        <v>0.40400000000000003</v>
      </c>
      <c r="F908" s="13">
        <v>8</v>
      </c>
      <c r="G908" s="14">
        <v>0.434</v>
      </c>
      <c r="I908" s="26" t="s">
        <v>693</v>
      </c>
      <c r="J908" s="18" t="s">
        <v>54</v>
      </c>
      <c r="L908" s="9">
        <v>2003</v>
      </c>
      <c r="N908" s="30" t="s">
        <v>111</v>
      </c>
      <c r="O908" s="13" t="s">
        <v>42</v>
      </c>
      <c r="P908" s="13">
        <f t="shared" si="37"/>
        <v>15</v>
      </c>
      <c r="Q908" s="15">
        <f t="shared" si="38"/>
        <v>15.666666666666666</v>
      </c>
      <c r="R908" s="13" t="s">
        <v>238</v>
      </c>
      <c r="S908" s="13" t="s">
        <v>1619</v>
      </c>
      <c r="T908" s="13" t="s">
        <v>2493</v>
      </c>
      <c r="U908" s="13" t="s">
        <v>2494</v>
      </c>
      <c r="V908" s="13" t="s">
        <v>4250</v>
      </c>
      <c r="W908" s="13"/>
      <c r="X908" s="13" t="s">
        <v>3980</v>
      </c>
      <c r="Y908" s="13" t="s">
        <v>3980</v>
      </c>
      <c r="Z908" s="13" t="s">
        <v>3980</v>
      </c>
      <c r="AC908" s="18"/>
    </row>
    <row r="909" spans="1:29" x14ac:dyDescent="0.25">
      <c r="A909" s="18" t="s">
        <v>2917</v>
      </c>
      <c r="B909" s="30">
        <v>2003</v>
      </c>
      <c r="C909" s="13">
        <v>181</v>
      </c>
      <c r="D909" s="14">
        <v>0.36699999999999999</v>
      </c>
      <c r="E909" s="14">
        <v>0.35799999999999998</v>
      </c>
      <c r="F909" s="13">
        <v>6</v>
      </c>
      <c r="G909" s="14">
        <v>0.32200000000000001</v>
      </c>
      <c r="I909" s="26" t="s">
        <v>693</v>
      </c>
      <c r="J909" s="18" t="s">
        <v>54</v>
      </c>
      <c r="L909" s="9">
        <v>2003</v>
      </c>
      <c r="N909" s="30" t="s">
        <v>77</v>
      </c>
      <c r="O909" s="13" t="s">
        <v>42</v>
      </c>
      <c r="P909" s="13">
        <f t="shared" si="37"/>
        <v>15</v>
      </c>
      <c r="Q909" s="15">
        <f t="shared" si="38"/>
        <v>12.066666666666666</v>
      </c>
      <c r="R909" s="13" t="s">
        <v>2918</v>
      </c>
      <c r="S909" s="13"/>
      <c r="T909" s="13" t="s">
        <v>2919</v>
      </c>
      <c r="U909" s="13" t="s">
        <v>2920</v>
      </c>
      <c r="V909" s="13" t="s">
        <v>4251</v>
      </c>
      <c r="W909" s="13"/>
      <c r="X909" s="13" t="s">
        <v>4726</v>
      </c>
      <c r="Y909" s="13" t="s">
        <v>3980</v>
      </c>
      <c r="Z909" s="13" t="s">
        <v>3980</v>
      </c>
      <c r="AC909" s="18"/>
    </row>
    <row r="910" spans="1:29" x14ac:dyDescent="0.25">
      <c r="A910" s="18" t="s">
        <v>5138</v>
      </c>
      <c r="B910" s="30">
        <v>2014</v>
      </c>
      <c r="C910" s="13">
        <v>160</v>
      </c>
      <c r="D910" s="14">
        <v>0.34899999999999998</v>
      </c>
      <c r="E910" s="14">
        <v>0.64900000000000002</v>
      </c>
      <c r="F910" s="13">
        <v>7</v>
      </c>
      <c r="G910" s="14">
        <v>0.39300000000000002</v>
      </c>
      <c r="H910" s="18" t="s">
        <v>5139</v>
      </c>
      <c r="I910" s="26" t="s">
        <v>693</v>
      </c>
      <c r="J910" s="18" t="s">
        <v>105</v>
      </c>
      <c r="L910" s="9">
        <v>2014</v>
      </c>
      <c r="N910" s="30" t="s">
        <v>3080</v>
      </c>
      <c r="O910" s="13" t="s">
        <v>42</v>
      </c>
      <c r="P910" s="13">
        <f t="shared" si="37"/>
        <v>4</v>
      </c>
      <c r="Q910" s="15">
        <f t="shared" si="38"/>
        <v>40</v>
      </c>
      <c r="R910" s="13" t="s">
        <v>3029</v>
      </c>
      <c r="S910" s="13"/>
      <c r="T910" s="13" t="s">
        <v>3030</v>
      </c>
      <c r="U910" s="13"/>
      <c r="V910" s="13" t="s">
        <v>3980</v>
      </c>
      <c r="W910" s="13"/>
      <c r="X910" s="13" t="s">
        <v>3980</v>
      </c>
      <c r="Y910" s="13" t="s">
        <v>3980</v>
      </c>
      <c r="Z910" s="13" t="s">
        <v>3980</v>
      </c>
      <c r="AC910" s="18"/>
    </row>
    <row r="911" spans="1:29" x14ac:dyDescent="0.25">
      <c r="A911" s="26" t="s">
        <v>1466</v>
      </c>
      <c r="B911" s="30">
        <v>2011</v>
      </c>
      <c r="C911" s="13">
        <v>66</v>
      </c>
      <c r="D911" s="14">
        <v>0.20599999999999999</v>
      </c>
      <c r="E911" s="14">
        <v>0.16900000000000001</v>
      </c>
      <c r="F911" s="13">
        <v>3</v>
      </c>
      <c r="G911" s="14">
        <v>0.13100000000000001</v>
      </c>
      <c r="I911" s="26" t="s">
        <v>259</v>
      </c>
      <c r="J911" s="18" t="s">
        <v>54</v>
      </c>
      <c r="K911" s="4"/>
      <c r="L911" s="9">
        <f>B911</f>
        <v>2011</v>
      </c>
      <c r="N911" s="30" t="s">
        <v>858</v>
      </c>
      <c r="O911" s="13" t="s">
        <v>28</v>
      </c>
      <c r="P911" s="13">
        <f t="shared" si="37"/>
        <v>7</v>
      </c>
      <c r="Q911" s="15">
        <f t="shared" si="38"/>
        <v>9.4285714285714288</v>
      </c>
      <c r="R911" s="13" t="s">
        <v>702</v>
      </c>
      <c r="S911" s="13"/>
      <c r="T911" s="13" t="s">
        <v>1467</v>
      </c>
      <c r="U911" s="13"/>
      <c r="V911" s="13" t="s">
        <v>3980</v>
      </c>
      <c r="W911" s="13"/>
      <c r="X911" s="13" t="s">
        <v>3980</v>
      </c>
      <c r="Y911" s="13" t="s">
        <v>3980</v>
      </c>
      <c r="Z911" s="13" t="s">
        <v>3980</v>
      </c>
      <c r="AC911" s="18"/>
    </row>
    <row r="912" spans="1:29" x14ac:dyDescent="0.25">
      <c r="A912" s="18" t="s">
        <v>1480</v>
      </c>
      <c r="B912" s="30">
        <v>2001</v>
      </c>
      <c r="C912" s="13">
        <v>127</v>
      </c>
      <c r="D912" s="14">
        <v>0.30499999999999999</v>
      </c>
      <c r="E912" s="14">
        <v>0.28299999999999997</v>
      </c>
      <c r="F912" s="13">
        <v>5</v>
      </c>
      <c r="G912" s="14">
        <v>0.27400000000000002</v>
      </c>
      <c r="I912" s="26" t="s">
        <v>259</v>
      </c>
      <c r="J912" s="18" t="s">
        <v>54</v>
      </c>
      <c r="L912" s="9">
        <f>B912</f>
        <v>2001</v>
      </c>
      <c r="N912" s="30" t="s">
        <v>168</v>
      </c>
      <c r="O912" s="13" t="s">
        <v>42</v>
      </c>
      <c r="P912" s="13">
        <f t="shared" si="37"/>
        <v>17</v>
      </c>
      <c r="Q912" s="15">
        <f t="shared" si="38"/>
        <v>7.4705882352941178</v>
      </c>
      <c r="R912" s="13" t="s">
        <v>1481</v>
      </c>
      <c r="S912" s="13"/>
      <c r="T912" s="13" t="s">
        <v>1482</v>
      </c>
      <c r="U912" s="13"/>
      <c r="V912" s="13" t="s">
        <v>3980</v>
      </c>
      <c r="W912" s="13"/>
      <c r="X912" s="13" t="s">
        <v>3980</v>
      </c>
      <c r="Y912" s="13" t="s">
        <v>3980</v>
      </c>
      <c r="Z912" s="13" t="s">
        <v>3980</v>
      </c>
      <c r="AC912" s="18"/>
    </row>
    <row r="913" spans="1:29" x14ac:dyDescent="0.25">
      <c r="A913" s="18" t="s">
        <v>2554</v>
      </c>
      <c r="B913" s="30">
        <v>2012</v>
      </c>
      <c r="C913" s="13">
        <v>206</v>
      </c>
      <c r="D913" s="14">
        <v>0.38800000000000001</v>
      </c>
      <c r="E913" s="14">
        <v>0.69799999999999995</v>
      </c>
      <c r="F913" s="13">
        <v>6</v>
      </c>
      <c r="G913" s="14">
        <v>0.32200000000000001</v>
      </c>
      <c r="I913" s="26" t="s">
        <v>259</v>
      </c>
      <c r="J913" s="18" t="s">
        <v>105</v>
      </c>
      <c r="L913" s="9">
        <f>B913</f>
        <v>2012</v>
      </c>
      <c r="N913" s="30" t="s">
        <v>3143</v>
      </c>
      <c r="O913" s="13" t="s">
        <v>42</v>
      </c>
      <c r="P913" s="13">
        <f t="shared" si="37"/>
        <v>6</v>
      </c>
      <c r="Q913" s="15">
        <f t="shared" si="38"/>
        <v>34.333333333333336</v>
      </c>
      <c r="R913" s="13" t="s">
        <v>2555</v>
      </c>
      <c r="S913" s="13"/>
      <c r="T913" s="13" t="s">
        <v>2556</v>
      </c>
      <c r="U913" s="13"/>
      <c r="V913" s="13" t="s">
        <v>3980</v>
      </c>
      <c r="W913" s="13"/>
      <c r="X913" s="13" t="s">
        <v>3980</v>
      </c>
      <c r="Y913" s="13" t="s">
        <v>3980</v>
      </c>
      <c r="Z913" s="13" t="s">
        <v>3980</v>
      </c>
      <c r="AC913" s="18"/>
    </row>
    <row r="914" spans="1:29" x14ac:dyDescent="0.25">
      <c r="A914" s="18" t="s">
        <v>1446</v>
      </c>
      <c r="B914" s="30">
        <v>2008</v>
      </c>
      <c r="C914" s="13">
        <v>348</v>
      </c>
      <c r="D914" s="14">
        <v>0.47299999999999998</v>
      </c>
      <c r="E914" s="14">
        <v>0.78900000000000003</v>
      </c>
      <c r="F914" s="13">
        <v>8</v>
      </c>
      <c r="G914" s="14">
        <v>0.434</v>
      </c>
      <c r="H914" s="18" t="s">
        <v>3530</v>
      </c>
      <c r="I914" s="26" t="s">
        <v>259</v>
      </c>
      <c r="J914" s="18" t="s">
        <v>105</v>
      </c>
      <c r="L914" s="9">
        <f>B914</f>
        <v>2008</v>
      </c>
      <c r="N914" s="30" t="s">
        <v>858</v>
      </c>
      <c r="O914" s="13" t="s">
        <v>42</v>
      </c>
      <c r="P914" s="13">
        <f t="shared" si="37"/>
        <v>10</v>
      </c>
      <c r="Q914" s="15">
        <f t="shared" si="38"/>
        <v>34.799999999999997</v>
      </c>
      <c r="R914" s="13" t="s">
        <v>1447</v>
      </c>
      <c r="S914" s="13"/>
      <c r="T914" s="13" t="s">
        <v>1448</v>
      </c>
      <c r="U914" s="13"/>
      <c r="V914" s="13" t="s">
        <v>3980</v>
      </c>
      <c r="W914" s="13"/>
      <c r="X914" s="13" t="s">
        <v>3980</v>
      </c>
      <c r="Y914" s="13" t="s">
        <v>3980</v>
      </c>
      <c r="Z914" s="13" t="s">
        <v>3980</v>
      </c>
      <c r="AC914" s="18"/>
    </row>
    <row r="915" spans="1:29" x14ac:dyDescent="0.25">
      <c r="A915" s="18" t="s">
        <v>1405</v>
      </c>
      <c r="B915" s="30">
        <v>2004</v>
      </c>
      <c r="C915" s="13">
        <v>1051</v>
      </c>
      <c r="D915" s="14">
        <v>0.70799999999999996</v>
      </c>
      <c r="E915" s="14">
        <v>0.80500000000000005</v>
      </c>
      <c r="F915" s="13">
        <v>18</v>
      </c>
      <c r="G915" s="14">
        <v>0.78700000000000003</v>
      </c>
      <c r="H915" s="18" t="s">
        <v>3519</v>
      </c>
      <c r="I915" s="26" t="s">
        <v>259</v>
      </c>
      <c r="J915" s="18" t="s">
        <v>54</v>
      </c>
      <c r="L915" s="9">
        <f>B915</f>
        <v>2004</v>
      </c>
      <c r="N915" s="30" t="s">
        <v>67</v>
      </c>
      <c r="O915" s="13" t="s">
        <v>42</v>
      </c>
      <c r="P915" s="13">
        <f t="shared" si="37"/>
        <v>14</v>
      </c>
      <c r="Q915" s="15">
        <f t="shared" si="38"/>
        <v>75.071428571428569</v>
      </c>
      <c r="R915" s="13" t="s">
        <v>1406</v>
      </c>
      <c r="S915" s="13"/>
      <c r="T915" s="13" t="s">
        <v>1407</v>
      </c>
      <c r="U915" s="13"/>
      <c r="V915" s="13" t="s">
        <v>3980</v>
      </c>
      <c r="W915" s="13"/>
      <c r="X915" s="13" t="s">
        <v>3980</v>
      </c>
      <c r="Y915" s="13" t="s">
        <v>3980</v>
      </c>
      <c r="Z915" s="13" t="s">
        <v>3980</v>
      </c>
      <c r="AC915" s="18"/>
    </row>
    <row r="916" spans="1:29" x14ac:dyDescent="0.25">
      <c r="A916" s="28" t="s">
        <v>1506</v>
      </c>
      <c r="B916" s="30">
        <v>1990</v>
      </c>
      <c r="C916" s="13">
        <v>991</v>
      </c>
      <c r="D916" s="14">
        <v>0.69899999999999995</v>
      </c>
      <c r="E916" s="14">
        <v>0.45100000000000001</v>
      </c>
      <c r="F916" s="13">
        <v>15</v>
      </c>
      <c r="G916" s="14">
        <v>0.71</v>
      </c>
      <c r="I916" s="26" t="s">
        <v>259</v>
      </c>
      <c r="J916" s="18" t="s">
        <v>26</v>
      </c>
      <c r="L916" s="9">
        <v>1990</v>
      </c>
      <c r="M916" s="11"/>
      <c r="N916" s="30" t="s">
        <v>34</v>
      </c>
      <c r="O916" s="13" t="s">
        <v>42</v>
      </c>
      <c r="P916" s="13">
        <f t="shared" si="37"/>
        <v>28</v>
      </c>
      <c r="Q916" s="15">
        <f t="shared" si="38"/>
        <v>35.392857142857146</v>
      </c>
      <c r="R916" s="13" t="s">
        <v>1507</v>
      </c>
      <c r="S916" s="13"/>
      <c r="T916" s="13" t="s">
        <v>1508</v>
      </c>
      <c r="U916" s="13" t="s">
        <v>1509</v>
      </c>
      <c r="V916" s="13" t="s">
        <v>4252</v>
      </c>
      <c r="W916" s="13"/>
      <c r="X916" s="13" t="s">
        <v>3980</v>
      </c>
      <c r="Y916" s="13" t="s">
        <v>3980</v>
      </c>
      <c r="Z916" s="13" t="s">
        <v>3980</v>
      </c>
      <c r="AC916" s="18"/>
    </row>
    <row r="917" spans="1:29" x14ac:dyDescent="0.25">
      <c r="A917" s="18" t="s">
        <v>2225</v>
      </c>
      <c r="B917" s="30">
        <v>1987</v>
      </c>
      <c r="C917" s="13">
        <v>1333</v>
      </c>
      <c r="D917" s="14">
        <v>0.75600000000000001</v>
      </c>
      <c r="E917" s="14">
        <v>0.51700000000000002</v>
      </c>
      <c r="F917" s="13">
        <v>23</v>
      </c>
      <c r="G917" s="14">
        <v>0.874</v>
      </c>
      <c r="I917" s="26" t="s">
        <v>259</v>
      </c>
      <c r="J917" s="18" t="s">
        <v>26</v>
      </c>
      <c r="L917" s="9">
        <f>B917</f>
        <v>1987</v>
      </c>
      <c r="N917" s="30" t="s">
        <v>277</v>
      </c>
      <c r="O917" s="13" t="s">
        <v>28</v>
      </c>
      <c r="P917" s="13">
        <f t="shared" si="37"/>
        <v>31</v>
      </c>
      <c r="Q917" s="15">
        <f t="shared" si="38"/>
        <v>43</v>
      </c>
      <c r="R917" s="13" t="s">
        <v>1441</v>
      </c>
      <c r="S917" s="13"/>
      <c r="T917" s="13" t="s">
        <v>2226</v>
      </c>
      <c r="U917" s="13"/>
      <c r="V917" s="13" t="s">
        <v>3980</v>
      </c>
      <c r="W917" s="13"/>
      <c r="X917" s="13" t="s">
        <v>3980</v>
      </c>
      <c r="Y917" s="13" t="s">
        <v>3980</v>
      </c>
      <c r="Z917" s="13" t="s">
        <v>3980</v>
      </c>
      <c r="AC917" s="18"/>
    </row>
    <row r="918" spans="1:29" x14ac:dyDescent="0.25">
      <c r="A918" s="18" t="s">
        <v>2753</v>
      </c>
      <c r="B918" s="30">
        <v>1995</v>
      </c>
      <c r="C918" s="13">
        <v>79</v>
      </c>
      <c r="D918" s="14">
        <v>0.22800000000000001</v>
      </c>
      <c r="E918" s="14">
        <v>0.191</v>
      </c>
      <c r="F918" s="13">
        <v>4</v>
      </c>
      <c r="G918" s="14">
        <v>0.19600000000000001</v>
      </c>
      <c r="I918" s="26" t="s">
        <v>259</v>
      </c>
      <c r="J918" s="18" t="s">
        <v>54</v>
      </c>
      <c r="K918" s="4"/>
      <c r="L918" s="9">
        <f>B918</f>
        <v>1995</v>
      </c>
      <c r="N918" s="30" t="s">
        <v>1323</v>
      </c>
      <c r="O918" s="13" t="s">
        <v>28</v>
      </c>
      <c r="P918" s="13">
        <f t="shared" si="37"/>
        <v>23</v>
      </c>
      <c r="Q918" s="15">
        <f t="shared" si="38"/>
        <v>3.4347826086956523</v>
      </c>
      <c r="R918" s="13" t="s">
        <v>130</v>
      </c>
      <c r="S918" s="13"/>
      <c r="T918" s="13" t="s">
        <v>2754</v>
      </c>
      <c r="U918" s="13"/>
      <c r="V918" s="13" t="s">
        <v>3980</v>
      </c>
      <c r="W918" s="13"/>
      <c r="X918" s="13" t="s">
        <v>3980</v>
      </c>
      <c r="Y918" s="13" t="s">
        <v>3980</v>
      </c>
      <c r="Z918" s="13" t="s">
        <v>3980</v>
      </c>
      <c r="AC918" s="18"/>
    </row>
    <row r="919" spans="1:29" x14ac:dyDescent="0.25">
      <c r="A919" s="18" t="s">
        <v>1494</v>
      </c>
      <c r="B919" s="30">
        <v>2017</v>
      </c>
      <c r="C919" s="13">
        <v>1</v>
      </c>
      <c r="D919" s="14">
        <v>0</v>
      </c>
      <c r="E919" s="14">
        <v>0</v>
      </c>
      <c r="F919" s="13">
        <v>1</v>
      </c>
      <c r="G919" s="14">
        <v>0</v>
      </c>
      <c r="I919" s="26" t="s">
        <v>259</v>
      </c>
      <c r="J919" s="18" t="s">
        <v>105</v>
      </c>
      <c r="K919" s="4"/>
      <c r="L919" s="9">
        <f>B919</f>
        <v>2017</v>
      </c>
      <c r="N919" s="30" t="s">
        <v>858</v>
      </c>
      <c r="O919" s="13" t="s">
        <v>42</v>
      </c>
      <c r="P919" s="13">
        <f t="shared" si="37"/>
        <v>1</v>
      </c>
      <c r="Q919" s="15">
        <f t="shared" si="38"/>
        <v>1</v>
      </c>
      <c r="R919" s="13" t="s">
        <v>1495</v>
      </c>
      <c r="S919" s="13"/>
      <c r="T919" s="13" t="s">
        <v>1496</v>
      </c>
      <c r="U919" s="13"/>
      <c r="V919" s="13" t="s">
        <v>3980</v>
      </c>
      <c r="W919" s="13"/>
      <c r="X919" s="13" t="s">
        <v>3980</v>
      </c>
      <c r="Y919" s="13" t="s">
        <v>3980</v>
      </c>
      <c r="Z919" s="13" t="s">
        <v>3980</v>
      </c>
      <c r="AC919" s="18"/>
    </row>
    <row r="920" spans="1:29" x14ac:dyDescent="0.25">
      <c r="A920" s="18" t="s">
        <v>1219</v>
      </c>
      <c r="B920" s="30">
        <v>1998</v>
      </c>
      <c r="C920" s="13">
        <v>1038</v>
      </c>
      <c r="D920" s="14">
        <v>0.70699999999999996</v>
      </c>
      <c r="E920" s="14">
        <v>0.80200000000000005</v>
      </c>
      <c r="F920" s="13">
        <v>15</v>
      </c>
      <c r="G920" s="14">
        <v>0.71</v>
      </c>
      <c r="H920" s="18" t="s">
        <v>3463</v>
      </c>
      <c r="I920" s="26" t="s">
        <v>259</v>
      </c>
      <c r="J920" s="18" t="s">
        <v>54</v>
      </c>
      <c r="L920" s="9">
        <v>1998</v>
      </c>
      <c r="N920" s="30" t="s">
        <v>152</v>
      </c>
      <c r="O920" s="13" t="s">
        <v>28</v>
      </c>
      <c r="P920" s="13">
        <f t="shared" si="37"/>
        <v>20</v>
      </c>
      <c r="Q920" s="15">
        <f t="shared" si="38"/>
        <v>51.9</v>
      </c>
      <c r="R920" s="13" t="s">
        <v>1220</v>
      </c>
      <c r="S920" s="13"/>
      <c r="T920" s="13" t="s">
        <v>1221</v>
      </c>
      <c r="U920" s="13" t="s">
        <v>1222</v>
      </c>
      <c r="V920" s="13" t="s">
        <v>4253</v>
      </c>
      <c r="W920" s="13"/>
      <c r="X920" s="13" t="s">
        <v>4727</v>
      </c>
      <c r="Y920" s="13" t="s">
        <v>3980</v>
      </c>
      <c r="Z920" s="13" t="s">
        <v>3980</v>
      </c>
      <c r="AC920" s="18"/>
    </row>
    <row r="921" spans="1:29" x14ac:dyDescent="0.25">
      <c r="A921" s="18" t="s">
        <v>1384</v>
      </c>
      <c r="B921" s="30">
        <v>2000</v>
      </c>
      <c r="C921" s="13">
        <v>3478</v>
      </c>
      <c r="D921" s="14">
        <v>0.91500000000000004</v>
      </c>
      <c r="E921" s="14">
        <v>0.80600000000000005</v>
      </c>
      <c r="F921" s="13">
        <v>18</v>
      </c>
      <c r="G921" s="14">
        <v>0.78700000000000003</v>
      </c>
      <c r="H921" s="18" t="s">
        <v>3511</v>
      </c>
      <c r="I921" s="26" t="s">
        <v>259</v>
      </c>
      <c r="J921" s="18" t="s">
        <v>26</v>
      </c>
      <c r="K921" s="4"/>
      <c r="L921" s="9">
        <f>B921</f>
        <v>2000</v>
      </c>
      <c r="M921" s="11"/>
      <c r="N921" s="30" t="s">
        <v>67</v>
      </c>
      <c r="O921" s="13" t="s">
        <v>28</v>
      </c>
      <c r="P921" s="13">
        <f t="shared" si="37"/>
        <v>18</v>
      </c>
      <c r="Q921" s="15">
        <f t="shared" si="38"/>
        <v>193.22222222222223</v>
      </c>
      <c r="R921" s="13" t="s">
        <v>433</v>
      </c>
      <c r="S921" s="13"/>
      <c r="T921" s="13" t="s">
        <v>1385</v>
      </c>
      <c r="U921" s="13"/>
      <c r="V921" s="13" t="s">
        <v>3980</v>
      </c>
      <c r="W921" s="13"/>
      <c r="X921" s="13" t="s">
        <v>3980</v>
      </c>
      <c r="Y921" s="13" t="s">
        <v>3980</v>
      </c>
      <c r="Z921" s="13" t="s">
        <v>3980</v>
      </c>
      <c r="AC921" s="18"/>
    </row>
    <row r="922" spans="1:29" x14ac:dyDescent="0.25">
      <c r="A922" s="18" t="s">
        <v>258</v>
      </c>
      <c r="B922" s="30">
        <v>2001</v>
      </c>
      <c r="C922" s="13">
        <v>2276</v>
      </c>
      <c r="D922" s="14">
        <v>0.85699999999999998</v>
      </c>
      <c r="E922" s="14">
        <v>0.95399999999999996</v>
      </c>
      <c r="F922" s="13">
        <v>16</v>
      </c>
      <c r="G922" s="14">
        <v>0.74099999999999999</v>
      </c>
      <c r="H922" s="18" t="s">
        <v>3206</v>
      </c>
      <c r="I922" s="26" t="s">
        <v>259</v>
      </c>
      <c r="J922" s="18" t="s">
        <v>54</v>
      </c>
      <c r="K922" s="4"/>
      <c r="L922" s="9">
        <v>2001</v>
      </c>
      <c r="M922" s="11"/>
      <c r="N922" s="30" t="s">
        <v>168</v>
      </c>
      <c r="O922" s="13" t="s">
        <v>28</v>
      </c>
      <c r="P922" s="13">
        <f t="shared" si="37"/>
        <v>17</v>
      </c>
      <c r="Q922" s="15">
        <f t="shared" si="38"/>
        <v>133.88235294117646</v>
      </c>
      <c r="R922" s="13" t="s">
        <v>260</v>
      </c>
      <c r="S922" s="13"/>
      <c r="T922" s="13" t="s">
        <v>91</v>
      </c>
      <c r="U922" s="13" t="s">
        <v>261</v>
      </c>
      <c r="V922" s="13" t="s">
        <v>4254</v>
      </c>
      <c r="W922" s="13"/>
      <c r="X922" s="13" t="s">
        <v>4728</v>
      </c>
      <c r="Y922" s="13" t="s">
        <v>3980</v>
      </c>
      <c r="Z922" s="13" t="s">
        <v>3980</v>
      </c>
      <c r="AC922" s="18"/>
    </row>
    <row r="923" spans="1:29" x14ac:dyDescent="0.25">
      <c r="A923" s="18" t="s">
        <v>2711</v>
      </c>
      <c r="B923" s="30">
        <v>2011</v>
      </c>
      <c r="C923" s="13">
        <v>4</v>
      </c>
      <c r="D923" s="14">
        <v>3.9E-2</v>
      </c>
      <c r="E923" s="14">
        <v>0.08</v>
      </c>
      <c r="F923" s="13">
        <v>2</v>
      </c>
      <c r="G923" s="14">
        <v>7.0999999999999994E-2</v>
      </c>
      <c r="I923" s="26" t="s">
        <v>259</v>
      </c>
      <c r="J923" s="18" t="s">
        <v>105</v>
      </c>
      <c r="L923" s="9">
        <f>B923</f>
        <v>2011</v>
      </c>
      <c r="N923" s="30" t="s">
        <v>119</v>
      </c>
      <c r="O923" s="13" t="s">
        <v>42</v>
      </c>
      <c r="P923" s="13">
        <f t="shared" si="37"/>
        <v>7</v>
      </c>
      <c r="Q923" s="15">
        <f t="shared" si="38"/>
        <v>0.5714285714285714</v>
      </c>
      <c r="R923" s="13" t="s">
        <v>2712</v>
      </c>
      <c r="S923" s="13"/>
      <c r="T923" s="13" t="s">
        <v>2713</v>
      </c>
      <c r="U923" s="13"/>
      <c r="V923" s="13" t="s">
        <v>3980</v>
      </c>
      <c r="W923" s="13"/>
      <c r="X923" s="13" t="s">
        <v>3980</v>
      </c>
      <c r="Y923" s="13" t="s">
        <v>3980</v>
      </c>
      <c r="Z923" s="13" t="s">
        <v>3980</v>
      </c>
      <c r="AC923" s="18"/>
    </row>
    <row r="924" spans="1:29" x14ac:dyDescent="0.25">
      <c r="A924" s="18" t="s">
        <v>4981</v>
      </c>
      <c r="B924" s="30">
        <v>1999</v>
      </c>
      <c r="C924" s="13">
        <v>1416</v>
      </c>
      <c r="D924" s="14">
        <v>0.77300000000000002</v>
      </c>
      <c r="E924" s="14">
        <v>0.54800000000000004</v>
      </c>
      <c r="F924" s="13">
        <v>19</v>
      </c>
      <c r="G924" s="14">
        <v>0.81299999999999994</v>
      </c>
      <c r="I924" s="26" t="s">
        <v>259</v>
      </c>
      <c r="J924" s="18" t="s">
        <v>26</v>
      </c>
      <c r="L924" s="9">
        <v>1999</v>
      </c>
      <c r="N924" s="30" t="s">
        <v>152</v>
      </c>
      <c r="O924" s="13" t="s">
        <v>42</v>
      </c>
      <c r="P924" s="13">
        <f t="shared" si="37"/>
        <v>19</v>
      </c>
      <c r="Q924" s="15">
        <f t="shared" si="38"/>
        <v>74.526315789473685</v>
      </c>
      <c r="R924" s="13" t="s">
        <v>2274</v>
      </c>
      <c r="S924" s="13" t="s">
        <v>2275</v>
      </c>
      <c r="T924" s="13" t="s">
        <v>2276</v>
      </c>
      <c r="U924" s="13"/>
      <c r="V924" s="13" t="s">
        <v>3980</v>
      </c>
      <c r="W924" s="13"/>
      <c r="X924" s="13" t="s">
        <v>3980</v>
      </c>
      <c r="Y924" s="13" t="s">
        <v>3980</v>
      </c>
      <c r="Z924" s="13" t="s">
        <v>3980</v>
      </c>
      <c r="AC924" s="18"/>
    </row>
    <row r="925" spans="1:29" x14ac:dyDescent="0.25">
      <c r="A925" s="18" t="s">
        <v>1042</v>
      </c>
      <c r="B925" s="30">
        <v>1991</v>
      </c>
      <c r="C925" s="13">
        <v>1850</v>
      </c>
      <c r="D925" s="14">
        <v>0.81599999999999995</v>
      </c>
      <c r="E925" s="14">
        <v>0.61499999999999999</v>
      </c>
      <c r="F925" s="13">
        <v>17</v>
      </c>
      <c r="G925" s="14">
        <v>0.76400000000000001</v>
      </c>
      <c r="H925" s="18" t="s">
        <v>3413</v>
      </c>
      <c r="I925" s="26" t="s">
        <v>259</v>
      </c>
      <c r="J925" s="18" t="s">
        <v>26</v>
      </c>
      <c r="K925" s="4"/>
      <c r="L925" s="9">
        <v>1991</v>
      </c>
      <c r="N925" s="30" t="s">
        <v>88</v>
      </c>
      <c r="O925" s="13" t="s">
        <v>42</v>
      </c>
      <c r="P925" s="13">
        <f t="shared" si="37"/>
        <v>27</v>
      </c>
      <c r="Q925" s="15">
        <f t="shared" si="38"/>
        <v>68.518518518518519</v>
      </c>
      <c r="R925" s="13" t="s">
        <v>1043</v>
      </c>
      <c r="S925" s="13"/>
      <c r="T925" s="13" t="s">
        <v>1044</v>
      </c>
      <c r="U925" s="13" t="s">
        <v>1045</v>
      </c>
      <c r="V925" s="13" t="s">
        <v>4255</v>
      </c>
      <c r="W925" s="13"/>
      <c r="X925" s="13" t="s">
        <v>4729</v>
      </c>
      <c r="Y925" s="13" t="s">
        <v>3980</v>
      </c>
      <c r="Z925" s="13" t="s">
        <v>3980</v>
      </c>
      <c r="AC925" s="18"/>
    </row>
    <row r="926" spans="1:29" x14ac:dyDescent="0.25">
      <c r="A926" s="18" t="s">
        <v>2506</v>
      </c>
      <c r="B926" s="30">
        <v>2006</v>
      </c>
      <c r="C926" s="13">
        <v>907</v>
      </c>
      <c r="D926" s="14">
        <v>0.68500000000000005</v>
      </c>
      <c r="E926" s="14">
        <v>0.78500000000000003</v>
      </c>
      <c r="F926" s="13">
        <v>17</v>
      </c>
      <c r="G926" s="14">
        <v>0.76400000000000001</v>
      </c>
      <c r="I926" s="26" t="s">
        <v>259</v>
      </c>
      <c r="J926" s="18" t="s">
        <v>54</v>
      </c>
      <c r="L926" s="9">
        <v>2006</v>
      </c>
      <c r="N926" s="30" t="s">
        <v>277</v>
      </c>
      <c r="O926" s="13" t="s">
        <v>28</v>
      </c>
      <c r="P926" s="13">
        <f t="shared" si="37"/>
        <v>12</v>
      </c>
      <c r="Q926" s="15">
        <f t="shared" si="38"/>
        <v>75.583333333333329</v>
      </c>
      <c r="R926" s="13" t="s">
        <v>2507</v>
      </c>
      <c r="S926" s="13"/>
      <c r="T926" s="13" t="s">
        <v>2508</v>
      </c>
      <c r="U926" s="13" t="s">
        <v>2509</v>
      </c>
      <c r="V926" s="13" t="s">
        <v>3980</v>
      </c>
      <c r="W926" s="13"/>
      <c r="X926" s="13" t="s">
        <v>3980</v>
      </c>
      <c r="Y926" s="13" t="s">
        <v>3980</v>
      </c>
      <c r="Z926" s="13" t="s">
        <v>3980</v>
      </c>
      <c r="AC926" s="18"/>
    </row>
    <row r="927" spans="1:29" x14ac:dyDescent="0.25">
      <c r="A927" s="18" t="s">
        <v>1138</v>
      </c>
      <c r="B927" s="30">
        <v>1998</v>
      </c>
      <c r="C927" s="13">
        <v>1705</v>
      </c>
      <c r="D927" s="14">
        <v>0.80500000000000005</v>
      </c>
      <c r="E927" s="14">
        <v>0.59899999999999998</v>
      </c>
      <c r="F927" s="13">
        <v>20</v>
      </c>
      <c r="G927" s="14">
        <v>0.82599999999999996</v>
      </c>
      <c r="H927" s="18" t="s">
        <v>3440</v>
      </c>
      <c r="I927" s="26" t="s">
        <v>259</v>
      </c>
      <c r="J927" s="18" t="s">
        <v>26</v>
      </c>
      <c r="K927" s="4"/>
      <c r="L927" s="9">
        <f>B927</f>
        <v>1998</v>
      </c>
      <c r="M927" s="11"/>
      <c r="N927" s="30" t="s">
        <v>3096</v>
      </c>
      <c r="O927" s="13" t="s">
        <v>28</v>
      </c>
      <c r="P927" s="13">
        <f t="shared" si="37"/>
        <v>20</v>
      </c>
      <c r="Q927" s="15">
        <f t="shared" si="38"/>
        <v>85.25</v>
      </c>
      <c r="R927" s="13" t="s">
        <v>1139</v>
      </c>
      <c r="S927" s="13"/>
      <c r="T927" s="13" t="s">
        <v>1140</v>
      </c>
      <c r="U927" s="13"/>
      <c r="V927" s="13" t="s">
        <v>3980</v>
      </c>
      <c r="W927" s="13"/>
      <c r="X927" s="13" t="s">
        <v>3980</v>
      </c>
      <c r="Y927" s="13" t="s">
        <v>3980</v>
      </c>
      <c r="Z927" s="13" t="s">
        <v>3980</v>
      </c>
      <c r="AC927" s="18"/>
    </row>
    <row r="928" spans="1:29" x14ac:dyDescent="0.25">
      <c r="A928" s="18" t="s">
        <v>1477</v>
      </c>
      <c r="B928" s="30">
        <v>2004</v>
      </c>
      <c r="C928" s="13">
        <v>1977</v>
      </c>
      <c r="D928" s="14">
        <v>0.82699999999999996</v>
      </c>
      <c r="E928" s="14">
        <v>0.93899999999999995</v>
      </c>
      <c r="F928" s="13">
        <v>24</v>
      </c>
      <c r="G928" s="14">
        <v>0.88300000000000001</v>
      </c>
      <c r="I928" s="26" t="s">
        <v>259</v>
      </c>
      <c r="J928" s="18" t="s">
        <v>54</v>
      </c>
      <c r="K928" s="4"/>
      <c r="L928" s="9">
        <f>B928</f>
        <v>2004</v>
      </c>
      <c r="N928" s="30" t="s">
        <v>259</v>
      </c>
      <c r="O928" s="13" t="s">
        <v>28</v>
      </c>
      <c r="P928" s="13">
        <f t="shared" si="37"/>
        <v>14</v>
      </c>
      <c r="Q928" s="15">
        <f t="shared" si="38"/>
        <v>141.21428571428572</v>
      </c>
      <c r="R928" s="13" t="s">
        <v>297</v>
      </c>
      <c r="S928" s="13"/>
      <c r="T928" s="13" t="s">
        <v>1478</v>
      </c>
      <c r="U928" s="13"/>
      <c r="V928" s="13" t="s">
        <v>3980</v>
      </c>
      <c r="W928" s="13"/>
      <c r="X928" s="13" t="s">
        <v>3980</v>
      </c>
      <c r="Y928" s="13" t="s">
        <v>3980</v>
      </c>
      <c r="Z928" s="13" t="s">
        <v>3980</v>
      </c>
      <c r="AC928" s="18"/>
    </row>
    <row r="929" spans="1:29" x14ac:dyDescent="0.25">
      <c r="A929" s="18" t="s">
        <v>1150</v>
      </c>
      <c r="B929" s="30">
        <v>2007</v>
      </c>
      <c r="C929" s="13">
        <v>502</v>
      </c>
      <c r="D929" s="14">
        <v>0.55500000000000005</v>
      </c>
      <c r="E929" s="14">
        <v>0.87</v>
      </c>
      <c r="F929" s="13">
        <v>11</v>
      </c>
      <c r="G929" s="14">
        <v>0.56000000000000005</v>
      </c>
      <c r="H929" s="18" t="s">
        <v>3443</v>
      </c>
      <c r="I929" s="26" t="s">
        <v>259</v>
      </c>
      <c r="J929" s="18" t="s">
        <v>105</v>
      </c>
      <c r="L929" s="9">
        <f>B929</f>
        <v>2007</v>
      </c>
      <c r="N929" s="30" t="s">
        <v>119</v>
      </c>
      <c r="O929" s="13" t="s">
        <v>28</v>
      </c>
      <c r="P929" s="13">
        <f t="shared" si="37"/>
        <v>11</v>
      </c>
      <c r="Q929" s="15">
        <f t="shared" si="38"/>
        <v>45.636363636363633</v>
      </c>
      <c r="R929" s="13" t="s">
        <v>1151</v>
      </c>
      <c r="S929" s="13"/>
      <c r="T929" s="13" t="s">
        <v>1152</v>
      </c>
      <c r="U929" s="13"/>
      <c r="V929" s="13" t="s">
        <v>3980</v>
      </c>
      <c r="W929" s="13"/>
      <c r="X929" s="13" t="s">
        <v>3980</v>
      </c>
      <c r="Y929" s="13" t="s">
        <v>3980</v>
      </c>
      <c r="Z929" s="13" t="s">
        <v>3980</v>
      </c>
      <c r="AC929" s="18"/>
    </row>
    <row r="930" spans="1:29" x14ac:dyDescent="0.25">
      <c r="A930" s="18" t="s">
        <v>854</v>
      </c>
      <c r="B930" s="30">
        <v>1987</v>
      </c>
      <c r="C930" s="13">
        <v>1503</v>
      </c>
      <c r="D930" s="14">
        <v>0.78700000000000003</v>
      </c>
      <c r="E930" s="14">
        <v>0.89300000000000002</v>
      </c>
      <c r="F930" s="13">
        <v>15</v>
      </c>
      <c r="G930" s="14">
        <v>0.71</v>
      </c>
      <c r="H930" s="18" t="s">
        <v>3356</v>
      </c>
      <c r="I930" s="26" t="s">
        <v>290</v>
      </c>
      <c r="J930" s="18" t="s">
        <v>54</v>
      </c>
      <c r="L930" s="9">
        <v>1987</v>
      </c>
      <c r="N930" s="30" t="s">
        <v>60</v>
      </c>
      <c r="O930" s="13" t="s">
        <v>28</v>
      </c>
      <c r="P930" s="13">
        <f t="shared" si="37"/>
        <v>31</v>
      </c>
      <c r="Q930" s="15">
        <f t="shared" si="38"/>
        <v>48.483870967741936</v>
      </c>
      <c r="R930" s="13" t="s">
        <v>855</v>
      </c>
      <c r="S930" s="13"/>
      <c r="T930" s="13" t="s">
        <v>856</v>
      </c>
      <c r="U930" s="13" t="s">
        <v>857</v>
      </c>
      <c r="V930" s="13" t="s">
        <v>3980</v>
      </c>
      <c r="W930" s="13"/>
      <c r="X930" s="13" t="s">
        <v>4730</v>
      </c>
      <c r="Y930" s="13" t="s">
        <v>3980</v>
      </c>
      <c r="Z930" s="13" t="s">
        <v>3980</v>
      </c>
      <c r="AC930" s="18"/>
    </row>
    <row r="931" spans="1:29" x14ac:dyDescent="0.25">
      <c r="A931" s="18" t="s">
        <v>551</v>
      </c>
      <c r="B931" s="30">
        <v>2010</v>
      </c>
      <c r="C931" s="13">
        <v>70</v>
      </c>
      <c r="D931" s="14">
        <v>0.21299999999999999</v>
      </c>
      <c r="E931" s="14">
        <v>0.41</v>
      </c>
      <c r="F931" s="13">
        <v>5</v>
      </c>
      <c r="G931" s="14">
        <v>0.27400000000000002</v>
      </c>
      <c r="H931" s="18" t="s">
        <v>3277</v>
      </c>
      <c r="I931" s="26" t="s">
        <v>290</v>
      </c>
      <c r="J931" s="18" t="s">
        <v>105</v>
      </c>
      <c r="K931" s="4"/>
      <c r="L931" s="9">
        <v>2010</v>
      </c>
      <c r="N931" s="30" t="s">
        <v>40</v>
      </c>
      <c r="O931" s="13" t="s">
        <v>28</v>
      </c>
      <c r="P931" s="13">
        <f t="shared" si="37"/>
        <v>8</v>
      </c>
      <c r="Q931" s="15">
        <f t="shared" si="38"/>
        <v>8.75</v>
      </c>
      <c r="R931" s="13" t="s">
        <v>552</v>
      </c>
      <c r="S931" s="13"/>
      <c r="T931" s="13" t="s">
        <v>553</v>
      </c>
      <c r="U931" s="13" t="s">
        <v>554</v>
      </c>
      <c r="V931" s="13" t="s">
        <v>3980</v>
      </c>
      <c r="W931" s="13"/>
      <c r="X931" s="13" t="s">
        <v>3980</v>
      </c>
      <c r="Y931" s="13" t="s">
        <v>3980</v>
      </c>
      <c r="Z931" s="13" t="s">
        <v>3980</v>
      </c>
      <c r="AC931" s="18"/>
    </row>
    <row r="932" spans="1:29" x14ac:dyDescent="0.25">
      <c r="A932" s="18" t="s">
        <v>289</v>
      </c>
      <c r="B932" s="30">
        <v>1978</v>
      </c>
      <c r="C932" s="13">
        <v>20470</v>
      </c>
      <c r="D932" s="14">
        <v>0.996</v>
      </c>
      <c r="E932" s="14">
        <v>0.99</v>
      </c>
      <c r="F932" s="13">
        <v>53</v>
      </c>
      <c r="G932" s="14">
        <v>0.99399999999999999</v>
      </c>
      <c r="H932" s="18" t="s">
        <v>3214</v>
      </c>
      <c r="I932" s="26" t="s">
        <v>290</v>
      </c>
      <c r="J932" s="18" t="s">
        <v>26</v>
      </c>
      <c r="L932" s="9">
        <v>1978</v>
      </c>
      <c r="N932" s="30" t="s">
        <v>123</v>
      </c>
      <c r="O932" s="13" t="s">
        <v>28</v>
      </c>
      <c r="P932" s="13">
        <f t="shared" si="37"/>
        <v>40</v>
      </c>
      <c r="Q932" s="15">
        <f t="shared" si="38"/>
        <v>511.75</v>
      </c>
      <c r="R932" s="13" t="s">
        <v>291</v>
      </c>
      <c r="S932" s="13"/>
      <c r="T932" s="13" t="s">
        <v>292</v>
      </c>
      <c r="U932" s="13"/>
      <c r="V932" s="13" t="s">
        <v>3980</v>
      </c>
      <c r="W932" s="13"/>
      <c r="X932" s="13" t="s">
        <v>4731</v>
      </c>
      <c r="Y932" s="13" t="s">
        <v>3980</v>
      </c>
      <c r="Z932" s="13" t="s">
        <v>3980</v>
      </c>
      <c r="AC932" s="18"/>
    </row>
    <row r="933" spans="1:29" x14ac:dyDescent="0.25">
      <c r="A933" s="18" t="s">
        <v>1302</v>
      </c>
      <c r="B933" s="30">
        <v>2000</v>
      </c>
      <c r="C933" s="13">
        <v>33</v>
      </c>
      <c r="D933" s="14">
        <v>0.13300000000000001</v>
      </c>
      <c r="E933" s="14">
        <v>0.108</v>
      </c>
      <c r="F933" s="13">
        <v>1</v>
      </c>
      <c r="G933" s="14">
        <v>0</v>
      </c>
      <c r="H933" s="18" t="s">
        <v>3486</v>
      </c>
      <c r="I933" s="26" t="s">
        <v>290</v>
      </c>
      <c r="J933" s="18" t="s">
        <v>54</v>
      </c>
      <c r="L933" s="9">
        <f>B933</f>
        <v>2000</v>
      </c>
      <c r="M933" s="20" t="s">
        <v>3132</v>
      </c>
      <c r="N933" s="30" t="s">
        <v>34</v>
      </c>
      <c r="O933" s="13" t="s">
        <v>28</v>
      </c>
      <c r="P933" s="13">
        <f t="shared" si="37"/>
        <v>18</v>
      </c>
      <c r="Q933" s="15">
        <f t="shared" si="38"/>
        <v>1.8333333333333333</v>
      </c>
      <c r="R933" s="13" t="s">
        <v>978</v>
      </c>
      <c r="S933" s="13"/>
      <c r="T933" s="13" t="s">
        <v>1303</v>
      </c>
      <c r="U933" s="13"/>
      <c r="V933" s="13" t="s">
        <v>3980</v>
      </c>
      <c r="W933" s="13"/>
      <c r="X933" s="13" t="s">
        <v>3980</v>
      </c>
      <c r="Y933" s="13" t="s">
        <v>3980</v>
      </c>
      <c r="Z933" s="13" t="s">
        <v>3980</v>
      </c>
      <c r="AC933" s="18"/>
    </row>
    <row r="934" spans="1:29" x14ac:dyDescent="0.25">
      <c r="A934" s="18" t="s">
        <v>1310</v>
      </c>
      <c r="B934" s="30">
        <v>2008</v>
      </c>
      <c r="C934" s="13">
        <v>83</v>
      </c>
      <c r="D934" s="14">
        <v>0.23300000000000001</v>
      </c>
      <c r="E934" s="14">
        <v>0.44500000000000001</v>
      </c>
      <c r="F934" s="13">
        <v>5</v>
      </c>
      <c r="G934" s="14">
        <v>0.27400000000000002</v>
      </c>
      <c r="H934" s="18" t="s">
        <v>3488</v>
      </c>
      <c r="I934" s="26" t="s">
        <v>290</v>
      </c>
      <c r="J934" s="18" t="s">
        <v>105</v>
      </c>
      <c r="L934" s="9">
        <v>2008</v>
      </c>
      <c r="N934" s="30" t="s">
        <v>1311</v>
      </c>
      <c r="O934" s="13" t="s">
        <v>42</v>
      </c>
      <c r="P934" s="13">
        <f t="shared" si="37"/>
        <v>10</v>
      </c>
      <c r="Q934" s="15">
        <f t="shared" si="38"/>
        <v>8.3000000000000007</v>
      </c>
      <c r="R934" s="13" t="s">
        <v>1312</v>
      </c>
      <c r="S934" s="13"/>
      <c r="T934" s="13" t="s">
        <v>1313</v>
      </c>
      <c r="U934" s="13"/>
      <c r="V934" s="13" t="s">
        <v>4256</v>
      </c>
      <c r="W934" s="13"/>
      <c r="X934" s="13" t="s">
        <v>4732</v>
      </c>
      <c r="Y934" s="13" t="s">
        <v>3980</v>
      </c>
      <c r="Z934" s="13" t="s">
        <v>3980</v>
      </c>
      <c r="AC934" s="18"/>
    </row>
    <row r="935" spans="1:29" x14ac:dyDescent="0.25">
      <c r="A935" s="18" t="s">
        <v>2538</v>
      </c>
      <c r="B935" s="30">
        <v>2005</v>
      </c>
      <c r="C935" s="13">
        <v>187</v>
      </c>
      <c r="D935" s="14">
        <v>0.371</v>
      </c>
      <c r="E935" s="14">
        <v>0.36299999999999999</v>
      </c>
      <c r="F935" s="13">
        <v>4</v>
      </c>
      <c r="G935" s="14">
        <v>0.19600000000000001</v>
      </c>
      <c r="I935" s="26" t="s">
        <v>290</v>
      </c>
      <c r="J935" t="s">
        <v>54</v>
      </c>
      <c r="L935" s="9">
        <v>2005</v>
      </c>
      <c r="N935" s="30" t="s">
        <v>41</v>
      </c>
      <c r="O935" s="13" t="s">
        <v>28</v>
      </c>
      <c r="P935" s="13">
        <f t="shared" si="37"/>
        <v>13</v>
      </c>
      <c r="Q935" s="15">
        <f t="shared" si="38"/>
        <v>14.384615384615385</v>
      </c>
      <c r="R935" s="13" t="s">
        <v>84</v>
      </c>
      <c r="S935" s="13"/>
      <c r="T935" s="13" t="s">
        <v>2539</v>
      </c>
      <c r="U935" s="13" t="s">
        <v>600</v>
      </c>
      <c r="V935" s="13" t="s">
        <v>4257</v>
      </c>
      <c r="W935" s="13"/>
      <c r="X935" s="13" t="s">
        <v>4733</v>
      </c>
      <c r="Y935" s="13" t="s">
        <v>3980</v>
      </c>
      <c r="Z935" s="13" t="s">
        <v>3980</v>
      </c>
      <c r="AC935" s="18"/>
    </row>
    <row r="936" spans="1:29" x14ac:dyDescent="0.25">
      <c r="A936" s="18" t="s">
        <v>1807</v>
      </c>
      <c r="B936" s="30">
        <v>2015</v>
      </c>
      <c r="C936" s="8">
        <v>67</v>
      </c>
      <c r="D936" s="14">
        <v>0.20799999999999999</v>
      </c>
      <c r="E936" s="14">
        <v>0.39600000000000002</v>
      </c>
      <c r="F936" s="8">
        <v>5</v>
      </c>
      <c r="G936" s="14">
        <v>0.27400000000000002</v>
      </c>
      <c r="H936" s="18" t="s">
        <v>3551</v>
      </c>
      <c r="I936" s="26" t="s">
        <v>290</v>
      </c>
      <c r="J936" s="18" t="s">
        <v>105</v>
      </c>
      <c r="L936" s="9">
        <f>B936</f>
        <v>2015</v>
      </c>
      <c r="N936" s="28" t="s">
        <v>123</v>
      </c>
      <c r="O936" s="13" t="s">
        <v>42</v>
      </c>
      <c r="P936" s="13">
        <f t="shared" si="37"/>
        <v>3</v>
      </c>
      <c r="Q936" s="15">
        <f t="shared" si="38"/>
        <v>22.333333333333332</v>
      </c>
      <c r="R936" s="18" t="s">
        <v>3717</v>
      </c>
      <c r="T936" s="18" t="s">
        <v>3718</v>
      </c>
      <c r="V936" s="18" t="s">
        <v>3980</v>
      </c>
      <c r="X936" s="18" t="s">
        <v>3980</v>
      </c>
      <c r="Y936" s="18" t="s">
        <v>3980</v>
      </c>
      <c r="Z936" s="18" t="s">
        <v>3980</v>
      </c>
      <c r="AC936" s="18"/>
    </row>
    <row r="937" spans="1:29" x14ac:dyDescent="0.25">
      <c r="A937" s="18" t="s">
        <v>1646</v>
      </c>
      <c r="B937" s="30">
        <v>1977</v>
      </c>
      <c r="C937" s="13">
        <v>583</v>
      </c>
      <c r="D937" s="14">
        <v>0.59499999999999997</v>
      </c>
      <c r="E937" s="14">
        <v>0.33200000000000002</v>
      </c>
      <c r="F937" s="13">
        <v>10</v>
      </c>
      <c r="G937" s="14">
        <v>0.52200000000000002</v>
      </c>
      <c r="H937" s="18" t="s">
        <v>3662</v>
      </c>
      <c r="I937" s="26" t="s">
        <v>290</v>
      </c>
      <c r="J937" s="18" t="s">
        <v>26</v>
      </c>
      <c r="K937" s="4"/>
      <c r="L937" s="9">
        <v>1977</v>
      </c>
      <c r="N937" s="30" t="s">
        <v>1647</v>
      </c>
      <c r="O937" s="13" t="s">
        <v>42</v>
      </c>
      <c r="P937" s="13">
        <f t="shared" si="37"/>
        <v>41</v>
      </c>
      <c r="Q937" s="15">
        <f t="shared" si="38"/>
        <v>14.219512195121951</v>
      </c>
      <c r="R937" s="13" t="s">
        <v>1648</v>
      </c>
      <c r="S937" s="13" t="s">
        <v>1649</v>
      </c>
      <c r="T937" s="13" t="s">
        <v>1650</v>
      </c>
      <c r="U937" s="13" t="s">
        <v>1651</v>
      </c>
      <c r="V937" s="13" t="s">
        <v>3980</v>
      </c>
      <c r="W937" s="13"/>
      <c r="X937" s="13" t="s">
        <v>4734</v>
      </c>
      <c r="Y937" s="13" t="s">
        <v>3980</v>
      </c>
      <c r="Z937" s="13" t="s">
        <v>3980</v>
      </c>
      <c r="AC937" s="18"/>
    </row>
    <row r="938" spans="1:29" x14ac:dyDescent="0.25">
      <c r="A938" s="18" t="s">
        <v>4932</v>
      </c>
      <c r="B938" s="30">
        <v>2015</v>
      </c>
      <c r="C938" s="13">
        <v>10</v>
      </c>
      <c r="D938" s="14">
        <v>6.9000000000000006E-2</v>
      </c>
      <c r="E938" s="14">
        <v>0.13600000000000001</v>
      </c>
      <c r="F938" s="13">
        <v>1</v>
      </c>
      <c r="G938" s="14">
        <v>0</v>
      </c>
      <c r="I938" s="26" t="s">
        <v>290</v>
      </c>
      <c r="J938" s="18" t="s">
        <v>105</v>
      </c>
      <c r="K938" s="4"/>
      <c r="L938" s="9">
        <f>B938</f>
        <v>2015</v>
      </c>
      <c r="N938" s="30" t="s">
        <v>3102</v>
      </c>
      <c r="O938" s="13" t="s">
        <v>42</v>
      </c>
      <c r="P938" s="13">
        <f t="shared" si="37"/>
        <v>3</v>
      </c>
      <c r="Q938" s="15">
        <f t="shared" si="38"/>
        <v>3.3333333333333335</v>
      </c>
      <c r="R938" s="13" t="s">
        <v>1296</v>
      </c>
      <c r="S938" s="13" t="s">
        <v>1297</v>
      </c>
      <c r="T938" s="13" t="s">
        <v>1298</v>
      </c>
      <c r="U938" s="13"/>
      <c r="V938" s="13" t="s">
        <v>3980</v>
      </c>
      <c r="W938" s="13"/>
      <c r="X938" s="13" t="s">
        <v>3980</v>
      </c>
      <c r="Y938" s="13" t="s">
        <v>3980</v>
      </c>
      <c r="Z938" s="13" t="s">
        <v>3980</v>
      </c>
      <c r="AC938" s="18"/>
    </row>
    <row r="939" spans="1:29" x14ac:dyDescent="0.25">
      <c r="A939" s="18" t="s">
        <v>4900</v>
      </c>
      <c r="B939" s="30">
        <v>2001</v>
      </c>
      <c r="C939" s="13">
        <v>519</v>
      </c>
      <c r="D939" s="14">
        <v>0.56200000000000006</v>
      </c>
      <c r="E939" s="14">
        <v>0.627</v>
      </c>
      <c r="F939" s="13">
        <v>11</v>
      </c>
      <c r="G939" s="14">
        <v>0.56000000000000005</v>
      </c>
      <c r="H939" s="18" t="s">
        <v>3688</v>
      </c>
      <c r="I939" s="26" t="s">
        <v>382</v>
      </c>
      <c r="J939" s="18" t="s">
        <v>54</v>
      </c>
      <c r="K939" s="4"/>
      <c r="L939" s="9">
        <v>2001</v>
      </c>
      <c r="N939" s="30" t="s">
        <v>111</v>
      </c>
      <c r="O939" s="13" t="s">
        <v>42</v>
      </c>
      <c r="P939" s="13">
        <f t="shared" si="37"/>
        <v>17</v>
      </c>
      <c r="Q939" s="15">
        <f t="shared" si="38"/>
        <v>30.529411764705884</v>
      </c>
      <c r="R939" s="13" t="s">
        <v>1911</v>
      </c>
      <c r="S939" s="13" t="s">
        <v>239</v>
      </c>
      <c r="T939" s="13" t="s">
        <v>1914</v>
      </c>
      <c r="U939" s="13" t="s">
        <v>1915</v>
      </c>
      <c r="V939" s="13" t="s">
        <v>4258</v>
      </c>
      <c r="W939" s="13"/>
      <c r="X939" s="13" t="s">
        <v>4735</v>
      </c>
      <c r="Y939" s="13" t="s">
        <v>3980</v>
      </c>
      <c r="Z939" s="13" t="s">
        <v>3980</v>
      </c>
      <c r="AC939" s="18"/>
    </row>
    <row r="940" spans="1:29" x14ac:dyDescent="0.25">
      <c r="A940" s="18" t="s">
        <v>1113</v>
      </c>
      <c r="B940" s="30">
        <v>1986</v>
      </c>
      <c r="C940" s="13">
        <v>7899</v>
      </c>
      <c r="D940" s="14">
        <v>0.97499999999999998</v>
      </c>
      <c r="E940" s="14">
        <v>0.94</v>
      </c>
      <c r="F940" s="13">
        <v>37</v>
      </c>
      <c r="G940" s="14">
        <v>0.96899999999999997</v>
      </c>
      <c r="H940" s="18" t="s">
        <v>3433</v>
      </c>
      <c r="I940" s="26" t="s">
        <v>382</v>
      </c>
      <c r="J940" s="18" t="s">
        <v>26</v>
      </c>
      <c r="L940" s="9">
        <v>1986</v>
      </c>
      <c r="N940" s="30" t="s">
        <v>94</v>
      </c>
      <c r="O940" s="13" t="s">
        <v>28</v>
      </c>
      <c r="P940" s="13">
        <f t="shared" si="37"/>
        <v>32</v>
      </c>
      <c r="Q940" s="15">
        <f t="shared" si="38"/>
        <v>246.84375</v>
      </c>
      <c r="R940" s="13" t="s">
        <v>417</v>
      </c>
      <c r="S940" s="13"/>
      <c r="T940" s="13" t="s">
        <v>1114</v>
      </c>
      <c r="U940" s="13" t="s">
        <v>1115</v>
      </c>
      <c r="V940" s="13" t="s">
        <v>4259</v>
      </c>
      <c r="W940" s="13"/>
      <c r="X940" s="13" t="s">
        <v>4736</v>
      </c>
      <c r="Y940" s="13" t="s">
        <v>3980</v>
      </c>
      <c r="Z940" s="13" t="s">
        <v>3980</v>
      </c>
      <c r="AC940" s="18"/>
    </row>
    <row r="941" spans="1:29" x14ac:dyDescent="0.25">
      <c r="A941" s="18" t="s">
        <v>1346</v>
      </c>
      <c r="B941" s="30">
        <v>2005</v>
      </c>
      <c r="C941" s="13">
        <v>133</v>
      </c>
      <c r="D941" s="14">
        <v>0.314</v>
      </c>
      <c r="E941" s="14">
        <v>0.58199999999999996</v>
      </c>
      <c r="F941" s="13">
        <v>5</v>
      </c>
      <c r="G941" s="14">
        <v>0.27400000000000002</v>
      </c>
      <c r="H941" s="18" t="s">
        <v>3499</v>
      </c>
      <c r="I941" s="26" t="s">
        <v>382</v>
      </c>
      <c r="J941" s="18" t="s">
        <v>105</v>
      </c>
      <c r="K941" s="4"/>
      <c r="L941" s="9">
        <v>2005</v>
      </c>
      <c r="N941" s="30" t="s">
        <v>34</v>
      </c>
      <c r="O941" s="13" t="s">
        <v>28</v>
      </c>
      <c r="P941" s="13">
        <f t="shared" si="37"/>
        <v>13</v>
      </c>
      <c r="Q941" s="15">
        <f t="shared" si="38"/>
        <v>10.23076923076923</v>
      </c>
      <c r="R941" s="13" t="s">
        <v>1347</v>
      </c>
      <c r="S941" s="13"/>
      <c r="T941" s="13" t="s">
        <v>869</v>
      </c>
      <c r="U941" s="13" t="s">
        <v>1348</v>
      </c>
      <c r="V941" s="13" t="s">
        <v>4260</v>
      </c>
      <c r="W941" s="13"/>
      <c r="X941" s="13" t="s">
        <v>4737</v>
      </c>
      <c r="Y941" s="13" t="s">
        <v>3980</v>
      </c>
      <c r="Z941" s="13" t="s">
        <v>3980</v>
      </c>
      <c r="AC941" s="18"/>
    </row>
    <row r="942" spans="1:29" x14ac:dyDescent="0.25">
      <c r="A942" s="18" t="s">
        <v>381</v>
      </c>
      <c r="B942" s="30">
        <v>2012</v>
      </c>
      <c r="C942" s="13">
        <v>202</v>
      </c>
      <c r="D942" s="14">
        <v>0.38200000000000001</v>
      </c>
      <c r="E942" s="14">
        <v>0.68700000000000006</v>
      </c>
      <c r="F942" s="13">
        <v>7</v>
      </c>
      <c r="G942" s="14">
        <v>0.39300000000000002</v>
      </c>
      <c r="H942" s="18" t="s">
        <v>3235</v>
      </c>
      <c r="I942" s="26" t="s">
        <v>382</v>
      </c>
      <c r="J942" s="4" t="s">
        <v>105</v>
      </c>
      <c r="K942" s="4"/>
      <c r="L942" s="9">
        <v>2012</v>
      </c>
      <c r="N942" s="30" t="s">
        <v>88</v>
      </c>
      <c r="O942" s="13" t="s">
        <v>28</v>
      </c>
      <c r="P942" s="13">
        <f t="shared" si="37"/>
        <v>6</v>
      </c>
      <c r="Q942" s="15">
        <f t="shared" si="38"/>
        <v>33.666666666666664</v>
      </c>
      <c r="R942" s="13" t="s">
        <v>153</v>
      </c>
      <c r="S942" s="13"/>
      <c r="T942" s="13" t="s">
        <v>383</v>
      </c>
      <c r="U942" s="13"/>
      <c r="V942" s="13" t="s">
        <v>4261</v>
      </c>
      <c r="W942" s="13"/>
      <c r="X942" s="13" t="s">
        <v>4738</v>
      </c>
      <c r="Y942" s="13" t="s">
        <v>3980</v>
      </c>
      <c r="Z942" s="13" t="s">
        <v>3980</v>
      </c>
      <c r="AC942" s="18"/>
    </row>
    <row r="943" spans="1:29" x14ac:dyDescent="0.25">
      <c r="A943" s="18" t="s">
        <v>5114</v>
      </c>
      <c r="B943" s="30">
        <v>1982</v>
      </c>
      <c r="C943" s="13">
        <v>10</v>
      </c>
      <c r="D943" s="14">
        <v>6.9000000000000006E-2</v>
      </c>
      <c r="E943" s="14">
        <v>6.8000000000000005E-2</v>
      </c>
      <c r="F943" s="13">
        <v>1</v>
      </c>
      <c r="G943" s="14">
        <v>0</v>
      </c>
      <c r="I943" s="26" t="s">
        <v>382</v>
      </c>
      <c r="J943" s="4" t="s">
        <v>54</v>
      </c>
      <c r="L943" s="9">
        <v>1982</v>
      </c>
      <c r="N943" s="30" t="s">
        <v>2929</v>
      </c>
      <c r="O943" s="13" t="s">
        <v>42</v>
      </c>
      <c r="P943" s="13">
        <f t="shared" si="37"/>
        <v>36</v>
      </c>
      <c r="Q943" s="15">
        <f t="shared" si="38"/>
        <v>0.27777777777777779</v>
      </c>
      <c r="R943" s="13" t="s">
        <v>1389</v>
      </c>
      <c r="S943" s="13" t="s">
        <v>2930</v>
      </c>
      <c r="T943" s="13" t="s">
        <v>2931</v>
      </c>
      <c r="U943" s="13"/>
      <c r="V943" s="13" t="s">
        <v>3980</v>
      </c>
      <c r="W943" s="13"/>
      <c r="X943" s="13" t="s">
        <v>4739</v>
      </c>
      <c r="Y943" s="13" t="s">
        <v>3980</v>
      </c>
      <c r="Z943" s="13" t="s">
        <v>3980</v>
      </c>
      <c r="AC943" s="18"/>
    </row>
    <row r="944" spans="1:29" x14ac:dyDescent="0.25">
      <c r="A944" s="18" t="s">
        <v>2142</v>
      </c>
      <c r="B944" s="30">
        <v>2000</v>
      </c>
      <c r="C944" s="8">
        <v>76</v>
      </c>
      <c r="D944" s="14">
        <v>0.22500000000000001</v>
      </c>
      <c r="E944" s="14">
        <v>0.186</v>
      </c>
      <c r="F944" s="8">
        <v>4</v>
      </c>
      <c r="G944" s="14">
        <v>0.19600000000000001</v>
      </c>
      <c r="H944" s="18" t="s">
        <v>4950</v>
      </c>
      <c r="I944" s="26" t="s">
        <v>382</v>
      </c>
      <c r="J944" s="4" t="s">
        <v>54</v>
      </c>
      <c r="L944" s="9">
        <f>B944</f>
        <v>2000</v>
      </c>
      <c r="N944" s="28" t="s">
        <v>765</v>
      </c>
      <c r="O944" s="13" t="s">
        <v>42</v>
      </c>
      <c r="P944" s="13">
        <f t="shared" si="37"/>
        <v>18</v>
      </c>
      <c r="Q944" s="15">
        <f t="shared" si="38"/>
        <v>4.2222222222222223</v>
      </c>
      <c r="R944" s="18" t="s">
        <v>3799</v>
      </c>
      <c r="T944" s="18" t="s">
        <v>3800</v>
      </c>
      <c r="V944" s="18" t="s">
        <v>3980</v>
      </c>
      <c r="X944" s="18" t="s">
        <v>3980</v>
      </c>
      <c r="Y944" s="18" t="s">
        <v>3980</v>
      </c>
      <c r="Z944" s="18" t="s">
        <v>3980</v>
      </c>
      <c r="AC944" s="18"/>
    </row>
    <row r="945" spans="1:29" x14ac:dyDescent="0.25">
      <c r="A945" s="18" t="s">
        <v>1598</v>
      </c>
      <c r="B945" s="30">
        <v>2010</v>
      </c>
      <c r="C945" s="8">
        <v>61</v>
      </c>
      <c r="D945" s="14">
        <v>0.19800000000000001</v>
      </c>
      <c r="E945" s="14">
        <v>0.38200000000000001</v>
      </c>
      <c r="F945" s="8">
        <v>3</v>
      </c>
      <c r="G945" s="14">
        <v>0.13100000000000001</v>
      </c>
      <c r="H945" s="18" t="s">
        <v>4848</v>
      </c>
      <c r="I945" s="26" t="s">
        <v>382</v>
      </c>
      <c r="J945" s="4" t="s">
        <v>105</v>
      </c>
      <c r="K945" s="4"/>
      <c r="L945" s="9">
        <f>B945</f>
        <v>2010</v>
      </c>
      <c r="N945" s="30" t="s">
        <v>3089</v>
      </c>
      <c r="O945" s="13" t="s">
        <v>42</v>
      </c>
      <c r="P945" s="13">
        <f t="shared" si="37"/>
        <v>8</v>
      </c>
      <c r="Q945" s="15">
        <f t="shared" si="38"/>
        <v>7.625</v>
      </c>
      <c r="R945" s="13" t="s">
        <v>1596</v>
      </c>
      <c r="S945" s="13"/>
      <c r="T945" s="13" t="s">
        <v>407</v>
      </c>
      <c r="U945" s="13"/>
      <c r="V945" s="13" t="s">
        <v>3980</v>
      </c>
      <c r="W945" s="13"/>
      <c r="X945" s="13" t="s">
        <v>3980</v>
      </c>
      <c r="Y945" s="13" t="s">
        <v>3980</v>
      </c>
      <c r="Z945" s="13" t="s">
        <v>3980</v>
      </c>
      <c r="AC945" s="18"/>
    </row>
    <row r="946" spans="1:29" x14ac:dyDescent="0.25">
      <c r="A946" s="28" t="s">
        <v>4873</v>
      </c>
      <c r="B946" s="30">
        <v>1998</v>
      </c>
      <c r="C946" s="13">
        <v>535</v>
      </c>
      <c r="D946" s="14">
        <v>0.56799999999999995</v>
      </c>
      <c r="E946" s="14">
        <v>0.63800000000000001</v>
      </c>
      <c r="F946" s="13">
        <v>8</v>
      </c>
      <c r="G946" s="14">
        <v>0.434</v>
      </c>
      <c r="I946" s="26" t="s">
        <v>168</v>
      </c>
      <c r="J946" s="18" t="s">
        <v>54</v>
      </c>
      <c r="K946" s="4"/>
      <c r="L946" s="9">
        <v>1998</v>
      </c>
      <c r="N946" s="30" t="s">
        <v>1786</v>
      </c>
      <c r="O946" s="13" t="s">
        <v>28</v>
      </c>
      <c r="P946" s="13">
        <f t="shared" si="37"/>
        <v>20</v>
      </c>
      <c r="Q946" s="15">
        <f t="shared" si="38"/>
        <v>26.75</v>
      </c>
      <c r="R946" s="13" t="s">
        <v>89</v>
      </c>
      <c r="S946" s="13" t="s">
        <v>90</v>
      </c>
      <c r="T946" s="13" t="s">
        <v>1787</v>
      </c>
      <c r="U946" s="13"/>
      <c r="V946" s="13" t="s">
        <v>3980</v>
      </c>
      <c r="W946" s="13"/>
      <c r="X946" s="13" t="s">
        <v>4740</v>
      </c>
      <c r="Y946" s="13" t="s">
        <v>3980</v>
      </c>
      <c r="Z946" s="13" t="s">
        <v>3980</v>
      </c>
      <c r="AC946" s="18"/>
    </row>
    <row r="947" spans="1:29" x14ac:dyDescent="0.25">
      <c r="A947" s="18" t="s">
        <v>593</v>
      </c>
      <c r="B947" s="30">
        <v>1992</v>
      </c>
      <c r="C947" s="13">
        <v>9456</v>
      </c>
      <c r="D947" s="14">
        <v>0.98499999999999999</v>
      </c>
      <c r="E947" s="14">
        <v>0.96299999999999997</v>
      </c>
      <c r="F947" s="13">
        <v>34</v>
      </c>
      <c r="G947" s="14">
        <v>0.95499999999999996</v>
      </c>
      <c r="H947" s="18" t="s">
        <v>3288</v>
      </c>
      <c r="I947" s="26" t="s">
        <v>168</v>
      </c>
      <c r="J947" s="18" t="s">
        <v>26</v>
      </c>
      <c r="L947" s="9">
        <v>1992</v>
      </c>
      <c r="N947" s="30" t="s">
        <v>123</v>
      </c>
      <c r="O947" s="13" t="s">
        <v>42</v>
      </c>
      <c r="P947" s="13">
        <f t="shared" si="37"/>
        <v>26</v>
      </c>
      <c r="Q947" s="15">
        <f t="shared" si="38"/>
        <v>363.69230769230768</v>
      </c>
      <c r="R947" s="13" t="s">
        <v>594</v>
      </c>
      <c r="S947" s="13"/>
      <c r="T947" s="13" t="s">
        <v>595</v>
      </c>
      <c r="U947" s="13" t="s">
        <v>596</v>
      </c>
      <c r="V947" s="13" t="s">
        <v>4262</v>
      </c>
      <c r="W947" s="13"/>
      <c r="X947" s="13" t="s">
        <v>4741</v>
      </c>
      <c r="Y947" s="13" t="s">
        <v>3980</v>
      </c>
      <c r="Z947" s="13" t="s">
        <v>3980</v>
      </c>
      <c r="AC947" s="18"/>
    </row>
    <row r="948" spans="1:29" x14ac:dyDescent="0.25">
      <c r="A948" s="18" t="s">
        <v>1727</v>
      </c>
      <c r="B948" s="30">
        <v>1994</v>
      </c>
      <c r="C948" s="13">
        <v>973</v>
      </c>
      <c r="D948" s="14">
        <v>0.69299999999999995</v>
      </c>
      <c r="E948" s="14">
        <v>0.79</v>
      </c>
      <c r="F948" s="13">
        <v>13</v>
      </c>
      <c r="G948" s="14">
        <v>0.64500000000000002</v>
      </c>
      <c r="I948" s="26" t="s">
        <v>168</v>
      </c>
      <c r="J948" s="18" t="s">
        <v>54</v>
      </c>
      <c r="K948" s="4"/>
      <c r="L948" s="9">
        <v>1994</v>
      </c>
      <c r="N948" s="30" t="s">
        <v>192</v>
      </c>
      <c r="O948" s="13" t="s">
        <v>42</v>
      </c>
      <c r="P948" s="13">
        <f t="shared" si="37"/>
        <v>24</v>
      </c>
      <c r="Q948" s="15">
        <f t="shared" si="38"/>
        <v>40.541666666666664</v>
      </c>
      <c r="R948" s="13" t="s">
        <v>1728</v>
      </c>
      <c r="S948" s="13"/>
      <c r="T948" s="13" t="s">
        <v>1729</v>
      </c>
      <c r="U948" s="13" t="s">
        <v>1730</v>
      </c>
      <c r="V948" s="13" t="s">
        <v>4263</v>
      </c>
      <c r="W948" s="13"/>
      <c r="X948" s="13" t="s">
        <v>4742</v>
      </c>
      <c r="Y948" s="13" t="s">
        <v>3980</v>
      </c>
      <c r="Z948" s="13" t="s">
        <v>3980</v>
      </c>
      <c r="AC948" s="18"/>
    </row>
    <row r="949" spans="1:29" x14ac:dyDescent="0.25">
      <c r="A949" s="18" t="s">
        <v>2686</v>
      </c>
      <c r="B949" s="30">
        <v>2008</v>
      </c>
      <c r="C949" s="13">
        <v>104</v>
      </c>
      <c r="D949" s="14">
        <v>0.27100000000000002</v>
      </c>
      <c r="E949" s="14">
        <v>0.51900000000000002</v>
      </c>
      <c r="F949" s="13">
        <v>4</v>
      </c>
      <c r="G949" s="14">
        <v>0.19600000000000001</v>
      </c>
      <c r="H949" s="18" t="s">
        <v>3556</v>
      </c>
      <c r="I949" s="26" t="s">
        <v>168</v>
      </c>
      <c r="J949" t="s">
        <v>105</v>
      </c>
      <c r="K949" s="4"/>
      <c r="L949" s="9">
        <f>B949</f>
        <v>2008</v>
      </c>
      <c r="N949" s="30" t="s">
        <v>765</v>
      </c>
      <c r="O949" s="13" t="s">
        <v>42</v>
      </c>
      <c r="P949" s="13">
        <f t="shared" si="37"/>
        <v>10</v>
      </c>
      <c r="Q949" s="15">
        <f t="shared" si="38"/>
        <v>10.4</v>
      </c>
      <c r="R949" s="13" t="s">
        <v>244</v>
      </c>
      <c r="S949" s="13"/>
      <c r="T949" s="13" t="s">
        <v>2687</v>
      </c>
      <c r="U949" s="13"/>
      <c r="V949" s="13" t="s">
        <v>3980</v>
      </c>
      <c r="W949" s="13"/>
      <c r="X949" s="13" t="s">
        <v>3980</v>
      </c>
      <c r="Y949" s="13" t="s">
        <v>3980</v>
      </c>
      <c r="Z949" s="13" t="s">
        <v>3980</v>
      </c>
      <c r="AC949" s="18"/>
    </row>
    <row r="950" spans="1:29" x14ac:dyDescent="0.25">
      <c r="A950" s="18" t="s">
        <v>1735</v>
      </c>
      <c r="B950" s="30">
        <v>2008</v>
      </c>
      <c r="C950" s="13">
        <v>294</v>
      </c>
      <c r="D950" s="14">
        <v>0.443</v>
      </c>
      <c r="E950" s="14">
        <v>0.75700000000000001</v>
      </c>
      <c r="F950" s="13">
        <v>5</v>
      </c>
      <c r="G950" s="14">
        <v>0.27400000000000002</v>
      </c>
      <c r="I950" s="26" t="s">
        <v>168</v>
      </c>
      <c r="J950" s="18" t="s">
        <v>105</v>
      </c>
      <c r="K950" s="4"/>
      <c r="L950" s="9">
        <v>2008</v>
      </c>
      <c r="N950" s="30" t="s">
        <v>385</v>
      </c>
      <c r="O950" s="13" t="s">
        <v>28</v>
      </c>
      <c r="P950" s="13">
        <f t="shared" si="37"/>
        <v>10</v>
      </c>
      <c r="Q950" s="15">
        <f t="shared" si="38"/>
        <v>29.4</v>
      </c>
      <c r="R950" s="13" t="s">
        <v>429</v>
      </c>
      <c r="S950" s="13"/>
      <c r="T950" s="13" t="s">
        <v>1736</v>
      </c>
      <c r="U950" s="13" t="s">
        <v>1737</v>
      </c>
      <c r="V950" s="13" t="s">
        <v>3980</v>
      </c>
      <c r="W950" s="13"/>
      <c r="X950" s="13" t="s">
        <v>3980</v>
      </c>
      <c r="Y950" s="13" t="s">
        <v>3980</v>
      </c>
      <c r="Z950" s="13" t="s">
        <v>3980</v>
      </c>
      <c r="AC950" s="18"/>
    </row>
    <row r="951" spans="1:29" x14ac:dyDescent="0.25">
      <c r="A951" s="18" t="s">
        <v>1642</v>
      </c>
      <c r="B951" s="30">
        <v>2003</v>
      </c>
      <c r="C951" s="13">
        <v>1064</v>
      </c>
      <c r="D951" s="14">
        <v>0.71</v>
      </c>
      <c r="E951" s="14">
        <v>0.80800000000000005</v>
      </c>
      <c r="F951" s="13">
        <v>6</v>
      </c>
      <c r="G951" s="14">
        <v>0.32200000000000001</v>
      </c>
      <c r="I951" s="26" t="s">
        <v>168</v>
      </c>
      <c r="J951" t="s">
        <v>54</v>
      </c>
      <c r="L951" s="9">
        <v>2003</v>
      </c>
      <c r="N951" s="30" t="s">
        <v>1088</v>
      </c>
      <c r="O951" s="13" t="s">
        <v>28</v>
      </c>
      <c r="P951" s="13">
        <f t="shared" si="37"/>
        <v>15</v>
      </c>
      <c r="Q951" s="15">
        <f t="shared" si="38"/>
        <v>70.933333333333337</v>
      </c>
      <c r="R951" s="13" t="s">
        <v>1643</v>
      </c>
      <c r="S951" s="13"/>
      <c r="T951" s="13" t="s">
        <v>1644</v>
      </c>
      <c r="U951" s="13" t="s">
        <v>1645</v>
      </c>
      <c r="V951" s="13" t="s">
        <v>3980</v>
      </c>
      <c r="W951" s="13"/>
      <c r="X951" s="13" t="s">
        <v>4743</v>
      </c>
      <c r="Y951" s="13" t="s">
        <v>3980</v>
      </c>
      <c r="Z951" s="13" t="s">
        <v>3980</v>
      </c>
      <c r="AC951" s="18"/>
    </row>
    <row r="952" spans="1:29" x14ac:dyDescent="0.25">
      <c r="A952" s="18" t="s">
        <v>2441</v>
      </c>
      <c r="B952" s="30">
        <v>2005</v>
      </c>
      <c r="C952" s="13">
        <v>68</v>
      </c>
      <c r="D952" s="14">
        <v>0.21199999999999999</v>
      </c>
      <c r="E952" s="14">
        <v>0.17399999999999999</v>
      </c>
      <c r="F952" s="13">
        <v>4</v>
      </c>
      <c r="G952" s="14">
        <v>0.19600000000000001</v>
      </c>
      <c r="I952" s="26" t="s">
        <v>168</v>
      </c>
      <c r="J952" s="18" t="s">
        <v>54</v>
      </c>
      <c r="K952" s="4"/>
      <c r="L952" s="9">
        <v>2005</v>
      </c>
      <c r="N952" s="30" t="s">
        <v>1311</v>
      </c>
      <c r="O952" s="13" t="s">
        <v>28</v>
      </c>
      <c r="P952" s="13">
        <f t="shared" si="37"/>
        <v>13</v>
      </c>
      <c r="Q952" s="15">
        <f t="shared" si="38"/>
        <v>5.2307692307692308</v>
      </c>
      <c r="R952" s="13" t="s">
        <v>1051</v>
      </c>
      <c r="S952" s="13"/>
      <c r="T952" s="13" t="s">
        <v>2442</v>
      </c>
      <c r="U952" s="13" t="s">
        <v>2443</v>
      </c>
      <c r="V952" s="13" t="s">
        <v>4264</v>
      </c>
      <c r="W952" s="13"/>
      <c r="X952" s="13" t="s">
        <v>4744</v>
      </c>
      <c r="Y952" s="13" t="s">
        <v>3980</v>
      </c>
      <c r="Z952" s="13" t="s">
        <v>3980</v>
      </c>
      <c r="AC952" s="18"/>
    </row>
    <row r="953" spans="1:29" x14ac:dyDescent="0.25">
      <c r="A953" s="18" t="s">
        <v>2888</v>
      </c>
      <c r="B953" s="30">
        <v>2002</v>
      </c>
      <c r="C953" s="13">
        <v>358</v>
      </c>
      <c r="D953" s="14">
        <v>0.48</v>
      </c>
      <c r="E953" s="14">
        <v>0.255</v>
      </c>
      <c r="F953" s="13">
        <v>9</v>
      </c>
      <c r="G953" s="14">
        <v>0.48799999999999999</v>
      </c>
      <c r="I953" s="26" t="s">
        <v>168</v>
      </c>
      <c r="J953" s="18" t="s">
        <v>26</v>
      </c>
      <c r="K953" s="4"/>
      <c r="L953" s="9">
        <v>2002</v>
      </c>
      <c r="N953" s="30" t="s">
        <v>34</v>
      </c>
      <c r="O953" s="13" t="s">
        <v>42</v>
      </c>
      <c r="P953" s="13">
        <f t="shared" si="37"/>
        <v>16</v>
      </c>
      <c r="Q953" s="15">
        <f t="shared" si="38"/>
        <v>22.375</v>
      </c>
      <c r="R953" s="13" t="s">
        <v>2889</v>
      </c>
      <c r="S953" s="13"/>
      <c r="T953" s="13" t="s">
        <v>2890</v>
      </c>
      <c r="U953" s="13"/>
      <c r="V953" s="13" t="s">
        <v>4265</v>
      </c>
      <c r="W953" s="13"/>
      <c r="X953" s="13" t="s">
        <v>4745</v>
      </c>
      <c r="Y953" s="13" t="s">
        <v>3980</v>
      </c>
      <c r="Z953" s="13" t="s">
        <v>3980</v>
      </c>
      <c r="AC953" s="18"/>
    </row>
    <row r="954" spans="1:29" x14ac:dyDescent="0.25">
      <c r="A954" s="18" t="s">
        <v>675</v>
      </c>
      <c r="B954" s="30">
        <v>2010</v>
      </c>
      <c r="C954" s="13">
        <v>1750</v>
      </c>
      <c r="D954" s="14">
        <v>0.81</v>
      </c>
      <c r="E954" s="14">
        <v>0.99199999999999999</v>
      </c>
      <c r="F954" s="13">
        <v>16</v>
      </c>
      <c r="G954" s="14">
        <v>0.74099999999999999</v>
      </c>
      <c r="H954" s="18" t="s">
        <v>3310</v>
      </c>
      <c r="I954" s="26" t="s">
        <v>168</v>
      </c>
      <c r="J954" s="18" t="s">
        <v>105</v>
      </c>
      <c r="L954" s="9">
        <v>2010</v>
      </c>
      <c r="N954" s="30" t="s">
        <v>161</v>
      </c>
      <c r="O954" s="13" t="s">
        <v>28</v>
      </c>
      <c r="P954" s="13">
        <f t="shared" si="37"/>
        <v>8</v>
      </c>
      <c r="Q954" s="15">
        <f t="shared" si="38"/>
        <v>218.75</v>
      </c>
      <c r="R954" s="13" t="s">
        <v>676</v>
      </c>
      <c r="S954" s="13"/>
      <c r="T954" s="13" t="s">
        <v>677</v>
      </c>
      <c r="U954" s="13" t="s">
        <v>678</v>
      </c>
      <c r="V954" s="13" t="s">
        <v>3980</v>
      </c>
      <c r="W954" s="13"/>
      <c r="X954" s="13" t="s">
        <v>4746</v>
      </c>
      <c r="Y954" s="13" t="s">
        <v>3980</v>
      </c>
      <c r="Z954" s="13" t="s">
        <v>3980</v>
      </c>
      <c r="AC954" s="18"/>
    </row>
    <row r="955" spans="1:29" x14ac:dyDescent="0.25">
      <c r="A955" s="18" t="s">
        <v>4894</v>
      </c>
      <c r="B955" s="30">
        <v>1970</v>
      </c>
      <c r="C955" s="13">
        <v>391</v>
      </c>
      <c r="D955" s="14">
        <v>0.5</v>
      </c>
      <c r="E955" s="14">
        <v>0.26400000000000001</v>
      </c>
      <c r="F955" s="13">
        <v>5</v>
      </c>
      <c r="G955" s="14">
        <v>0.27400000000000002</v>
      </c>
      <c r="I955" s="26" t="s">
        <v>168</v>
      </c>
      <c r="J955" s="18" t="s">
        <v>26</v>
      </c>
      <c r="L955" s="9">
        <v>1970</v>
      </c>
      <c r="N955" s="30" t="s">
        <v>168</v>
      </c>
      <c r="O955" s="13" t="s">
        <v>28</v>
      </c>
      <c r="P955" s="13">
        <f t="shared" si="37"/>
        <v>48</v>
      </c>
      <c r="Q955" s="15">
        <f t="shared" si="38"/>
        <v>8.1458333333333339</v>
      </c>
      <c r="R955" s="13" t="s">
        <v>1879</v>
      </c>
      <c r="S955" s="13" t="s">
        <v>1002</v>
      </c>
      <c r="T955" s="13" t="s">
        <v>883</v>
      </c>
      <c r="U955" s="13"/>
      <c r="V955" s="13" t="s">
        <v>3980</v>
      </c>
      <c r="W955" s="13"/>
      <c r="X955" s="13" t="s">
        <v>3980</v>
      </c>
      <c r="Y955" s="13" t="s">
        <v>3980</v>
      </c>
      <c r="Z955" s="13" t="s">
        <v>3980</v>
      </c>
      <c r="AC955" s="18"/>
    </row>
    <row r="956" spans="1:29" x14ac:dyDescent="0.25">
      <c r="A956" s="18" t="s">
        <v>2782</v>
      </c>
      <c r="B956" s="30">
        <v>1973</v>
      </c>
      <c r="C956" s="13">
        <v>1167</v>
      </c>
      <c r="D956" s="14">
        <v>0.73399999999999999</v>
      </c>
      <c r="E956" s="14">
        <v>0.48699999999999999</v>
      </c>
      <c r="F956" s="13">
        <v>14</v>
      </c>
      <c r="G956" s="14">
        <v>0.67900000000000005</v>
      </c>
      <c r="I956" s="26" t="s">
        <v>168</v>
      </c>
      <c r="J956" s="18" t="s">
        <v>26</v>
      </c>
      <c r="L956" s="9">
        <v>1973</v>
      </c>
      <c r="N956" s="30" t="s">
        <v>818</v>
      </c>
      <c r="O956" s="13" t="s">
        <v>28</v>
      </c>
      <c r="P956" s="13">
        <f t="shared" si="37"/>
        <v>45</v>
      </c>
      <c r="Q956" s="15">
        <f t="shared" si="38"/>
        <v>25.933333333333334</v>
      </c>
      <c r="R956" s="13" t="s">
        <v>177</v>
      </c>
      <c r="S956" s="13"/>
      <c r="T956" s="13" t="s">
        <v>2783</v>
      </c>
      <c r="U956" s="13" t="s">
        <v>2784</v>
      </c>
      <c r="V956" s="13" t="s">
        <v>3980</v>
      </c>
      <c r="W956" s="13"/>
      <c r="X956" s="13" t="s">
        <v>4747</v>
      </c>
      <c r="Y956" s="13" t="s">
        <v>3980</v>
      </c>
      <c r="Z956" s="13" t="s">
        <v>3980</v>
      </c>
      <c r="AC956" s="18"/>
    </row>
    <row r="957" spans="1:29" x14ac:dyDescent="0.25">
      <c r="A957" s="18" t="s">
        <v>745</v>
      </c>
      <c r="B957" s="30">
        <v>1998</v>
      </c>
      <c r="C957" s="13">
        <v>5870</v>
      </c>
      <c r="D957" s="14">
        <v>0.95599999999999996</v>
      </c>
      <c r="E957" s="14">
        <v>0.89900000000000002</v>
      </c>
      <c r="F957" s="13">
        <v>28</v>
      </c>
      <c r="G957" s="14">
        <v>0.91800000000000004</v>
      </c>
      <c r="H957" s="18" t="s">
        <v>3326</v>
      </c>
      <c r="I957" s="26" t="s">
        <v>168</v>
      </c>
      <c r="J957" s="18" t="s">
        <v>26</v>
      </c>
      <c r="L957" s="9">
        <v>1998</v>
      </c>
      <c r="N957" s="30" t="s">
        <v>88</v>
      </c>
      <c r="O957" s="13" t="s">
        <v>28</v>
      </c>
      <c r="P957" s="13">
        <f t="shared" si="37"/>
        <v>20</v>
      </c>
      <c r="Q957" s="15">
        <f t="shared" si="38"/>
        <v>293.5</v>
      </c>
      <c r="R957" s="13" t="s">
        <v>746</v>
      </c>
      <c r="S957" s="13"/>
      <c r="T957" s="13" t="s">
        <v>747</v>
      </c>
      <c r="U957" s="13" t="s">
        <v>748</v>
      </c>
      <c r="V957" s="13" t="s">
        <v>3980</v>
      </c>
      <c r="W957" s="13"/>
      <c r="X957" s="13" t="s">
        <v>4748</v>
      </c>
      <c r="Y957" s="13" t="s">
        <v>3980</v>
      </c>
      <c r="Z957" s="13" t="s">
        <v>3980</v>
      </c>
      <c r="AC957" s="18"/>
    </row>
    <row r="958" spans="1:29" x14ac:dyDescent="0.25">
      <c r="A958" s="18" t="s">
        <v>2680</v>
      </c>
      <c r="B958" s="30">
        <v>1993</v>
      </c>
      <c r="C958" s="13">
        <v>3078</v>
      </c>
      <c r="D958" s="14">
        <v>0.89600000000000002</v>
      </c>
      <c r="E958" s="14">
        <v>0.76700000000000002</v>
      </c>
      <c r="F958" s="13">
        <v>28</v>
      </c>
      <c r="G958" s="14">
        <v>0.91800000000000004</v>
      </c>
      <c r="H958" s="18" t="s">
        <v>4813</v>
      </c>
      <c r="I958" s="26" t="s">
        <v>168</v>
      </c>
      <c r="J958" t="s">
        <v>26</v>
      </c>
      <c r="K958" s="4"/>
      <c r="L958" s="9">
        <v>1993</v>
      </c>
      <c r="N958" s="30" t="s">
        <v>41</v>
      </c>
      <c r="O958" s="13" t="s">
        <v>28</v>
      </c>
      <c r="P958" s="13">
        <f t="shared" si="37"/>
        <v>25</v>
      </c>
      <c r="Q958" s="15">
        <f t="shared" si="38"/>
        <v>123.12</v>
      </c>
      <c r="R958" s="13" t="s">
        <v>2681</v>
      </c>
      <c r="S958" s="13"/>
      <c r="T958" s="13" t="s">
        <v>1165</v>
      </c>
      <c r="U958" s="13" t="s">
        <v>2682</v>
      </c>
      <c r="V958" s="13" t="s">
        <v>4266</v>
      </c>
      <c r="W958" s="13"/>
      <c r="X958" s="13" t="s">
        <v>4749</v>
      </c>
      <c r="Y958" s="13" t="s">
        <v>3980</v>
      </c>
      <c r="Z958" s="13" t="s">
        <v>3980</v>
      </c>
      <c r="AC958" s="18"/>
    </row>
    <row r="959" spans="1:29" x14ac:dyDescent="0.25">
      <c r="A959" s="18" t="s">
        <v>1120</v>
      </c>
      <c r="B959" s="30">
        <v>2008</v>
      </c>
      <c r="C959" s="13">
        <v>223</v>
      </c>
      <c r="D959" s="14">
        <v>0.39500000000000002</v>
      </c>
      <c r="E959" s="14">
        <v>0.38900000000000001</v>
      </c>
      <c r="F959" s="13">
        <v>7</v>
      </c>
      <c r="G959" s="14">
        <v>0.39300000000000002</v>
      </c>
      <c r="H959" s="18" t="s">
        <v>3434</v>
      </c>
      <c r="I959" s="26" t="s">
        <v>168</v>
      </c>
      <c r="J959" s="18" t="s">
        <v>54</v>
      </c>
      <c r="K959" s="4"/>
      <c r="L959" s="9">
        <v>2008</v>
      </c>
      <c r="N959" s="30" t="s">
        <v>41</v>
      </c>
      <c r="O959" s="13" t="s">
        <v>42</v>
      </c>
      <c r="P959" s="13">
        <f t="shared" si="37"/>
        <v>10</v>
      </c>
      <c r="Q959" s="15">
        <f t="shared" si="38"/>
        <v>22.3</v>
      </c>
      <c r="R959" s="13" t="s">
        <v>1121</v>
      </c>
      <c r="S959" s="13"/>
      <c r="T959" s="13" t="s">
        <v>942</v>
      </c>
      <c r="U959" s="13" t="s">
        <v>1122</v>
      </c>
      <c r="V959" s="13" t="s">
        <v>4267</v>
      </c>
      <c r="W959" s="13"/>
      <c r="X959" s="13" t="s">
        <v>4750</v>
      </c>
      <c r="Y959" s="13" t="s">
        <v>3980</v>
      </c>
      <c r="Z959" s="13" t="s">
        <v>3980</v>
      </c>
      <c r="AC959" s="18"/>
    </row>
    <row r="960" spans="1:29" x14ac:dyDescent="0.25">
      <c r="A960" s="18" t="s">
        <v>2487</v>
      </c>
      <c r="B960" s="30">
        <v>2014</v>
      </c>
      <c r="C960" s="8">
        <v>342</v>
      </c>
      <c r="D960" s="14">
        <v>0.46899999999999997</v>
      </c>
      <c r="E960" s="14">
        <v>0.78200000000000003</v>
      </c>
      <c r="F960" s="8">
        <v>7</v>
      </c>
      <c r="G960" s="14">
        <v>0.39300000000000002</v>
      </c>
      <c r="H960" s="18" t="s">
        <v>3566</v>
      </c>
      <c r="I960" s="18" t="s">
        <v>157</v>
      </c>
      <c r="J960" s="18" t="s">
        <v>105</v>
      </c>
      <c r="L960" s="9">
        <f>B960</f>
        <v>2014</v>
      </c>
      <c r="N960" s="28" t="s">
        <v>259</v>
      </c>
      <c r="O960" s="13" t="s">
        <v>42</v>
      </c>
      <c r="P960" s="13">
        <f t="shared" si="37"/>
        <v>4</v>
      </c>
      <c r="Q960" s="15">
        <f t="shared" si="38"/>
        <v>85.5</v>
      </c>
      <c r="R960" s="18" t="s">
        <v>3726</v>
      </c>
      <c r="T960" s="18" t="s">
        <v>3727</v>
      </c>
      <c r="V960" s="18" t="s">
        <v>3980</v>
      </c>
      <c r="X960" s="18" t="s">
        <v>3980</v>
      </c>
      <c r="Y960" s="18" t="s">
        <v>3980</v>
      </c>
      <c r="Z960" s="18" t="s">
        <v>3980</v>
      </c>
      <c r="AC960" s="18"/>
    </row>
    <row r="961" spans="1:29" x14ac:dyDescent="0.25">
      <c r="A961" s="18" t="s">
        <v>2115</v>
      </c>
      <c r="B961" s="30">
        <v>2003</v>
      </c>
      <c r="C961" s="13">
        <v>27</v>
      </c>
      <c r="D961" s="14">
        <v>0.12</v>
      </c>
      <c r="E961" s="14">
        <v>6.3E-2</v>
      </c>
      <c r="F961" s="13">
        <v>2</v>
      </c>
      <c r="G961" s="14">
        <v>7.0999999999999994E-2</v>
      </c>
      <c r="I961" s="18" t="s">
        <v>157</v>
      </c>
      <c r="J961" s="18" t="s">
        <v>26</v>
      </c>
      <c r="L961" s="9">
        <v>2003</v>
      </c>
      <c r="N961" s="30" t="s">
        <v>220</v>
      </c>
      <c r="O961" s="13" t="s">
        <v>28</v>
      </c>
      <c r="P961" s="13">
        <f t="shared" si="37"/>
        <v>15</v>
      </c>
      <c r="Q961" s="15">
        <f t="shared" si="38"/>
        <v>1.8</v>
      </c>
      <c r="R961" s="13" t="s">
        <v>1125</v>
      </c>
      <c r="S961" s="13"/>
      <c r="T961" s="13" t="s">
        <v>2116</v>
      </c>
      <c r="U961" s="13" t="s">
        <v>2117</v>
      </c>
      <c r="V961" s="13" t="s">
        <v>4268</v>
      </c>
      <c r="W961" s="13"/>
      <c r="X961" s="13" t="s">
        <v>3980</v>
      </c>
      <c r="Y961" s="13" t="s">
        <v>3980</v>
      </c>
      <c r="Z961" s="13" t="s">
        <v>3980</v>
      </c>
      <c r="AC961" s="18"/>
    </row>
    <row r="962" spans="1:29" x14ac:dyDescent="0.25">
      <c r="A962" s="18" t="s">
        <v>986</v>
      </c>
      <c r="B962" s="30">
        <v>2012</v>
      </c>
      <c r="C962" s="13">
        <v>504</v>
      </c>
      <c r="D962" s="14">
        <v>0.55600000000000005</v>
      </c>
      <c r="E962" s="14">
        <v>0.873</v>
      </c>
      <c r="F962" s="13">
        <v>6</v>
      </c>
      <c r="G962" s="14">
        <v>0.32200000000000001</v>
      </c>
      <c r="H962" s="18" t="s">
        <v>3396</v>
      </c>
      <c r="I962" s="18" t="s">
        <v>157</v>
      </c>
      <c r="J962" s="18" t="s">
        <v>105</v>
      </c>
      <c r="L962" s="9">
        <f>B962</f>
        <v>2012</v>
      </c>
      <c r="N962" s="30" t="s">
        <v>1323</v>
      </c>
      <c r="O962" s="13" t="s">
        <v>42</v>
      </c>
      <c r="P962" s="13">
        <f t="shared" ref="P962:P1025" si="39">2018-L962</f>
        <v>6</v>
      </c>
      <c r="Q962" s="15">
        <f t="shared" ref="Q962:Q1025" si="40">C962/P962</f>
        <v>84</v>
      </c>
      <c r="R962" s="13" t="s">
        <v>338</v>
      </c>
      <c r="S962" s="13"/>
      <c r="T962" s="13" t="s">
        <v>971</v>
      </c>
      <c r="U962" s="13"/>
      <c r="V962" s="13" t="s">
        <v>3980</v>
      </c>
      <c r="W962" s="13"/>
      <c r="X962" s="13" t="s">
        <v>3980</v>
      </c>
      <c r="Y962" s="13" t="s">
        <v>3980</v>
      </c>
      <c r="Z962" s="13" t="s">
        <v>3980</v>
      </c>
      <c r="AC962" s="18"/>
    </row>
    <row r="963" spans="1:29" x14ac:dyDescent="0.25">
      <c r="A963" s="18" t="s">
        <v>1657</v>
      </c>
      <c r="B963" s="30">
        <v>2010</v>
      </c>
      <c r="C963" s="8">
        <v>339</v>
      </c>
      <c r="D963" s="14">
        <v>0.46800000000000003</v>
      </c>
      <c r="E963" s="14">
        <v>0.48399999999999999</v>
      </c>
      <c r="F963" s="8">
        <v>9</v>
      </c>
      <c r="G963" s="14">
        <v>0.48799999999999999</v>
      </c>
      <c r="H963" s="18" t="s">
        <v>3597</v>
      </c>
      <c r="I963" s="18" t="s">
        <v>157</v>
      </c>
      <c r="J963" s="18" t="s">
        <v>54</v>
      </c>
      <c r="L963" s="9">
        <f>B963</f>
        <v>2010</v>
      </c>
      <c r="N963" s="28" t="s">
        <v>3116</v>
      </c>
      <c r="O963" s="13" t="s">
        <v>28</v>
      </c>
      <c r="P963" s="13">
        <f t="shared" si="39"/>
        <v>8</v>
      </c>
      <c r="Q963" s="15">
        <f t="shared" si="40"/>
        <v>42.375</v>
      </c>
      <c r="R963" s="18" t="s">
        <v>575</v>
      </c>
      <c r="T963" s="18" t="s">
        <v>3786</v>
      </c>
      <c r="V963" s="18" t="s">
        <v>3980</v>
      </c>
      <c r="X963" s="18" t="s">
        <v>3980</v>
      </c>
      <c r="Y963" s="18" t="s">
        <v>3980</v>
      </c>
      <c r="Z963" s="18" t="s">
        <v>3980</v>
      </c>
      <c r="AC963" s="18"/>
    </row>
    <row r="964" spans="1:29" x14ac:dyDescent="0.25">
      <c r="A964" s="18" t="s">
        <v>156</v>
      </c>
      <c r="B964" s="30">
        <v>2003</v>
      </c>
      <c r="C964" s="13">
        <v>725</v>
      </c>
      <c r="D964" s="14">
        <v>0.63400000000000001</v>
      </c>
      <c r="E964" s="14">
        <v>0.93300000000000005</v>
      </c>
      <c r="F964" s="13">
        <v>12</v>
      </c>
      <c r="G964" s="14">
        <v>0.60899999999999999</v>
      </c>
      <c r="H964" s="18" t="s">
        <v>3184</v>
      </c>
      <c r="I964" s="18" t="s">
        <v>157</v>
      </c>
      <c r="J964" s="18" t="s">
        <v>105</v>
      </c>
      <c r="L964" s="9">
        <v>2003</v>
      </c>
      <c r="N964" s="30" t="s">
        <v>158</v>
      </c>
      <c r="O964" s="13" t="s">
        <v>28</v>
      </c>
      <c r="P964" s="13">
        <f t="shared" si="39"/>
        <v>15</v>
      </c>
      <c r="Q964" s="15">
        <f t="shared" si="40"/>
        <v>48.333333333333336</v>
      </c>
      <c r="R964" s="13" t="s">
        <v>84</v>
      </c>
      <c r="S964" s="13"/>
      <c r="T964" s="13" t="s">
        <v>159</v>
      </c>
      <c r="U964" s="13" t="s">
        <v>160</v>
      </c>
      <c r="V964" s="13" t="s">
        <v>3980</v>
      </c>
      <c r="W964" s="13"/>
      <c r="X964" s="13" t="s">
        <v>4751</v>
      </c>
      <c r="Y964" s="13" t="s">
        <v>3980</v>
      </c>
      <c r="Z964" s="13" t="s">
        <v>3980</v>
      </c>
      <c r="AC964" s="18"/>
    </row>
    <row r="965" spans="1:29" x14ac:dyDescent="0.25">
      <c r="A965" s="18" t="s">
        <v>1317</v>
      </c>
      <c r="B965" s="30">
        <v>1983</v>
      </c>
      <c r="C965" s="13">
        <v>2377</v>
      </c>
      <c r="D965" s="14">
        <v>0.86599999999999999</v>
      </c>
      <c r="E965" s="14">
        <v>0.70599999999999996</v>
      </c>
      <c r="F965" s="13">
        <v>26</v>
      </c>
      <c r="G965" s="14">
        <v>0.90200000000000002</v>
      </c>
      <c r="H965" s="18" t="s">
        <v>3490</v>
      </c>
      <c r="I965" s="18" t="s">
        <v>157</v>
      </c>
      <c r="J965" s="18" t="s">
        <v>26</v>
      </c>
      <c r="L965" s="9">
        <v>1983</v>
      </c>
      <c r="M965" s="11"/>
      <c r="N965" s="30" t="s">
        <v>1318</v>
      </c>
      <c r="O965" s="13" t="s">
        <v>28</v>
      </c>
      <c r="P965" s="13">
        <f t="shared" si="39"/>
        <v>35</v>
      </c>
      <c r="Q965" s="15">
        <f t="shared" si="40"/>
        <v>67.914285714285711</v>
      </c>
      <c r="R965" s="13" t="s">
        <v>1319</v>
      </c>
      <c r="S965" s="13"/>
      <c r="T965" s="13" t="s">
        <v>1320</v>
      </c>
      <c r="U965" s="13" t="s">
        <v>1321</v>
      </c>
      <c r="V965" s="13" t="s">
        <v>3980</v>
      </c>
      <c r="W965" s="13"/>
      <c r="X965" s="13" t="s">
        <v>3980</v>
      </c>
      <c r="Y965" s="13" t="s">
        <v>3980</v>
      </c>
      <c r="Z965" s="13" t="s">
        <v>3980</v>
      </c>
      <c r="AC965" s="18"/>
    </row>
    <row r="966" spans="1:29" x14ac:dyDescent="0.25">
      <c r="A966" s="18" t="s">
        <v>4995</v>
      </c>
      <c r="B966" s="30">
        <v>1989</v>
      </c>
      <c r="C966" s="13">
        <v>675</v>
      </c>
      <c r="D966" s="14">
        <v>0.625</v>
      </c>
      <c r="E966" s="14">
        <v>0.35</v>
      </c>
      <c r="F966" s="13">
        <v>16</v>
      </c>
      <c r="G966" s="14">
        <v>0.74099999999999999</v>
      </c>
      <c r="I966" s="18" t="s">
        <v>157</v>
      </c>
      <c r="J966" s="18" t="s">
        <v>26</v>
      </c>
      <c r="L966" s="9">
        <v>1989</v>
      </c>
      <c r="N966" s="30" t="s">
        <v>152</v>
      </c>
      <c r="O966" s="13" t="s">
        <v>42</v>
      </c>
      <c r="P966" s="13">
        <f t="shared" si="39"/>
        <v>29</v>
      </c>
      <c r="Q966" s="15">
        <f t="shared" si="40"/>
        <v>23.275862068965516</v>
      </c>
      <c r="R966" s="13" t="s">
        <v>766</v>
      </c>
      <c r="S966" s="13" t="s">
        <v>1024</v>
      </c>
      <c r="T966" s="13" t="s">
        <v>31</v>
      </c>
      <c r="U966" s="13"/>
      <c r="V966" s="13" t="s">
        <v>3980</v>
      </c>
      <c r="W966" s="13"/>
      <c r="X966" s="13" t="s">
        <v>4752</v>
      </c>
      <c r="Y966" s="13" t="s">
        <v>3980</v>
      </c>
      <c r="Z966" s="13" t="s">
        <v>3980</v>
      </c>
      <c r="AC966" s="18"/>
    </row>
    <row r="967" spans="1:29" x14ac:dyDescent="0.25">
      <c r="A967" s="18" t="s">
        <v>1131</v>
      </c>
      <c r="B967" s="30">
        <v>2007</v>
      </c>
      <c r="C967" s="13">
        <v>113</v>
      </c>
      <c r="D967" s="14">
        <v>0.28299999999999997</v>
      </c>
      <c r="E967" s="14">
        <v>0.255</v>
      </c>
      <c r="F967" s="13">
        <v>7</v>
      </c>
      <c r="G967" s="14">
        <v>0.39300000000000002</v>
      </c>
      <c r="H967" s="18" t="s">
        <v>3438</v>
      </c>
      <c r="I967" s="18" t="s">
        <v>157</v>
      </c>
      <c r="J967" s="18" t="s">
        <v>54</v>
      </c>
      <c r="L967" s="9">
        <v>2007</v>
      </c>
      <c r="N967" s="30" t="s">
        <v>77</v>
      </c>
      <c r="O967" s="13" t="s">
        <v>42</v>
      </c>
      <c r="P967" s="13">
        <f t="shared" si="39"/>
        <v>11</v>
      </c>
      <c r="Q967" s="15">
        <f t="shared" si="40"/>
        <v>10.272727272727273</v>
      </c>
      <c r="R967" s="13" t="s">
        <v>1132</v>
      </c>
      <c r="S967" s="13"/>
      <c r="T967" s="13" t="s">
        <v>1133</v>
      </c>
      <c r="U967" s="13" t="s">
        <v>1134</v>
      </c>
      <c r="V967" s="13" t="s">
        <v>4269</v>
      </c>
      <c r="W967" s="13"/>
      <c r="X967" s="13" t="s">
        <v>4753</v>
      </c>
      <c r="Y967" s="13" t="s">
        <v>3980</v>
      </c>
      <c r="Z967" s="13" t="s">
        <v>3980</v>
      </c>
      <c r="AC967" s="18"/>
    </row>
    <row r="968" spans="1:29" x14ac:dyDescent="0.25">
      <c r="A968" s="18" t="s">
        <v>2089</v>
      </c>
      <c r="B968" s="30">
        <v>2000</v>
      </c>
      <c r="C968" s="13">
        <v>515</v>
      </c>
      <c r="D968" s="14">
        <v>0.56000000000000005</v>
      </c>
      <c r="E968" s="14">
        <v>0.621</v>
      </c>
      <c r="F968" s="13">
        <v>11</v>
      </c>
      <c r="G968" s="14">
        <v>0.56000000000000005</v>
      </c>
      <c r="I968" s="18" t="s">
        <v>157</v>
      </c>
      <c r="J968" s="18" t="s">
        <v>54</v>
      </c>
      <c r="L968" s="9">
        <v>2000</v>
      </c>
      <c r="N968" s="30" t="s">
        <v>2090</v>
      </c>
      <c r="O968" s="13" t="s">
        <v>28</v>
      </c>
      <c r="P968" s="13">
        <f t="shared" si="39"/>
        <v>18</v>
      </c>
      <c r="Q968" s="15">
        <f t="shared" si="40"/>
        <v>28.611111111111111</v>
      </c>
      <c r="R968" s="13" t="s">
        <v>2091</v>
      </c>
      <c r="S968" s="13"/>
      <c r="T968" s="13" t="s">
        <v>2092</v>
      </c>
      <c r="U968" s="13" t="s">
        <v>2093</v>
      </c>
      <c r="V968" s="13" t="s">
        <v>3980</v>
      </c>
      <c r="W968" s="13"/>
      <c r="X968" s="13" t="s">
        <v>3980</v>
      </c>
      <c r="Y968" s="13" t="s">
        <v>3980</v>
      </c>
      <c r="Z968" s="13" t="s">
        <v>3980</v>
      </c>
      <c r="AC968" s="18"/>
    </row>
    <row r="969" spans="1:29" x14ac:dyDescent="0.25">
      <c r="A969" s="18" t="s">
        <v>2188</v>
      </c>
      <c r="B969" s="30">
        <v>2006</v>
      </c>
      <c r="C969" s="13">
        <v>578</v>
      </c>
      <c r="D969" s="14">
        <v>0.59</v>
      </c>
      <c r="E969" s="14">
        <v>0.67600000000000005</v>
      </c>
      <c r="F969" s="13">
        <v>10</v>
      </c>
      <c r="G969" s="14">
        <v>0.52200000000000002</v>
      </c>
      <c r="I969" s="18" t="s">
        <v>157</v>
      </c>
      <c r="J969" s="18" t="s">
        <v>54</v>
      </c>
      <c r="L969" s="9">
        <f>B969</f>
        <v>2006</v>
      </c>
      <c r="N969" s="30" t="s">
        <v>277</v>
      </c>
      <c r="O969" s="13" t="s">
        <v>28</v>
      </c>
      <c r="P969" s="13">
        <f t="shared" si="39"/>
        <v>12</v>
      </c>
      <c r="Q969" s="15">
        <f t="shared" si="40"/>
        <v>48.166666666666664</v>
      </c>
      <c r="R969" s="13" t="s">
        <v>808</v>
      </c>
      <c r="S969" s="13"/>
      <c r="T969" s="13" t="s">
        <v>1813</v>
      </c>
      <c r="U969" s="13"/>
      <c r="V969" s="13" t="s">
        <v>3980</v>
      </c>
      <c r="W969" s="13"/>
      <c r="X969" s="13" t="s">
        <v>3980</v>
      </c>
      <c r="Y969" s="13" t="s">
        <v>3980</v>
      </c>
      <c r="Z969" s="13" t="s">
        <v>3980</v>
      </c>
      <c r="AC969" s="18"/>
    </row>
    <row r="970" spans="1:29" x14ac:dyDescent="0.25">
      <c r="A970" s="18" t="s">
        <v>912</v>
      </c>
      <c r="B970" s="30">
        <v>2012</v>
      </c>
      <c r="C970" s="13">
        <v>469</v>
      </c>
      <c r="D970" s="14">
        <v>0.54</v>
      </c>
      <c r="E970" s="14">
        <v>0.85199999999999998</v>
      </c>
      <c r="F970" s="13">
        <v>12</v>
      </c>
      <c r="G970" s="14">
        <v>0.60899999999999999</v>
      </c>
      <c r="H970" s="18" t="s">
        <v>3373</v>
      </c>
      <c r="I970" s="18" t="s">
        <v>157</v>
      </c>
      <c r="J970" s="18" t="s">
        <v>105</v>
      </c>
      <c r="L970" s="9">
        <f>B970</f>
        <v>2012</v>
      </c>
      <c r="N970" s="30" t="s">
        <v>114</v>
      </c>
      <c r="O970" s="13" t="s">
        <v>42</v>
      </c>
      <c r="P970" s="13">
        <f t="shared" si="39"/>
        <v>6</v>
      </c>
      <c r="Q970" s="15">
        <f t="shared" si="40"/>
        <v>78.166666666666671</v>
      </c>
      <c r="R970" s="13" t="s">
        <v>913</v>
      </c>
      <c r="S970" s="13"/>
      <c r="T970" s="13" t="s">
        <v>914</v>
      </c>
      <c r="U970" s="13"/>
      <c r="V970" s="13" t="s">
        <v>3980</v>
      </c>
      <c r="W970" s="13"/>
      <c r="X970" s="13" t="s">
        <v>3980</v>
      </c>
      <c r="Y970" s="13" t="s">
        <v>3980</v>
      </c>
      <c r="Z970" s="13" t="s">
        <v>3980</v>
      </c>
      <c r="AC970" s="18"/>
    </row>
    <row r="971" spans="1:29" x14ac:dyDescent="0.25">
      <c r="A971" s="18" t="s">
        <v>1204</v>
      </c>
      <c r="B971" s="30">
        <v>2008</v>
      </c>
      <c r="C971" s="13">
        <v>157</v>
      </c>
      <c r="D971" s="14">
        <v>0.34699999999999998</v>
      </c>
      <c r="E971" s="14">
        <v>0.64200000000000002</v>
      </c>
      <c r="F971" s="13">
        <v>5</v>
      </c>
      <c r="G971" s="14">
        <v>0.27400000000000002</v>
      </c>
      <c r="H971" s="18" t="s">
        <v>3458</v>
      </c>
      <c r="I971" s="18" t="s">
        <v>157</v>
      </c>
      <c r="J971" s="18" t="s">
        <v>105</v>
      </c>
      <c r="L971" s="9">
        <f>B971</f>
        <v>2008</v>
      </c>
      <c r="N971" s="30" t="s">
        <v>259</v>
      </c>
      <c r="O971" s="13" t="s">
        <v>42</v>
      </c>
      <c r="P971" s="13">
        <f t="shared" si="39"/>
        <v>10</v>
      </c>
      <c r="Q971" s="15">
        <f t="shared" si="40"/>
        <v>15.7</v>
      </c>
      <c r="R971" s="13" t="s">
        <v>1117</v>
      </c>
      <c r="S971" s="13"/>
      <c r="T971" s="13" t="s">
        <v>1205</v>
      </c>
      <c r="U971" s="13"/>
      <c r="V971" s="13" t="s">
        <v>3980</v>
      </c>
      <c r="W971" s="13"/>
      <c r="X971" s="13" t="s">
        <v>3980</v>
      </c>
      <c r="Y971" s="13" t="s">
        <v>3980</v>
      </c>
      <c r="Z971" s="13" t="s">
        <v>3980</v>
      </c>
      <c r="AC971" s="18"/>
    </row>
    <row r="972" spans="1:29" x14ac:dyDescent="0.25">
      <c r="A972" s="18" t="s">
        <v>514</v>
      </c>
      <c r="B972" s="30">
        <v>2012</v>
      </c>
      <c r="C972" s="13">
        <v>757</v>
      </c>
      <c r="D972" s="14">
        <v>0.64600000000000002</v>
      </c>
      <c r="E972" s="14">
        <v>0.73899999999999999</v>
      </c>
      <c r="F972" s="13">
        <v>15</v>
      </c>
      <c r="G972" s="14">
        <v>0.71</v>
      </c>
      <c r="H972" s="18" t="s">
        <v>3267</v>
      </c>
      <c r="I972" s="18" t="s">
        <v>157</v>
      </c>
      <c r="J972" s="18" t="s">
        <v>54</v>
      </c>
      <c r="L972" s="9">
        <v>2012</v>
      </c>
      <c r="N972" s="30" t="s">
        <v>277</v>
      </c>
      <c r="O972" s="13" t="s">
        <v>28</v>
      </c>
      <c r="P972" s="13">
        <f t="shared" si="39"/>
        <v>6</v>
      </c>
      <c r="Q972" s="15">
        <f t="shared" si="40"/>
        <v>126.16666666666667</v>
      </c>
      <c r="R972" s="13" t="s">
        <v>515</v>
      </c>
      <c r="S972" s="13"/>
      <c r="T972" s="13" t="s">
        <v>516</v>
      </c>
      <c r="U972" s="13" t="s">
        <v>517</v>
      </c>
      <c r="V972" s="13" t="s">
        <v>4270</v>
      </c>
      <c r="W972" s="13"/>
      <c r="X972" s="13" t="s">
        <v>3980</v>
      </c>
      <c r="Y972" s="13" t="s">
        <v>3980</v>
      </c>
      <c r="Z972" s="13" t="s">
        <v>3980</v>
      </c>
      <c r="AC972" s="18"/>
    </row>
    <row r="973" spans="1:29" x14ac:dyDescent="0.25">
      <c r="A973" s="18" t="s">
        <v>4889</v>
      </c>
      <c r="B973" s="30">
        <v>2000</v>
      </c>
      <c r="C973" s="13">
        <v>4372</v>
      </c>
      <c r="D973" s="14">
        <v>0.93400000000000005</v>
      </c>
      <c r="E973" s="14">
        <v>0.84899999999999998</v>
      </c>
      <c r="F973" s="13">
        <v>28</v>
      </c>
      <c r="G973" s="14">
        <v>0.91800000000000004</v>
      </c>
      <c r="I973" s="18" t="s">
        <v>157</v>
      </c>
      <c r="J973" s="18" t="s">
        <v>26</v>
      </c>
      <c r="K973" s="4"/>
      <c r="L973" s="9">
        <v>2000</v>
      </c>
      <c r="N973" s="30" t="s">
        <v>120</v>
      </c>
      <c r="O973" s="13" t="s">
        <v>42</v>
      </c>
      <c r="P973" s="13">
        <f t="shared" si="39"/>
        <v>18</v>
      </c>
      <c r="Q973" s="15">
        <f t="shared" si="40"/>
        <v>242.88888888888889</v>
      </c>
      <c r="R973" s="13" t="s">
        <v>1015</v>
      </c>
      <c r="S973" s="13" t="s">
        <v>1024</v>
      </c>
      <c r="T973" s="13" t="s">
        <v>1653</v>
      </c>
      <c r="U973" s="13"/>
      <c r="V973" s="13" t="s">
        <v>3980</v>
      </c>
      <c r="W973" s="13"/>
      <c r="X973" s="13" t="s">
        <v>4754</v>
      </c>
      <c r="Y973" s="13" t="s">
        <v>3980</v>
      </c>
      <c r="Z973" s="13" t="s">
        <v>3980</v>
      </c>
      <c r="AC973" s="18"/>
    </row>
    <row r="974" spans="1:29" x14ac:dyDescent="0.25">
      <c r="A974" s="18" t="s">
        <v>2133</v>
      </c>
      <c r="B974" s="30">
        <v>2016</v>
      </c>
      <c r="C974" s="8">
        <v>288</v>
      </c>
      <c r="D974" s="14">
        <v>0.439</v>
      </c>
      <c r="E974" s="14">
        <v>0.747</v>
      </c>
      <c r="F974" s="8">
        <v>8</v>
      </c>
      <c r="G974" s="14">
        <v>0.434</v>
      </c>
      <c r="H974" s="18" t="s">
        <v>3554</v>
      </c>
      <c r="I974" s="18" t="s">
        <v>157</v>
      </c>
      <c r="J974" s="18" t="s">
        <v>105</v>
      </c>
      <c r="L974" s="9">
        <f>B974</f>
        <v>2016</v>
      </c>
      <c r="N974" s="28" t="s">
        <v>157</v>
      </c>
      <c r="O974" s="13" t="s">
        <v>28</v>
      </c>
      <c r="P974" s="13">
        <f t="shared" si="39"/>
        <v>2</v>
      </c>
      <c r="Q974" s="15">
        <f t="shared" si="40"/>
        <v>144</v>
      </c>
      <c r="R974" s="18" t="s">
        <v>571</v>
      </c>
      <c r="T974" s="18" t="s">
        <v>3719</v>
      </c>
      <c r="V974" s="18" t="s">
        <v>3980</v>
      </c>
      <c r="X974" s="18" t="s">
        <v>3980</v>
      </c>
      <c r="Y974" s="18" t="s">
        <v>3980</v>
      </c>
      <c r="Z974" s="18" t="s">
        <v>3980</v>
      </c>
      <c r="AC974" s="18"/>
    </row>
    <row r="975" spans="1:29" x14ac:dyDescent="0.25">
      <c r="A975" s="18" t="s">
        <v>2156</v>
      </c>
      <c r="B975" s="30">
        <v>2008</v>
      </c>
      <c r="C975" s="13">
        <v>275</v>
      </c>
      <c r="D975" s="14">
        <v>0.43</v>
      </c>
      <c r="E975" s="14">
        <v>0.435</v>
      </c>
      <c r="F975" s="13">
        <v>8</v>
      </c>
      <c r="G975" s="14">
        <v>0.434</v>
      </c>
      <c r="I975" s="18" t="s">
        <v>157</v>
      </c>
      <c r="J975" s="18" t="s">
        <v>54</v>
      </c>
      <c r="L975" s="9">
        <f>B975</f>
        <v>2008</v>
      </c>
      <c r="N975" s="30" t="s">
        <v>161</v>
      </c>
      <c r="O975" s="13" t="s">
        <v>28</v>
      </c>
      <c r="P975" s="13">
        <f t="shared" si="39"/>
        <v>10</v>
      </c>
      <c r="Q975" s="15">
        <f t="shared" si="40"/>
        <v>27.5</v>
      </c>
      <c r="R975" s="13" t="s">
        <v>2157</v>
      </c>
      <c r="S975" s="13"/>
      <c r="T975" s="13" t="s">
        <v>1183</v>
      </c>
      <c r="U975" s="13"/>
      <c r="V975" s="13" t="s">
        <v>3980</v>
      </c>
      <c r="W975" s="13"/>
      <c r="X975" s="13" t="s">
        <v>3980</v>
      </c>
      <c r="Y975" s="13" t="s">
        <v>3980</v>
      </c>
      <c r="Z975" s="13" t="s">
        <v>3980</v>
      </c>
      <c r="AC975" s="18"/>
    </row>
    <row r="976" spans="1:29" x14ac:dyDescent="0.25">
      <c r="A976" s="18" t="s">
        <v>2479</v>
      </c>
      <c r="B976" s="30">
        <v>1989</v>
      </c>
      <c r="C976" s="13">
        <v>626</v>
      </c>
      <c r="D976" s="14">
        <v>0.61</v>
      </c>
      <c r="E976" s="14">
        <v>0.34100000000000003</v>
      </c>
      <c r="F976" s="13">
        <v>14</v>
      </c>
      <c r="G976" s="14">
        <v>0.67900000000000005</v>
      </c>
      <c r="I976" s="18" t="s">
        <v>157</v>
      </c>
      <c r="J976" s="18" t="s">
        <v>26</v>
      </c>
      <c r="K976" s="4"/>
      <c r="L976" s="9">
        <v>1989</v>
      </c>
      <c r="N976" s="30" t="s">
        <v>157</v>
      </c>
      <c r="O976" s="13" t="s">
        <v>28</v>
      </c>
      <c r="P976" s="13">
        <f t="shared" si="39"/>
        <v>29</v>
      </c>
      <c r="Q976" s="15">
        <f t="shared" si="40"/>
        <v>21.586206896551722</v>
      </c>
      <c r="R976" s="13" t="s">
        <v>746</v>
      </c>
      <c r="S976" s="13"/>
      <c r="T976" s="13" t="s">
        <v>2480</v>
      </c>
      <c r="U976" s="13" t="s">
        <v>2481</v>
      </c>
      <c r="V976" s="13" t="s">
        <v>4271</v>
      </c>
      <c r="W976" s="13"/>
      <c r="X976" s="13" t="s">
        <v>4755</v>
      </c>
      <c r="Y976" s="13" t="s">
        <v>3980</v>
      </c>
      <c r="Z976" s="13" t="s">
        <v>3980</v>
      </c>
      <c r="AC976" s="18"/>
    </row>
    <row r="977" spans="1:29" x14ac:dyDescent="0.25">
      <c r="A977" s="18" t="s">
        <v>1747</v>
      </c>
      <c r="B977" s="30">
        <v>2005</v>
      </c>
      <c r="C977" s="13">
        <v>454</v>
      </c>
      <c r="D977" s="14">
        <v>0.53600000000000003</v>
      </c>
      <c r="E977" s="14">
        <v>0.59</v>
      </c>
      <c r="F977" s="13">
        <v>10</v>
      </c>
      <c r="G977" s="14">
        <v>0.52200000000000002</v>
      </c>
      <c r="I977" s="18" t="s">
        <v>157</v>
      </c>
      <c r="J977" s="18" t="s">
        <v>54</v>
      </c>
      <c r="K977" s="4"/>
      <c r="L977" s="9">
        <v>2005</v>
      </c>
      <c r="N977" s="30" t="s">
        <v>1323</v>
      </c>
      <c r="O977" s="13" t="s">
        <v>28</v>
      </c>
      <c r="P977" s="13">
        <f t="shared" si="39"/>
        <v>13</v>
      </c>
      <c r="Q977" s="15">
        <f t="shared" si="40"/>
        <v>34.92307692307692</v>
      </c>
      <c r="R977" s="13" t="s">
        <v>1748</v>
      </c>
      <c r="S977" s="13"/>
      <c r="T977" s="13" t="s">
        <v>1749</v>
      </c>
      <c r="U977" s="13" t="s">
        <v>1750</v>
      </c>
      <c r="V977" s="13" t="s">
        <v>3980</v>
      </c>
      <c r="W977" s="13"/>
      <c r="X977" s="13" t="s">
        <v>4756</v>
      </c>
      <c r="Y977" s="13" t="s">
        <v>3980</v>
      </c>
      <c r="Z977" s="13" t="s">
        <v>3980</v>
      </c>
      <c r="AC977" s="18"/>
    </row>
    <row r="978" spans="1:29" x14ac:dyDescent="0.25">
      <c r="A978" s="18" t="s">
        <v>4985</v>
      </c>
      <c r="B978" s="30">
        <v>2001</v>
      </c>
      <c r="C978" s="13">
        <v>738</v>
      </c>
      <c r="D978" s="14">
        <v>0.63900000000000001</v>
      </c>
      <c r="E978" s="14">
        <v>0.371</v>
      </c>
      <c r="F978" s="13">
        <v>13</v>
      </c>
      <c r="G978" s="14">
        <v>0.64500000000000002</v>
      </c>
      <c r="H978" s="18" t="s">
        <v>3689</v>
      </c>
      <c r="I978" s="18" t="s">
        <v>111</v>
      </c>
      <c r="J978" t="s">
        <v>26</v>
      </c>
      <c r="L978" s="9">
        <v>2001</v>
      </c>
      <c r="N978" s="30" t="s">
        <v>111</v>
      </c>
      <c r="O978" s="13" t="s">
        <v>28</v>
      </c>
      <c r="P978" s="13">
        <f t="shared" si="39"/>
        <v>17</v>
      </c>
      <c r="Q978" s="15">
        <f t="shared" si="40"/>
        <v>43.411764705882355</v>
      </c>
      <c r="R978" s="13" t="s">
        <v>2292</v>
      </c>
      <c r="S978" s="13" t="s">
        <v>680</v>
      </c>
      <c r="T978" s="13" t="s">
        <v>2293</v>
      </c>
      <c r="U978" s="13" t="s">
        <v>2294</v>
      </c>
      <c r="V978" s="13" t="s">
        <v>4272</v>
      </c>
      <c r="W978" s="13"/>
      <c r="X978" s="13" t="s">
        <v>4757</v>
      </c>
      <c r="Y978" s="13" t="s">
        <v>3980</v>
      </c>
      <c r="Z978" s="13" t="s">
        <v>3980</v>
      </c>
      <c r="AC978" s="18"/>
    </row>
    <row r="979" spans="1:29" x14ac:dyDescent="0.25">
      <c r="A979" s="18" t="s">
        <v>4845</v>
      </c>
      <c r="B979" s="30">
        <v>2006</v>
      </c>
      <c r="C979" s="8">
        <v>118</v>
      </c>
      <c r="D979" s="14">
        <v>0.29199999999999998</v>
      </c>
      <c r="E979" s="14">
        <v>0.26900000000000002</v>
      </c>
      <c r="F979" s="8">
        <v>5</v>
      </c>
      <c r="G979" s="14">
        <v>0.27400000000000002</v>
      </c>
      <c r="H979" s="18" t="s">
        <v>3600</v>
      </c>
      <c r="I979" s="18" t="s">
        <v>111</v>
      </c>
      <c r="J979" s="18" t="s">
        <v>54</v>
      </c>
      <c r="L979" s="9">
        <f>B979</f>
        <v>2006</v>
      </c>
      <c r="N979" s="28" t="s">
        <v>77</v>
      </c>
      <c r="O979" s="13" t="s">
        <v>42</v>
      </c>
      <c r="P979" s="13">
        <f t="shared" si="39"/>
        <v>12</v>
      </c>
      <c r="Q979" s="15">
        <f t="shared" si="40"/>
        <v>9.8333333333333339</v>
      </c>
      <c r="R979" s="18" t="s">
        <v>3787</v>
      </c>
      <c r="T979" s="18" t="s">
        <v>3788</v>
      </c>
      <c r="V979" s="18" t="s">
        <v>3980</v>
      </c>
      <c r="X979" s="18" t="s">
        <v>3980</v>
      </c>
      <c r="Y979" s="18" t="s">
        <v>3980</v>
      </c>
      <c r="Z979" s="18" t="s">
        <v>3980</v>
      </c>
      <c r="AC979" s="18"/>
    </row>
    <row r="980" spans="1:29" x14ac:dyDescent="0.25">
      <c r="A980" s="18" t="s">
        <v>4926</v>
      </c>
      <c r="B980" s="30">
        <v>1984</v>
      </c>
      <c r="C980" s="13">
        <v>1356</v>
      </c>
      <c r="D980" s="14">
        <v>0.76</v>
      </c>
      <c r="E980" s="14">
        <v>0.52300000000000002</v>
      </c>
      <c r="F980" s="13">
        <v>19</v>
      </c>
      <c r="G980" s="14">
        <v>0.81299999999999994</v>
      </c>
      <c r="H980" s="18" t="s">
        <v>3328</v>
      </c>
      <c r="I980" s="18" t="s">
        <v>111</v>
      </c>
      <c r="J980" s="18" t="s">
        <v>26</v>
      </c>
      <c r="L980" s="9">
        <v>1984</v>
      </c>
      <c r="N980" s="30" t="s">
        <v>152</v>
      </c>
      <c r="O980" s="13" t="s">
        <v>28</v>
      </c>
      <c r="P980" s="13">
        <f t="shared" si="39"/>
        <v>34</v>
      </c>
      <c r="Q980" s="15">
        <f t="shared" si="40"/>
        <v>39.882352941176471</v>
      </c>
      <c r="R980" s="13" t="s">
        <v>751</v>
      </c>
      <c r="S980" s="13" t="s">
        <v>239</v>
      </c>
      <c r="T980" s="13" t="s">
        <v>752</v>
      </c>
      <c r="U980" s="13" t="s">
        <v>753</v>
      </c>
      <c r="V980" s="13" t="s">
        <v>3980</v>
      </c>
      <c r="W980" s="13"/>
      <c r="X980" s="13" t="s">
        <v>3980</v>
      </c>
      <c r="Y980" s="13" t="s">
        <v>3980</v>
      </c>
      <c r="Z980" s="13" t="s">
        <v>3980</v>
      </c>
      <c r="AC980" s="18"/>
    </row>
    <row r="981" spans="1:29" x14ac:dyDescent="0.25">
      <c r="A981" s="18" t="s">
        <v>3034</v>
      </c>
      <c r="B981" s="30">
        <v>2017</v>
      </c>
      <c r="C981" s="8">
        <v>142</v>
      </c>
      <c r="D981" s="14">
        <v>0.33100000000000002</v>
      </c>
      <c r="E981" s="14">
        <v>0.61</v>
      </c>
      <c r="F981" s="8">
        <v>6</v>
      </c>
      <c r="G981" s="14">
        <v>0.32200000000000001</v>
      </c>
      <c r="H981" s="18" t="s">
        <v>3558</v>
      </c>
      <c r="I981" s="18" t="s">
        <v>111</v>
      </c>
      <c r="J981" s="18" t="s">
        <v>105</v>
      </c>
      <c r="L981" s="9">
        <v>2017</v>
      </c>
      <c r="N981" s="30" t="s">
        <v>152</v>
      </c>
      <c r="O981" s="13" t="s">
        <v>42</v>
      </c>
      <c r="P981" s="13">
        <f t="shared" si="39"/>
        <v>1</v>
      </c>
      <c r="Q981" s="15">
        <f t="shared" si="40"/>
        <v>142</v>
      </c>
      <c r="R981" s="18" t="s">
        <v>3721</v>
      </c>
      <c r="T981" s="18" t="s">
        <v>320</v>
      </c>
      <c r="V981" s="18" t="s">
        <v>3980</v>
      </c>
      <c r="X981" s="18" t="s">
        <v>3980</v>
      </c>
      <c r="Y981" s="18" t="s">
        <v>3980</v>
      </c>
      <c r="Z981" s="18" t="s">
        <v>3980</v>
      </c>
      <c r="AC981" s="18"/>
    </row>
    <row r="982" spans="1:29" x14ac:dyDescent="0.25">
      <c r="A982" s="18" t="s">
        <v>4937</v>
      </c>
      <c r="B982" s="30">
        <v>1991</v>
      </c>
      <c r="C982" s="13">
        <v>742</v>
      </c>
      <c r="D982" s="14">
        <v>0.64100000000000001</v>
      </c>
      <c r="E982" s="14">
        <v>0.378</v>
      </c>
      <c r="F982" s="13">
        <v>11</v>
      </c>
      <c r="G982" s="14">
        <v>0.56000000000000005</v>
      </c>
      <c r="H982" s="18" t="s">
        <v>3194</v>
      </c>
      <c r="I982" s="18" t="s">
        <v>111</v>
      </c>
      <c r="J982" s="18" t="s">
        <v>26</v>
      </c>
      <c r="K982" s="4"/>
      <c r="L982" s="9">
        <v>1991</v>
      </c>
      <c r="N982" s="30" t="s">
        <v>152</v>
      </c>
      <c r="O982" s="13" t="s">
        <v>28</v>
      </c>
      <c r="P982" s="13">
        <f t="shared" si="39"/>
        <v>27</v>
      </c>
      <c r="Q982" s="15">
        <f t="shared" si="40"/>
        <v>27.481481481481481</v>
      </c>
      <c r="R982" s="13" t="s">
        <v>205</v>
      </c>
      <c r="S982" s="13" t="s">
        <v>206</v>
      </c>
      <c r="T982" s="13" t="s">
        <v>207</v>
      </c>
      <c r="U982" s="13" t="s">
        <v>208</v>
      </c>
      <c r="V982" s="13" t="s">
        <v>4273</v>
      </c>
      <c r="W982" s="13"/>
      <c r="X982" s="13" t="s">
        <v>4758</v>
      </c>
      <c r="Y982" s="13" t="s">
        <v>3980</v>
      </c>
      <c r="Z982" s="13" t="s">
        <v>3980</v>
      </c>
      <c r="AC982" s="18"/>
    </row>
    <row r="983" spans="1:29" x14ac:dyDescent="0.25">
      <c r="A983" s="18" t="s">
        <v>4883</v>
      </c>
      <c r="B983" s="30">
        <v>1992</v>
      </c>
      <c r="C983" s="13">
        <v>3324</v>
      </c>
      <c r="D983" s="14">
        <v>0.90900000000000003</v>
      </c>
      <c r="E983" s="14">
        <v>0.79700000000000004</v>
      </c>
      <c r="F983" s="13">
        <v>25</v>
      </c>
      <c r="G983" s="14">
        <v>0.89500000000000002</v>
      </c>
      <c r="H983" s="18" t="s">
        <v>3320</v>
      </c>
      <c r="I983" s="18" t="s">
        <v>111</v>
      </c>
      <c r="J983" s="18" t="s">
        <v>26</v>
      </c>
      <c r="K983" s="4"/>
      <c r="L983" s="9">
        <v>1992</v>
      </c>
      <c r="N983" s="30" t="s">
        <v>713</v>
      </c>
      <c r="O983" s="13" t="s">
        <v>28</v>
      </c>
      <c r="P983" s="13">
        <f t="shared" si="39"/>
        <v>26</v>
      </c>
      <c r="Q983" s="15">
        <f t="shared" si="40"/>
        <v>127.84615384615384</v>
      </c>
      <c r="R983" s="13" t="s">
        <v>173</v>
      </c>
      <c r="S983" s="13" t="s">
        <v>480</v>
      </c>
      <c r="T983" s="13" t="s">
        <v>714</v>
      </c>
      <c r="U983" s="13" t="s">
        <v>715</v>
      </c>
      <c r="V983" s="13" t="s">
        <v>4274</v>
      </c>
      <c r="W983" s="13"/>
      <c r="X983" s="13" t="s">
        <v>4759</v>
      </c>
      <c r="Y983" s="13" t="s">
        <v>3980</v>
      </c>
      <c r="Z983" s="13" t="s">
        <v>3980</v>
      </c>
      <c r="AC983" s="18"/>
    </row>
    <row r="984" spans="1:29" x14ac:dyDescent="0.25">
      <c r="A984" s="18" t="s">
        <v>271</v>
      </c>
      <c r="B984" s="30">
        <v>1993</v>
      </c>
      <c r="C984" s="13">
        <v>799</v>
      </c>
      <c r="D984" s="14">
        <v>0.65600000000000003</v>
      </c>
      <c r="E984" s="14">
        <v>0.39800000000000002</v>
      </c>
      <c r="F984" s="13">
        <v>14</v>
      </c>
      <c r="G984" s="14">
        <v>0.67900000000000005</v>
      </c>
      <c r="H984" s="18" t="s">
        <v>3209</v>
      </c>
      <c r="I984" s="18" t="s">
        <v>111</v>
      </c>
      <c r="J984" s="18" t="s">
        <v>26</v>
      </c>
      <c r="K984" s="4"/>
      <c r="L984" s="9">
        <v>1993</v>
      </c>
      <c r="N984" s="30" t="s">
        <v>272</v>
      </c>
      <c r="O984" s="13" t="s">
        <v>28</v>
      </c>
      <c r="P984" s="13">
        <f t="shared" si="39"/>
        <v>25</v>
      </c>
      <c r="Q984" s="15">
        <f t="shared" si="40"/>
        <v>31.96</v>
      </c>
      <c r="R984" s="13" t="s">
        <v>273</v>
      </c>
      <c r="S984" s="13"/>
      <c r="T984" s="13" t="s">
        <v>274</v>
      </c>
      <c r="U984" s="13" t="s">
        <v>275</v>
      </c>
      <c r="V984" s="13" t="s">
        <v>3980</v>
      </c>
      <c r="W984" s="13"/>
      <c r="X984" s="13" t="s">
        <v>4760</v>
      </c>
      <c r="Y984" s="13" t="s">
        <v>3980</v>
      </c>
      <c r="Z984" s="13" t="s">
        <v>3980</v>
      </c>
      <c r="AC984" s="18"/>
    </row>
    <row r="985" spans="1:29" x14ac:dyDescent="0.25">
      <c r="A985" s="18" t="s">
        <v>4855</v>
      </c>
      <c r="B985" s="30">
        <v>1986</v>
      </c>
      <c r="C985" s="13">
        <v>310</v>
      </c>
      <c r="D985" s="14">
        <v>0.45100000000000001</v>
      </c>
      <c r="E985" s="14">
        <v>0.24099999999999999</v>
      </c>
      <c r="F985" s="13">
        <v>9</v>
      </c>
      <c r="G985" s="14">
        <v>0.48799999999999999</v>
      </c>
      <c r="H985" s="18" t="s">
        <v>3668</v>
      </c>
      <c r="I985" s="18" t="s">
        <v>111</v>
      </c>
      <c r="J985" s="18" t="s">
        <v>26</v>
      </c>
      <c r="L985" s="9">
        <v>1986</v>
      </c>
      <c r="M985" s="11"/>
      <c r="N985" s="30" t="s">
        <v>1088</v>
      </c>
      <c r="O985" s="13" t="s">
        <v>28</v>
      </c>
      <c r="P985" s="13">
        <f t="shared" si="39"/>
        <v>32</v>
      </c>
      <c r="Q985" s="15">
        <f t="shared" si="40"/>
        <v>9.6875</v>
      </c>
      <c r="R985" s="13" t="s">
        <v>575</v>
      </c>
      <c r="S985" s="13" t="s">
        <v>480</v>
      </c>
      <c r="T985" s="13" t="s">
        <v>1661</v>
      </c>
      <c r="U985" s="13" t="s">
        <v>1662</v>
      </c>
      <c r="V985" s="13" t="s">
        <v>3980</v>
      </c>
      <c r="W985" s="13"/>
      <c r="X985" s="13" t="s">
        <v>4761</v>
      </c>
      <c r="Y985" s="13" t="s">
        <v>3980</v>
      </c>
      <c r="Z985" s="13" t="s">
        <v>3980</v>
      </c>
      <c r="AC985" s="18"/>
    </row>
    <row r="986" spans="1:29" x14ac:dyDescent="0.25">
      <c r="A986" s="18" t="s">
        <v>4993</v>
      </c>
      <c r="B986" s="30">
        <v>2004</v>
      </c>
      <c r="C986" s="13">
        <v>379</v>
      </c>
      <c r="D986" s="14">
        <v>0.49299999999999999</v>
      </c>
      <c r="E986" s="14">
        <v>0.53</v>
      </c>
      <c r="F986" s="13">
        <v>11</v>
      </c>
      <c r="G986" s="14">
        <v>0.56000000000000005</v>
      </c>
      <c r="I986" s="18" t="s">
        <v>111</v>
      </c>
      <c r="J986" s="18" t="s">
        <v>54</v>
      </c>
      <c r="K986" s="4"/>
      <c r="L986" s="9">
        <v>2004</v>
      </c>
      <c r="N986" s="30" t="s">
        <v>67</v>
      </c>
      <c r="O986" s="13" t="s">
        <v>28</v>
      </c>
      <c r="P986" s="13">
        <f t="shared" si="39"/>
        <v>14</v>
      </c>
      <c r="Q986" s="15">
        <f t="shared" si="40"/>
        <v>27.071428571428573</v>
      </c>
      <c r="R986" s="13" t="s">
        <v>2332</v>
      </c>
      <c r="S986" s="13" t="s">
        <v>164</v>
      </c>
      <c r="T986" s="13" t="s">
        <v>2333</v>
      </c>
      <c r="U986" s="13" t="s">
        <v>2334</v>
      </c>
      <c r="V986" s="13" t="s">
        <v>3980</v>
      </c>
      <c r="W986" s="13"/>
      <c r="X986" s="13" t="s">
        <v>4762</v>
      </c>
      <c r="Y986" s="13" t="s">
        <v>3980</v>
      </c>
      <c r="Z986" s="13" t="s">
        <v>3980</v>
      </c>
      <c r="AC986" s="18"/>
    </row>
    <row r="987" spans="1:29" x14ac:dyDescent="0.25">
      <c r="A987" s="18" t="s">
        <v>1228</v>
      </c>
      <c r="B987" s="30">
        <v>2014</v>
      </c>
      <c r="C987" s="13">
        <v>56</v>
      </c>
      <c r="D987" s="14">
        <v>0.19</v>
      </c>
      <c r="E987" s="14">
        <v>0.36799999999999999</v>
      </c>
      <c r="F987" s="13">
        <v>3</v>
      </c>
      <c r="G987" s="14">
        <v>0.13100000000000001</v>
      </c>
      <c r="H987" s="18" t="s">
        <v>3466</v>
      </c>
      <c r="I987" s="18" t="s">
        <v>111</v>
      </c>
      <c r="J987" s="18" t="s">
        <v>105</v>
      </c>
      <c r="K987" s="4"/>
      <c r="L987" s="9">
        <f>B987</f>
        <v>2014</v>
      </c>
      <c r="N987" s="30" t="s">
        <v>88</v>
      </c>
      <c r="O987" s="13" t="s">
        <v>28</v>
      </c>
      <c r="P987" s="13">
        <f t="shared" si="39"/>
        <v>4</v>
      </c>
      <c r="Q987" s="15">
        <f t="shared" si="40"/>
        <v>14</v>
      </c>
      <c r="R987" s="13" t="s">
        <v>1229</v>
      </c>
      <c r="S987" s="13"/>
      <c r="T987" s="13" t="s">
        <v>1230</v>
      </c>
      <c r="U987" s="13"/>
      <c r="V987" s="13" t="s">
        <v>3980</v>
      </c>
      <c r="W987" s="13"/>
      <c r="X987" s="13" t="s">
        <v>3980</v>
      </c>
      <c r="Y987" s="13" t="s">
        <v>3980</v>
      </c>
      <c r="Z987" s="13" t="s">
        <v>3980</v>
      </c>
      <c r="AC987" s="18"/>
    </row>
    <row r="988" spans="1:29" x14ac:dyDescent="0.25">
      <c r="A988" s="18" t="s">
        <v>1920</v>
      </c>
      <c r="B988" s="30">
        <v>1986</v>
      </c>
      <c r="C988" s="13">
        <v>3</v>
      </c>
      <c r="D988" s="14">
        <v>3.2000000000000001E-2</v>
      </c>
      <c r="E988" s="14">
        <v>2.8000000000000001E-2</v>
      </c>
      <c r="F988" s="13">
        <v>1</v>
      </c>
      <c r="G988" s="14">
        <v>0</v>
      </c>
      <c r="I988" s="18" t="s">
        <v>1921</v>
      </c>
      <c r="J988" s="18" t="s">
        <v>54</v>
      </c>
      <c r="K988" s="4"/>
      <c r="L988" s="9">
        <f>B988</f>
        <v>1986</v>
      </c>
      <c r="N988" s="30" t="s">
        <v>3091</v>
      </c>
      <c r="O988" s="13" t="s">
        <v>28</v>
      </c>
      <c r="P988" s="13">
        <f t="shared" si="39"/>
        <v>32</v>
      </c>
      <c r="Q988" s="15">
        <f t="shared" si="40"/>
        <v>9.375E-2</v>
      </c>
      <c r="R988" s="13" t="s">
        <v>1922</v>
      </c>
      <c r="S988" s="13"/>
      <c r="T988" s="13" t="s">
        <v>1923</v>
      </c>
      <c r="U988" s="13"/>
      <c r="V988" s="13" t="s">
        <v>3980</v>
      </c>
      <c r="W988" s="13"/>
      <c r="X988" s="13" t="s">
        <v>3980</v>
      </c>
      <c r="Y988" s="13" t="s">
        <v>3980</v>
      </c>
      <c r="Z988" s="13" t="s">
        <v>3980</v>
      </c>
      <c r="AC988" s="18"/>
    </row>
    <row r="989" spans="1:29" x14ac:dyDescent="0.25">
      <c r="A989" s="18" t="s">
        <v>2589</v>
      </c>
      <c r="B989" s="30">
        <v>1982</v>
      </c>
      <c r="C989" s="13">
        <v>375</v>
      </c>
      <c r="D989" s="14">
        <v>0.48799999999999999</v>
      </c>
      <c r="E989" s="14">
        <v>0.51500000000000001</v>
      </c>
      <c r="F989" s="13">
        <v>10</v>
      </c>
      <c r="G989" s="14">
        <v>0.52200000000000002</v>
      </c>
      <c r="I989" s="18" t="s">
        <v>1921</v>
      </c>
      <c r="J989" s="18" t="s">
        <v>54</v>
      </c>
      <c r="K989" s="4"/>
      <c r="L989" s="9">
        <v>1982</v>
      </c>
      <c r="M989" s="11"/>
      <c r="N989" s="30" t="s">
        <v>2023</v>
      </c>
      <c r="O989" s="13" t="s">
        <v>42</v>
      </c>
      <c r="P989" s="13">
        <f t="shared" si="39"/>
        <v>36</v>
      </c>
      <c r="Q989" s="15">
        <f t="shared" si="40"/>
        <v>10.416666666666666</v>
      </c>
      <c r="R989" s="13" t="s">
        <v>2590</v>
      </c>
      <c r="S989" s="13"/>
      <c r="T989" s="13" t="s">
        <v>227</v>
      </c>
      <c r="U989" s="13" t="s">
        <v>2591</v>
      </c>
      <c r="V989" s="13" t="s">
        <v>3980</v>
      </c>
      <c r="W989" s="13"/>
      <c r="X989" s="13" t="s">
        <v>4763</v>
      </c>
      <c r="Y989" s="13" t="s">
        <v>3980</v>
      </c>
      <c r="Z989" s="13" t="s">
        <v>3980</v>
      </c>
      <c r="AC989" s="18"/>
    </row>
    <row r="990" spans="1:29" x14ac:dyDescent="0.25">
      <c r="A990" s="18" t="s">
        <v>4989</v>
      </c>
      <c r="B990" s="30">
        <v>1992</v>
      </c>
      <c r="C990" s="13">
        <v>61</v>
      </c>
      <c r="D990" s="14">
        <v>0.19800000000000001</v>
      </c>
      <c r="E990" s="14">
        <v>0.16300000000000001</v>
      </c>
      <c r="F990" s="13">
        <v>1</v>
      </c>
      <c r="G990" s="14">
        <v>0</v>
      </c>
      <c r="I990" s="18" t="s">
        <v>1921</v>
      </c>
      <c r="J990" s="18" t="s">
        <v>54</v>
      </c>
      <c r="L990" s="9">
        <v>1992</v>
      </c>
      <c r="N990" s="30" t="s">
        <v>152</v>
      </c>
      <c r="O990" s="13" t="s">
        <v>28</v>
      </c>
      <c r="P990" s="13">
        <f t="shared" si="39"/>
        <v>26</v>
      </c>
      <c r="Q990" s="15">
        <f t="shared" si="40"/>
        <v>2.3461538461538463</v>
      </c>
      <c r="R990" s="13" t="s">
        <v>523</v>
      </c>
      <c r="S990" s="13" t="s">
        <v>859</v>
      </c>
      <c r="T990" s="13" t="s">
        <v>2164</v>
      </c>
      <c r="U990" s="13"/>
      <c r="V990" s="13" t="s">
        <v>4275</v>
      </c>
      <c r="W990" s="13"/>
      <c r="X990" s="13" t="s">
        <v>4764</v>
      </c>
      <c r="Y990" s="13" t="s">
        <v>3980</v>
      </c>
      <c r="Z990" s="13" t="s">
        <v>3980</v>
      </c>
      <c r="AC990" s="18"/>
    </row>
    <row r="991" spans="1:29" x14ac:dyDescent="0.25">
      <c r="A991" s="18" t="s">
        <v>4933</v>
      </c>
      <c r="B991" s="30">
        <v>2010</v>
      </c>
      <c r="C991" s="13">
        <v>204</v>
      </c>
      <c r="D991" s="14">
        <v>0.38500000000000001</v>
      </c>
      <c r="E991" s="14">
        <v>0.38100000000000001</v>
      </c>
      <c r="F991" s="13">
        <v>7</v>
      </c>
      <c r="G991" s="14">
        <v>0.39300000000000002</v>
      </c>
      <c r="I991" s="18" t="s">
        <v>1921</v>
      </c>
      <c r="J991" s="18" t="s">
        <v>54</v>
      </c>
      <c r="L991" s="9">
        <v>2010</v>
      </c>
      <c r="N991" s="30" t="s">
        <v>192</v>
      </c>
      <c r="O991" s="13" t="s">
        <v>42</v>
      </c>
      <c r="P991" s="13">
        <f t="shared" si="39"/>
        <v>8</v>
      </c>
      <c r="Q991" s="15">
        <f t="shared" si="40"/>
        <v>25.5</v>
      </c>
      <c r="R991" s="13" t="s">
        <v>2050</v>
      </c>
      <c r="S991" s="13" t="s">
        <v>2051</v>
      </c>
      <c r="T991" s="13" t="s">
        <v>2052</v>
      </c>
      <c r="U991" s="13" t="s">
        <v>2053</v>
      </c>
      <c r="V991" s="13" t="s">
        <v>3980</v>
      </c>
      <c r="W991" s="13"/>
      <c r="X991" s="13" t="s">
        <v>4765</v>
      </c>
      <c r="Y991" s="13" t="s">
        <v>3980</v>
      </c>
      <c r="Z991" s="13" t="s">
        <v>3980</v>
      </c>
      <c r="AC991" s="18"/>
    </row>
    <row r="992" spans="1:29" x14ac:dyDescent="0.25">
      <c r="A992" s="18" t="s">
        <v>2579</v>
      </c>
      <c r="B992" s="30">
        <v>1975</v>
      </c>
      <c r="C992" s="13">
        <v>997</v>
      </c>
      <c r="D992" s="14">
        <v>0.7</v>
      </c>
      <c r="E992" s="14">
        <v>0.45300000000000001</v>
      </c>
      <c r="F992" s="13">
        <v>17</v>
      </c>
      <c r="G992" s="14">
        <v>0.76400000000000001</v>
      </c>
      <c r="I992" s="18" t="s">
        <v>1921</v>
      </c>
      <c r="J992" s="18" t="s">
        <v>26</v>
      </c>
      <c r="L992" s="9">
        <f>B992</f>
        <v>1975</v>
      </c>
      <c r="N992" s="30" t="s">
        <v>1818</v>
      </c>
      <c r="O992" s="13" t="s">
        <v>28</v>
      </c>
      <c r="P992" s="13">
        <f t="shared" si="39"/>
        <v>43</v>
      </c>
      <c r="Q992" s="15">
        <f t="shared" si="40"/>
        <v>23.186046511627907</v>
      </c>
      <c r="R992" s="13" t="s">
        <v>2580</v>
      </c>
      <c r="S992" s="13"/>
      <c r="T992" s="13" t="s">
        <v>170</v>
      </c>
      <c r="U992" s="13"/>
      <c r="V992" s="13" t="s">
        <v>3980</v>
      </c>
      <c r="W992" s="13"/>
      <c r="X992" s="13" t="s">
        <v>3980</v>
      </c>
      <c r="Y992" s="13" t="s">
        <v>3980</v>
      </c>
      <c r="Z992" s="13" t="s">
        <v>3980</v>
      </c>
      <c r="AC992" s="18"/>
    </row>
    <row r="993" spans="1:29" x14ac:dyDescent="0.25">
      <c r="A993" s="18" t="s">
        <v>2786</v>
      </c>
      <c r="B993" s="30">
        <v>2011</v>
      </c>
      <c r="C993" s="8">
        <v>1162</v>
      </c>
      <c r="D993" s="14">
        <v>0.73199999999999998</v>
      </c>
      <c r="E993" s="14">
        <v>0.84799999999999998</v>
      </c>
      <c r="F993" s="8">
        <v>18</v>
      </c>
      <c r="G993" s="14">
        <v>0.78700000000000003</v>
      </c>
      <c r="H993" s="18" t="s">
        <v>5076</v>
      </c>
      <c r="I993" s="18" t="s">
        <v>1921</v>
      </c>
      <c r="J993" s="4" t="s">
        <v>54</v>
      </c>
      <c r="L993" s="9">
        <v>2011</v>
      </c>
      <c r="N993" s="30" t="s">
        <v>41</v>
      </c>
      <c r="O993" s="13" t="s">
        <v>28</v>
      </c>
      <c r="P993" s="13">
        <f t="shared" si="39"/>
        <v>7</v>
      </c>
      <c r="Q993" s="15">
        <f t="shared" si="40"/>
        <v>166</v>
      </c>
      <c r="R993" s="13" t="s">
        <v>177</v>
      </c>
      <c r="S993" s="13"/>
      <c r="T993" s="13" t="s">
        <v>112</v>
      </c>
      <c r="U993" s="13"/>
      <c r="V993" s="13" t="s">
        <v>4276</v>
      </c>
      <c r="W993" s="13"/>
      <c r="X993" s="13" t="s">
        <v>4766</v>
      </c>
      <c r="Y993" s="13" t="s">
        <v>3980</v>
      </c>
      <c r="Z993" s="13" t="s">
        <v>3980</v>
      </c>
      <c r="AC993" s="18"/>
    </row>
    <row r="994" spans="1:29" x14ac:dyDescent="0.25">
      <c r="A994" s="18" t="s">
        <v>1386</v>
      </c>
      <c r="B994" s="30">
        <v>2006</v>
      </c>
      <c r="C994" s="13">
        <v>382</v>
      </c>
      <c r="D994" s="14">
        <v>0.49299999999999999</v>
      </c>
      <c r="E994" s="14">
        <v>0.80700000000000005</v>
      </c>
      <c r="F994" s="13">
        <v>12</v>
      </c>
      <c r="G994" s="14">
        <v>0.60899999999999999</v>
      </c>
      <c r="H994" s="18" t="s">
        <v>3512</v>
      </c>
      <c r="I994" s="26" t="s">
        <v>192</v>
      </c>
      <c r="J994" s="4" t="s">
        <v>105</v>
      </c>
      <c r="L994" s="9">
        <f>B994</f>
        <v>2006</v>
      </c>
      <c r="N994" s="30" t="s">
        <v>3104</v>
      </c>
      <c r="O994" s="13" t="s">
        <v>42</v>
      </c>
      <c r="P994" s="13">
        <f t="shared" si="39"/>
        <v>12</v>
      </c>
      <c r="Q994" s="15">
        <f t="shared" si="40"/>
        <v>31.833333333333332</v>
      </c>
      <c r="R994" s="13" t="s">
        <v>1387</v>
      </c>
      <c r="S994" s="13"/>
      <c r="T994" s="13" t="s">
        <v>1388</v>
      </c>
      <c r="U994" s="13"/>
      <c r="V994" s="13" t="s">
        <v>3980</v>
      </c>
      <c r="W994" s="13"/>
      <c r="X994" s="13" t="s">
        <v>3980</v>
      </c>
      <c r="Y994" s="13" t="s">
        <v>3980</v>
      </c>
      <c r="Z994" s="13" t="s">
        <v>3980</v>
      </c>
      <c r="AC994" s="18"/>
    </row>
    <row r="995" spans="1:29" x14ac:dyDescent="0.25">
      <c r="A995" s="18" t="s">
        <v>2980</v>
      </c>
      <c r="B995" s="30">
        <v>1971</v>
      </c>
      <c r="C995" s="13">
        <v>3097</v>
      </c>
      <c r="D995" s="14">
        <v>0.89800000000000002</v>
      </c>
      <c r="E995" s="14">
        <v>0.76900000000000002</v>
      </c>
      <c r="F995" s="13">
        <v>21</v>
      </c>
      <c r="G995" s="14">
        <v>0.84199999999999997</v>
      </c>
      <c r="H995" s="18" t="s">
        <v>3575</v>
      </c>
      <c r="I995" s="26" t="s">
        <v>192</v>
      </c>
      <c r="J995" s="18" t="s">
        <v>26</v>
      </c>
      <c r="L995" s="9">
        <v>1971</v>
      </c>
      <c r="N995" s="30" t="s">
        <v>123</v>
      </c>
      <c r="O995" s="13" t="s">
        <v>28</v>
      </c>
      <c r="P995" s="13">
        <f t="shared" si="39"/>
        <v>47</v>
      </c>
      <c r="Q995" s="15">
        <f t="shared" si="40"/>
        <v>65.893617021276597</v>
      </c>
      <c r="R995" s="13" t="s">
        <v>2981</v>
      </c>
      <c r="S995" s="13"/>
      <c r="T995" s="13" t="s">
        <v>2982</v>
      </c>
      <c r="U995" s="13" t="s">
        <v>2983</v>
      </c>
      <c r="V995" s="13" t="s">
        <v>4277</v>
      </c>
      <c r="W995" s="13"/>
      <c r="X995" s="13" t="s">
        <v>4767</v>
      </c>
      <c r="Y995" s="13" t="s">
        <v>3980</v>
      </c>
      <c r="Z995" s="13" t="s">
        <v>3980</v>
      </c>
      <c r="AC995" s="18"/>
    </row>
    <row r="996" spans="1:29" x14ac:dyDescent="0.25">
      <c r="A996" s="18" t="s">
        <v>376</v>
      </c>
      <c r="B996" s="30">
        <v>1992</v>
      </c>
      <c r="C996" s="13">
        <v>9220</v>
      </c>
      <c r="D996" s="14">
        <v>0.98299999999999998</v>
      </c>
      <c r="E996" s="14">
        <v>0.95799999999999996</v>
      </c>
      <c r="F996" s="13">
        <v>43</v>
      </c>
      <c r="G996" s="14">
        <v>0.98299999999999998</v>
      </c>
      <c r="H996" s="18" t="s">
        <v>3234</v>
      </c>
      <c r="I996" s="26" t="s">
        <v>192</v>
      </c>
      <c r="J996" s="18" t="s">
        <v>26</v>
      </c>
      <c r="L996" s="9">
        <v>1992</v>
      </c>
      <c r="N996" s="30" t="s">
        <v>377</v>
      </c>
      <c r="O996" s="13" t="s">
        <v>28</v>
      </c>
      <c r="P996" s="13">
        <f t="shared" si="39"/>
        <v>26</v>
      </c>
      <c r="Q996" s="15">
        <f t="shared" si="40"/>
        <v>354.61538461538464</v>
      </c>
      <c r="R996" s="13" t="s">
        <v>378</v>
      </c>
      <c r="S996" s="13"/>
      <c r="T996" s="13" t="s">
        <v>379</v>
      </c>
      <c r="U996" s="13" t="s">
        <v>380</v>
      </c>
      <c r="V996" s="13" t="s">
        <v>4278</v>
      </c>
      <c r="W996" s="13"/>
      <c r="X996" s="13" t="s">
        <v>4768</v>
      </c>
      <c r="Y996" s="13" t="s">
        <v>3980</v>
      </c>
      <c r="Z996" s="13" t="s">
        <v>3980</v>
      </c>
      <c r="AC996" s="18"/>
    </row>
    <row r="997" spans="1:29" x14ac:dyDescent="0.25">
      <c r="A997" s="18" t="s">
        <v>3636</v>
      </c>
      <c r="B997" s="30">
        <v>1995</v>
      </c>
      <c r="C997" s="13">
        <v>3263</v>
      </c>
      <c r="D997" s="14">
        <v>0.90600000000000003</v>
      </c>
      <c r="E997" s="14">
        <v>0.78800000000000003</v>
      </c>
      <c r="F997" s="13">
        <v>30</v>
      </c>
      <c r="G997" s="14">
        <v>0.93200000000000005</v>
      </c>
      <c r="H997" s="18" t="s">
        <v>3635</v>
      </c>
      <c r="I997" s="26" t="s">
        <v>192</v>
      </c>
      <c r="J997" s="18" t="s">
        <v>26</v>
      </c>
      <c r="L997" s="9">
        <v>1995</v>
      </c>
      <c r="N997" s="30" t="s">
        <v>135</v>
      </c>
      <c r="O997" s="13" t="s">
        <v>28</v>
      </c>
      <c r="P997" s="13">
        <f t="shared" si="39"/>
        <v>23</v>
      </c>
      <c r="Q997" s="15">
        <f t="shared" si="40"/>
        <v>141.86956521739131</v>
      </c>
      <c r="R997" s="13" t="s">
        <v>2715</v>
      </c>
      <c r="S997" s="13" t="s">
        <v>480</v>
      </c>
      <c r="T997" s="13" t="s">
        <v>2717</v>
      </c>
      <c r="U997" s="13"/>
      <c r="V997" s="13" t="s">
        <v>4279</v>
      </c>
      <c r="W997" s="13"/>
      <c r="X997" s="13" t="s">
        <v>4769</v>
      </c>
      <c r="Y997" s="13" t="s">
        <v>3980</v>
      </c>
      <c r="Z997" s="13" t="s">
        <v>3980</v>
      </c>
      <c r="AC997" s="18"/>
    </row>
    <row r="998" spans="1:29" x14ac:dyDescent="0.25">
      <c r="A998" s="18" t="s">
        <v>293</v>
      </c>
      <c r="B998" s="30">
        <v>2006</v>
      </c>
      <c r="C998" s="13">
        <v>4115</v>
      </c>
      <c r="D998" s="14">
        <v>0.93</v>
      </c>
      <c r="E998" s="14">
        <v>0.83799999999999997</v>
      </c>
      <c r="F998" s="13">
        <v>20</v>
      </c>
      <c r="G998" s="14">
        <v>0.82599999999999996</v>
      </c>
      <c r="H998" s="18" t="s">
        <v>3215</v>
      </c>
      <c r="I998" s="26" t="s">
        <v>192</v>
      </c>
      <c r="J998" s="4" t="s">
        <v>26</v>
      </c>
      <c r="K998" s="4"/>
      <c r="L998" s="9">
        <v>2006</v>
      </c>
      <c r="N998" s="30" t="s">
        <v>72</v>
      </c>
      <c r="O998" s="13" t="s">
        <v>42</v>
      </c>
      <c r="P998" s="13">
        <f t="shared" si="39"/>
        <v>12</v>
      </c>
      <c r="Q998" s="15">
        <f t="shared" si="40"/>
        <v>342.91666666666669</v>
      </c>
      <c r="R998" s="13" t="s">
        <v>294</v>
      </c>
      <c r="S998" s="13"/>
      <c r="T998" s="13" t="s">
        <v>295</v>
      </c>
      <c r="U998" s="13"/>
      <c r="V998" s="13" t="s">
        <v>3980</v>
      </c>
      <c r="W998" s="13"/>
      <c r="X998" s="13" t="s">
        <v>3980</v>
      </c>
      <c r="Y998" s="13" t="s">
        <v>3980</v>
      </c>
      <c r="Z998" s="13" t="s">
        <v>3980</v>
      </c>
      <c r="AC998" s="18"/>
    </row>
    <row r="999" spans="1:29" x14ac:dyDescent="0.25">
      <c r="A999" s="18" t="s">
        <v>850</v>
      </c>
      <c r="B999" s="30">
        <v>1980</v>
      </c>
      <c r="C999" s="13">
        <v>8242</v>
      </c>
      <c r="D999" s="14">
        <v>0.97599999999999998</v>
      </c>
      <c r="E999" s="14">
        <v>0.94299999999999995</v>
      </c>
      <c r="F999" s="13">
        <v>39</v>
      </c>
      <c r="G999" s="14">
        <v>0.97499999999999998</v>
      </c>
      <c r="H999" s="18" t="s">
        <v>3355</v>
      </c>
      <c r="I999" s="26" t="s">
        <v>192</v>
      </c>
      <c r="J999" s="18" t="s">
        <v>26</v>
      </c>
      <c r="K999" s="4"/>
      <c r="L999" s="9">
        <v>1980</v>
      </c>
      <c r="N999" s="30" t="s">
        <v>134</v>
      </c>
      <c r="O999" s="13" t="s">
        <v>42</v>
      </c>
      <c r="P999" s="13">
        <f t="shared" si="39"/>
        <v>38</v>
      </c>
      <c r="Q999" s="15">
        <f t="shared" si="40"/>
        <v>216.89473684210526</v>
      </c>
      <c r="R999" s="13" t="s">
        <v>851</v>
      </c>
      <c r="S999" s="13"/>
      <c r="T999" s="13" t="s">
        <v>852</v>
      </c>
      <c r="U999" s="13" t="s">
        <v>853</v>
      </c>
      <c r="V999" s="13" t="s">
        <v>3980</v>
      </c>
      <c r="W999" s="13"/>
      <c r="X999" s="13" t="s">
        <v>4770</v>
      </c>
      <c r="Y999" s="13" t="s">
        <v>3980</v>
      </c>
      <c r="Z999" s="13" t="s">
        <v>3980</v>
      </c>
      <c r="AC999" s="18"/>
    </row>
    <row r="1000" spans="1:29" x14ac:dyDescent="0.25">
      <c r="A1000" s="18" t="s">
        <v>4903</v>
      </c>
      <c r="B1000" s="30">
        <v>1986</v>
      </c>
      <c r="C1000" s="13">
        <v>1295</v>
      </c>
      <c r="D1000" s="14">
        <v>0.751</v>
      </c>
      <c r="E1000" s="14">
        <v>0.51200000000000001</v>
      </c>
      <c r="F1000" s="13">
        <v>17</v>
      </c>
      <c r="G1000" s="14">
        <v>0.76400000000000001</v>
      </c>
      <c r="H1000" s="18" t="s">
        <v>3670</v>
      </c>
      <c r="I1000" s="26" t="s">
        <v>192</v>
      </c>
      <c r="J1000" s="18" t="s">
        <v>26</v>
      </c>
      <c r="L1000" s="9">
        <v>1986</v>
      </c>
      <c r="N1000" s="30" t="s">
        <v>277</v>
      </c>
      <c r="O1000" s="13" t="s">
        <v>28</v>
      </c>
      <c r="P1000" s="13">
        <f t="shared" si="39"/>
        <v>32</v>
      </c>
      <c r="Q1000" s="15">
        <f t="shared" si="40"/>
        <v>40.46875</v>
      </c>
      <c r="R1000" s="13" t="s">
        <v>305</v>
      </c>
      <c r="S1000" s="13" t="s">
        <v>62</v>
      </c>
      <c r="T1000" s="13" t="s">
        <v>1928</v>
      </c>
      <c r="U1000" s="13" t="s">
        <v>1929</v>
      </c>
      <c r="V1000" s="13" t="s">
        <v>4280</v>
      </c>
      <c r="W1000" s="13"/>
      <c r="X1000" s="13" t="s">
        <v>3980</v>
      </c>
      <c r="Y1000" s="13" t="s">
        <v>3980</v>
      </c>
      <c r="Z1000" s="13" t="s">
        <v>3980</v>
      </c>
      <c r="AC1000" s="18"/>
    </row>
    <row r="1001" spans="1:29" x14ac:dyDescent="0.25">
      <c r="A1001" s="18" t="s">
        <v>4841</v>
      </c>
      <c r="B1001" s="30">
        <v>2002</v>
      </c>
      <c r="C1001" s="13">
        <v>405</v>
      </c>
      <c r="D1001" s="14">
        <v>0.50600000000000001</v>
      </c>
      <c r="E1001" s="14">
        <v>0.54700000000000004</v>
      </c>
      <c r="F1001" s="13">
        <v>9</v>
      </c>
      <c r="G1001" s="14">
        <v>0.48799999999999999</v>
      </c>
      <c r="H1001" s="18" t="s">
        <v>3690</v>
      </c>
      <c r="I1001" s="26" t="s">
        <v>192</v>
      </c>
      <c r="J1001" s="18" t="s">
        <v>54</v>
      </c>
      <c r="K1001" s="4"/>
      <c r="L1001" s="9">
        <v>2002</v>
      </c>
      <c r="N1001" s="30" t="s">
        <v>765</v>
      </c>
      <c r="O1001" s="13" t="s">
        <v>42</v>
      </c>
      <c r="P1001" s="13">
        <f t="shared" si="39"/>
        <v>16</v>
      </c>
      <c r="Q1001" s="15">
        <f t="shared" si="40"/>
        <v>25.3125</v>
      </c>
      <c r="R1001" s="13" t="s">
        <v>1546</v>
      </c>
      <c r="S1001" s="13" t="s">
        <v>239</v>
      </c>
      <c r="T1001" s="13" t="s">
        <v>320</v>
      </c>
      <c r="U1001" s="13"/>
      <c r="V1001" s="13" t="s">
        <v>3980</v>
      </c>
      <c r="W1001" s="13"/>
      <c r="X1001" s="13" t="s">
        <v>3980</v>
      </c>
      <c r="Y1001" s="13" t="s">
        <v>3980</v>
      </c>
      <c r="Z1001" s="13" t="s">
        <v>3980</v>
      </c>
      <c r="AC1001" s="18"/>
    </row>
    <row r="1002" spans="1:29" x14ac:dyDescent="0.25">
      <c r="A1002" s="18" t="s">
        <v>5017</v>
      </c>
      <c r="B1002" s="30">
        <v>1969</v>
      </c>
      <c r="C1002" s="13">
        <v>908</v>
      </c>
      <c r="D1002" s="14">
        <v>0.68600000000000005</v>
      </c>
      <c r="E1002" s="14">
        <v>0.42799999999999999</v>
      </c>
      <c r="F1002" s="13">
        <v>13</v>
      </c>
      <c r="G1002" s="14">
        <v>0.64500000000000002</v>
      </c>
      <c r="H1002" s="18" t="s">
        <v>3401</v>
      </c>
      <c r="I1002" s="26" t="s">
        <v>192</v>
      </c>
      <c r="J1002" s="18" t="s">
        <v>26</v>
      </c>
      <c r="L1002" s="9">
        <v>1969</v>
      </c>
      <c r="N1002" s="30" t="s">
        <v>72</v>
      </c>
      <c r="O1002" s="13" t="s">
        <v>28</v>
      </c>
      <c r="P1002" s="13">
        <f t="shared" si="39"/>
        <v>49</v>
      </c>
      <c r="Q1002" s="15">
        <f t="shared" si="40"/>
        <v>18.530612244897959</v>
      </c>
      <c r="R1002" s="13" t="s">
        <v>1001</v>
      </c>
      <c r="S1002" s="13" t="s">
        <v>1002</v>
      </c>
      <c r="T1002" s="13" t="s">
        <v>1003</v>
      </c>
      <c r="U1002" s="13" t="s">
        <v>1004</v>
      </c>
      <c r="V1002" s="13" t="s">
        <v>4281</v>
      </c>
      <c r="W1002" s="13"/>
      <c r="X1002" s="13" t="s">
        <v>4771</v>
      </c>
      <c r="Y1002" s="13" t="s">
        <v>3980</v>
      </c>
      <c r="Z1002" s="13" t="s">
        <v>3980</v>
      </c>
      <c r="AC1002" s="18"/>
    </row>
    <row r="1003" spans="1:29" x14ac:dyDescent="0.25">
      <c r="A1003" s="18" t="s">
        <v>4972</v>
      </c>
      <c r="B1003" s="30">
        <v>2012</v>
      </c>
      <c r="C1003" s="13">
        <v>356</v>
      </c>
      <c r="D1003" s="14">
        <v>0.47799999999999998</v>
      </c>
      <c r="E1003" s="14">
        <v>0.8</v>
      </c>
      <c r="F1003" s="13">
        <v>8</v>
      </c>
      <c r="G1003" s="14">
        <v>0.434</v>
      </c>
      <c r="H1003" s="18" t="s">
        <v>3367</v>
      </c>
      <c r="I1003" s="26" t="s">
        <v>192</v>
      </c>
      <c r="J1003" s="18" t="s">
        <v>105</v>
      </c>
      <c r="K1003" s="4"/>
      <c r="L1003" s="9">
        <f>B1003</f>
        <v>2012</v>
      </c>
      <c r="M1003" s="11"/>
      <c r="N1003" s="30" t="s">
        <v>3087</v>
      </c>
      <c r="O1003" s="13" t="s">
        <v>28</v>
      </c>
      <c r="P1003" s="13">
        <f t="shared" si="39"/>
        <v>6</v>
      </c>
      <c r="Q1003" s="15">
        <f t="shared" si="40"/>
        <v>59.333333333333336</v>
      </c>
      <c r="R1003" s="13" t="s">
        <v>892</v>
      </c>
      <c r="S1003" s="13" t="s">
        <v>893</v>
      </c>
      <c r="T1003" s="13" t="s">
        <v>894</v>
      </c>
      <c r="U1003" s="13"/>
      <c r="V1003" s="13" t="s">
        <v>3980</v>
      </c>
      <c r="W1003" s="13"/>
      <c r="X1003" s="13" t="s">
        <v>3980</v>
      </c>
      <c r="Y1003" s="13" t="s">
        <v>3980</v>
      </c>
      <c r="Z1003" s="13" t="s">
        <v>3980</v>
      </c>
      <c r="AC1003" s="18"/>
    </row>
    <row r="1004" spans="1:29" x14ac:dyDescent="0.25">
      <c r="A1004" s="18" t="s">
        <v>585</v>
      </c>
      <c r="B1004" s="30">
        <v>1981</v>
      </c>
      <c r="C1004" s="13">
        <v>6881</v>
      </c>
      <c r="D1004" s="14">
        <v>0.96699999999999997</v>
      </c>
      <c r="E1004" s="14">
        <v>0.92</v>
      </c>
      <c r="F1004" s="13">
        <v>35</v>
      </c>
      <c r="G1004" s="14">
        <v>0.96</v>
      </c>
      <c r="H1004" s="18" t="s">
        <v>3286</v>
      </c>
      <c r="I1004" s="26" t="s">
        <v>192</v>
      </c>
      <c r="J1004" s="18" t="s">
        <v>26</v>
      </c>
      <c r="K1004" s="4"/>
      <c r="L1004" s="9">
        <v>1981</v>
      </c>
      <c r="N1004" s="30" t="s">
        <v>123</v>
      </c>
      <c r="O1004" s="13" t="s">
        <v>28</v>
      </c>
      <c r="P1004" s="13">
        <f t="shared" si="39"/>
        <v>37</v>
      </c>
      <c r="Q1004" s="15">
        <f t="shared" si="40"/>
        <v>185.97297297297297</v>
      </c>
      <c r="R1004" s="13" t="s">
        <v>586</v>
      </c>
      <c r="S1004" s="13"/>
      <c r="T1004" s="13" t="s">
        <v>587</v>
      </c>
      <c r="U1004" s="13" t="s">
        <v>588</v>
      </c>
      <c r="V1004" s="13" t="s">
        <v>4282</v>
      </c>
      <c r="W1004" s="13"/>
      <c r="X1004" s="13" t="s">
        <v>4772</v>
      </c>
      <c r="Y1004" s="13" t="s">
        <v>3980</v>
      </c>
      <c r="Z1004" s="13" t="s">
        <v>3980</v>
      </c>
      <c r="AC1004" s="18"/>
    </row>
    <row r="1005" spans="1:29" x14ac:dyDescent="0.25">
      <c r="A1005" s="18" t="s">
        <v>4917</v>
      </c>
      <c r="B1005" s="30">
        <v>1996</v>
      </c>
      <c r="C1005" s="13">
        <v>2574</v>
      </c>
      <c r="D1005" s="14">
        <v>0.874</v>
      </c>
      <c r="E1005" s="14">
        <v>0.72199999999999998</v>
      </c>
      <c r="F1005" s="13">
        <v>27</v>
      </c>
      <c r="G1005" s="14">
        <v>0.90700000000000003</v>
      </c>
      <c r="H1005" s="18" t="s">
        <v>3392</v>
      </c>
      <c r="I1005" s="26" t="s">
        <v>192</v>
      </c>
      <c r="J1005" s="18" t="s">
        <v>26</v>
      </c>
      <c r="L1005" s="9">
        <f>B1005</f>
        <v>1996</v>
      </c>
      <c r="N1005" s="30" t="s">
        <v>765</v>
      </c>
      <c r="O1005" s="13" t="s">
        <v>28</v>
      </c>
      <c r="P1005" s="13">
        <f t="shared" si="39"/>
        <v>22</v>
      </c>
      <c r="Q1005" s="15">
        <f t="shared" si="40"/>
        <v>117</v>
      </c>
      <c r="R1005" s="13" t="s">
        <v>386</v>
      </c>
      <c r="S1005" s="13" t="s">
        <v>971</v>
      </c>
      <c r="T1005" s="13" t="s">
        <v>972</v>
      </c>
      <c r="U1005" s="13"/>
      <c r="V1005" s="13" t="s">
        <v>3980</v>
      </c>
      <c r="W1005" s="13"/>
      <c r="X1005" s="13" t="s">
        <v>3980</v>
      </c>
      <c r="Y1005" s="13" t="s">
        <v>3980</v>
      </c>
      <c r="Z1005" s="13" t="s">
        <v>3980</v>
      </c>
      <c r="AC1005" s="18"/>
    </row>
    <row r="1006" spans="1:29" x14ac:dyDescent="0.25">
      <c r="A1006" s="18" t="s">
        <v>4867</v>
      </c>
      <c r="B1006" s="30">
        <v>2000</v>
      </c>
      <c r="C1006" s="13">
        <v>1298</v>
      </c>
      <c r="D1006" s="14">
        <v>0.752</v>
      </c>
      <c r="E1006" s="14">
        <v>0.86799999999999999</v>
      </c>
      <c r="F1006" s="13">
        <v>14</v>
      </c>
      <c r="G1006" s="14">
        <v>0.67900000000000005</v>
      </c>
      <c r="H1006" s="18" t="s">
        <v>3685</v>
      </c>
      <c r="I1006" s="26" t="s">
        <v>192</v>
      </c>
      <c r="J1006" s="4" t="s">
        <v>54</v>
      </c>
      <c r="L1006" s="9">
        <v>2000</v>
      </c>
      <c r="N1006" s="30" t="s">
        <v>41</v>
      </c>
      <c r="O1006" s="13" t="s">
        <v>28</v>
      </c>
      <c r="P1006" s="13">
        <f t="shared" si="39"/>
        <v>18</v>
      </c>
      <c r="Q1006" s="15">
        <f t="shared" si="40"/>
        <v>72.111111111111114</v>
      </c>
      <c r="R1006" s="13" t="s">
        <v>1725</v>
      </c>
      <c r="S1006" s="13" t="s">
        <v>669</v>
      </c>
      <c r="T1006" s="13" t="s">
        <v>1726</v>
      </c>
      <c r="U1006" s="13"/>
      <c r="V1006" s="13" t="s">
        <v>4283</v>
      </c>
      <c r="W1006" s="13"/>
      <c r="X1006" s="13" t="s">
        <v>4773</v>
      </c>
      <c r="Y1006" s="13" t="s">
        <v>3980</v>
      </c>
      <c r="Z1006" s="13" t="s">
        <v>3980</v>
      </c>
      <c r="AC1006" s="18"/>
    </row>
    <row r="1007" spans="1:29" x14ac:dyDescent="0.25">
      <c r="A1007" s="18" t="s">
        <v>191</v>
      </c>
      <c r="B1007" s="30">
        <v>2004</v>
      </c>
      <c r="C1007" s="13">
        <v>3472</v>
      </c>
      <c r="D1007" s="14">
        <v>0.91400000000000003</v>
      </c>
      <c r="E1007" s="14">
        <v>0.98199999999999998</v>
      </c>
      <c r="F1007" s="13">
        <v>18</v>
      </c>
      <c r="G1007" s="14">
        <v>0.78700000000000003</v>
      </c>
      <c r="H1007" s="18" t="s">
        <v>3191</v>
      </c>
      <c r="I1007" s="26" t="s">
        <v>192</v>
      </c>
      <c r="J1007" s="18" t="s">
        <v>54</v>
      </c>
      <c r="K1007" s="4"/>
      <c r="L1007" s="9">
        <v>2004</v>
      </c>
      <c r="N1007" s="30" t="s">
        <v>88</v>
      </c>
      <c r="O1007" s="13" t="s">
        <v>42</v>
      </c>
      <c r="P1007" s="13">
        <f t="shared" si="39"/>
        <v>14</v>
      </c>
      <c r="Q1007" s="15">
        <f t="shared" si="40"/>
        <v>248</v>
      </c>
      <c r="R1007" s="13" t="s">
        <v>193</v>
      </c>
      <c r="S1007" s="13"/>
      <c r="T1007" s="13" t="s">
        <v>194</v>
      </c>
      <c r="U1007" s="13" t="s">
        <v>195</v>
      </c>
      <c r="V1007" s="13" t="s">
        <v>4284</v>
      </c>
      <c r="W1007" s="13"/>
      <c r="X1007" s="13" t="s">
        <v>4774</v>
      </c>
      <c r="Y1007" s="13" t="s">
        <v>3980</v>
      </c>
      <c r="Z1007" s="13" t="s">
        <v>3980</v>
      </c>
      <c r="AC1007" s="18"/>
    </row>
    <row r="1008" spans="1:29" x14ac:dyDescent="0.25">
      <c r="A1008" s="18" t="s">
        <v>4887</v>
      </c>
      <c r="B1008" s="30">
        <v>1984</v>
      </c>
      <c r="C1008" s="13">
        <v>4099</v>
      </c>
      <c r="D1008" s="14">
        <v>0.92900000000000005</v>
      </c>
      <c r="E1008" s="14">
        <v>0.83499999999999996</v>
      </c>
      <c r="F1008" s="13">
        <v>19</v>
      </c>
      <c r="G1008" s="14">
        <v>0.81299999999999994</v>
      </c>
      <c r="H1008" s="18" t="s">
        <v>3666</v>
      </c>
      <c r="I1008" s="26" t="s">
        <v>192</v>
      </c>
      <c r="J1008" s="18" t="s">
        <v>26</v>
      </c>
      <c r="L1008" s="9">
        <v>1984</v>
      </c>
      <c r="N1008" s="30" t="s">
        <v>1818</v>
      </c>
      <c r="O1008" s="13" t="s">
        <v>28</v>
      </c>
      <c r="P1008" s="13">
        <f t="shared" si="39"/>
        <v>34</v>
      </c>
      <c r="Q1008" s="15">
        <f t="shared" si="40"/>
        <v>120.55882352941177</v>
      </c>
      <c r="R1008" s="13" t="s">
        <v>173</v>
      </c>
      <c r="S1008" s="13" t="s">
        <v>1024</v>
      </c>
      <c r="T1008" s="13" t="s">
        <v>1821</v>
      </c>
      <c r="U1008" s="13"/>
      <c r="V1008" s="13" t="s">
        <v>4285</v>
      </c>
      <c r="W1008" s="13"/>
      <c r="X1008" s="13" t="s">
        <v>4775</v>
      </c>
      <c r="Y1008" s="13" t="s">
        <v>3980</v>
      </c>
      <c r="Z1008" s="13" t="s">
        <v>3980</v>
      </c>
      <c r="AC1008" s="18"/>
    </row>
    <row r="1009" spans="1:29" x14ac:dyDescent="0.25">
      <c r="A1009" s="18" t="s">
        <v>4957</v>
      </c>
      <c r="B1009" s="30">
        <v>1987</v>
      </c>
      <c r="C1009" s="13">
        <v>512</v>
      </c>
      <c r="D1009" s="14">
        <v>0.56000000000000005</v>
      </c>
      <c r="E1009" s="14">
        <v>0.30499999999999999</v>
      </c>
      <c r="F1009" s="13">
        <v>10</v>
      </c>
      <c r="G1009" s="14">
        <v>0.52200000000000002</v>
      </c>
      <c r="I1009" s="26" t="s">
        <v>104</v>
      </c>
      <c r="J1009" s="18" t="s">
        <v>26</v>
      </c>
      <c r="L1009" s="9">
        <v>1987</v>
      </c>
      <c r="N1009" s="30" t="s">
        <v>123</v>
      </c>
      <c r="O1009" s="13" t="s">
        <v>28</v>
      </c>
      <c r="P1009" s="13">
        <f t="shared" si="39"/>
        <v>31</v>
      </c>
      <c r="Q1009" s="15">
        <f t="shared" si="40"/>
        <v>16.516129032258064</v>
      </c>
      <c r="R1009" s="13" t="s">
        <v>808</v>
      </c>
      <c r="S1009" s="13" t="s">
        <v>62</v>
      </c>
      <c r="T1009" s="13" t="s">
        <v>2182</v>
      </c>
      <c r="U1009" s="13" t="s">
        <v>2183</v>
      </c>
      <c r="V1009" s="13" t="s">
        <v>3980</v>
      </c>
      <c r="W1009" s="13"/>
      <c r="X1009" s="13" t="s">
        <v>3980</v>
      </c>
      <c r="Y1009" s="13" t="s">
        <v>3980</v>
      </c>
      <c r="Z1009" s="13" t="s">
        <v>3980</v>
      </c>
      <c r="AC1009" s="18"/>
    </row>
    <row r="1010" spans="1:29" x14ac:dyDescent="0.25">
      <c r="A1010" s="18" t="s">
        <v>3019</v>
      </c>
      <c r="B1010" s="30">
        <v>1991</v>
      </c>
      <c r="C1010" s="13">
        <v>71</v>
      </c>
      <c r="D1010" s="14">
        <v>0.217</v>
      </c>
      <c r="E1010" s="14">
        <v>0.183</v>
      </c>
      <c r="F1010" s="13">
        <v>4</v>
      </c>
      <c r="G1010" s="14">
        <v>0.19600000000000001</v>
      </c>
      <c r="I1010" s="26" t="s">
        <v>104</v>
      </c>
      <c r="J1010" s="18" t="s">
        <v>54</v>
      </c>
      <c r="L1010" s="9">
        <v>1991</v>
      </c>
      <c r="N1010" s="30" t="s">
        <v>192</v>
      </c>
      <c r="O1010" s="13" t="s">
        <v>28</v>
      </c>
      <c r="P1010" s="13">
        <f t="shared" si="39"/>
        <v>27</v>
      </c>
      <c r="Q1010" s="15">
        <f t="shared" si="40"/>
        <v>2.6296296296296298</v>
      </c>
      <c r="R1010" s="13" t="s">
        <v>3020</v>
      </c>
      <c r="S1010" s="13"/>
      <c r="T1010" s="13" t="s">
        <v>1064</v>
      </c>
      <c r="U1010" s="13"/>
      <c r="V1010" s="13" t="s">
        <v>3980</v>
      </c>
      <c r="W1010" s="13"/>
      <c r="X1010" s="13" t="s">
        <v>3980</v>
      </c>
      <c r="Y1010" s="13" t="s">
        <v>3980</v>
      </c>
      <c r="Z1010" s="13" t="s">
        <v>3980</v>
      </c>
      <c r="AC1010" s="18"/>
    </row>
    <row r="1011" spans="1:29" x14ac:dyDescent="0.25">
      <c r="A1011" s="18" t="s">
        <v>322</v>
      </c>
      <c r="B1011" s="30">
        <v>2008</v>
      </c>
      <c r="C1011" s="13">
        <v>270</v>
      </c>
      <c r="D1011" s="14">
        <v>0.42699999999999999</v>
      </c>
      <c r="E1011" s="14">
        <v>0.432</v>
      </c>
      <c r="F1011" s="13">
        <v>8</v>
      </c>
      <c r="G1011" s="14">
        <v>0.434</v>
      </c>
      <c r="H1011" s="18" t="s">
        <v>3222</v>
      </c>
      <c r="I1011" s="26" t="s">
        <v>104</v>
      </c>
      <c r="J1011" s="18" t="s">
        <v>54</v>
      </c>
      <c r="L1011" s="9">
        <v>2008</v>
      </c>
      <c r="N1011" s="30" t="s">
        <v>98</v>
      </c>
      <c r="O1011" s="13" t="s">
        <v>42</v>
      </c>
      <c r="P1011" s="13">
        <f t="shared" si="39"/>
        <v>10</v>
      </c>
      <c r="Q1011" s="15">
        <f t="shared" si="40"/>
        <v>27</v>
      </c>
      <c r="R1011" s="13" t="s">
        <v>323</v>
      </c>
      <c r="S1011" s="13"/>
      <c r="T1011" s="13" t="s">
        <v>324</v>
      </c>
      <c r="U1011" s="13" t="s">
        <v>325</v>
      </c>
      <c r="V1011" s="13" t="s">
        <v>3980</v>
      </c>
      <c r="W1011" s="13"/>
      <c r="X1011" s="13" t="s">
        <v>4776</v>
      </c>
      <c r="Y1011" s="13" t="s">
        <v>3980</v>
      </c>
      <c r="Z1011" s="13" t="s">
        <v>3980</v>
      </c>
      <c r="AC1011" s="18"/>
    </row>
    <row r="1012" spans="1:29" x14ac:dyDescent="0.25">
      <c r="A1012" s="18" t="s">
        <v>436</v>
      </c>
      <c r="B1012" s="30">
        <v>2002</v>
      </c>
      <c r="C1012" s="13">
        <v>150</v>
      </c>
      <c r="D1012" s="14">
        <v>0.33700000000000002</v>
      </c>
      <c r="E1012" s="14">
        <v>0.621</v>
      </c>
      <c r="F1012" s="13">
        <v>5</v>
      </c>
      <c r="G1012" s="14">
        <v>0.27400000000000002</v>
      </c>
      <c r="H1012" s="18" t="s">
        <v>3248</v>
      </c>
      <c r="I1012" s="26" t="s">
        <v>104</v>
      </c>
      <c r="J1012" s="18" t="s">
        <v>105</v>
      </c>
      <c r="K1012" s="4"/>
      <c r="L1012" s="9">
        <v>2002</v>
      </c>
      <c r="N1012" s="30" t="s">
        <v>41</v>
      </c>
      <c r="O1012" s="13" t="s">
        <v>42</v>
      </c>
      <c r="P1012" s="13">
        <f t="shared" si="39"/>
        <v>16</v>
      </c>
      <c r="Q1012" s="15">
        <f t="shared" si="40"/>
        <v>9.375</v>
      </c>
      <c r="R1012" s="13" t="s">
        <v>437</v>
      </c>
      <c r="S1012" s="13"/>
      <c r="T1012" s="13" t="s">
        <v>438</v>
      </c>
      <c r="U1012" s="13" t="s">
        <v>439</v>
      </c>
      <c r="V1012" s="13" t="s">
        <v>4286</v>
      </c>
      <c r="W1012" s="13"/>
      <c r="X1012" s="13" t="s">
        <v>4777</v>
      </c>
      <c r="Y1012" s="13" t="s">
        <v>3980</v>
      </c>
      <c r="Z1012" s="13" t="s">
        <v>3980</v>
      </c>
      <c r="AC1012" s="18"/>
    </row>
    <row r="1013" spans="1:29" x14ac:dyDescent="0.25">
      <c r="A1013" s="18" t="s">
        <v>4982</v>
      </c>
      <c r="B1013" s="30">
        <v>2013</v>
      </c>
      <c r="C1013" s="13">
        <v>11</v>
      </c>
      <c r="D1013" s="14">
        <v>7.4999999999999997E-2</v>
      </c>
      <c r="E1013" s="14">
        <v>0.14699999999999999</v>
      </c>
      <c r="F1013" s="13">
        <v>2</v>
      </c>
      <c r="G1013" s="14">
        <v>7.0999999999999994E-2</v>
      </c>
      <c r="H1013" s="18" t="s">
        <v>3435</v>
      </c>
      <c r="I1013" s="26" t="s">
        <v>104</v>
      </c>
      <c r="J1013" s="18" t="s">
        <v>105</v>
      </c>
      <c r="K1013" s="4"/>
      <c r="L1013" s="9">
        <v>2013</v>
      </c>
      <c r="N1013" s="30" t="s">
        <v>798</v>
      </c>
      <c r="O1013" s="13" t="s">
        <v>42</v>
      </c>
      <c r="P1013" s="13">
        <f t="shared" si="39"/>
        <v>5</v>
      </c>
      <c r="Q1013" s="15">
        <f t="shared" si="40"/>
        <v>2.2000000000000002</v>
      </c>
      <c r="R1013" s="13" t="s">
        <v>831</v>
      </c>
      <c r="S1013" s="13" t="s">
        <v>669</v>
      </c>
      <c r="T1013" s="13" t="s">
        <v>1123</v>
      </c>
      <c r="U1013" s="13"/>
      <c r="V1013" s="13" t="s">
        <v>3980</v>
      </c>
      <c r="W1013" s="13"/>
      <c r="X1013" s="13" t="s">
        <v>4778</v>
      </c>
      <c r="Y1013" s="13" t="s">
        <v>3980</v>
      </c>
      <c r="Z1013" s="13" t="s">
        <v>3980</v>
      </c>
      <c r="AC1013" s="18"/>
    </row>
    <row r="1014" spans="1:29" x14ac:dyDescent="0.25">
      <c r="A1014" s="18" t="s">
        <v>103</v>
      </c>
      <c r="B1014" s="30">
        <v>2009</v>
      </c>
      <c r="C1014" s="13">
        <v>218</v>
      </c>
      <c r="D1014" s="14">
        <v>0.39300000000000002</v>
      </c>
      <c r="E1014" s="14">
        <v>0.70499999999999996</v>
      </c>
      <c r="F1014" s="13">
        <v>7</v>
      </c>
      <c r="G1014" s="14">
        <v>0.39300000000000002</v>
      </c>
      <c r="H1014" s="18" t="s">
        <v>3175</v>
      </c>
      <c r="I1014" s="26" t="s">
        <v>104</v>
      </c>
      <c r="J1014" s="18" t="s">
        <v>105</v>
      </c>
      <c r="K1014" s="4"/>
      <c r="L1014" s="9">
        <v>2009</v>
      </c>
      <c r="M1014" s="11"/>
      <c r="N1014" s="30" t="s">
        <v>106</v>
      </c>
      <c r="O1014" s="13" t="s">
        <v>28</v>
      </c>
      <c r="P1014" s="13">
        <f t="shared" si="39"/>
        <v>9</v>
      </c>
      <c r="Q1014" s="15">
        <f t="shared" si="40"/>
        <v>24.222222222222221</v>
      </c>
      <c r="R1014" s="13" t="s">
        <v>107</v>
      </c>
      <c r="S1014" s="13"/>
      <c r="T1014" s="13" t="s">
        <v>108</v>
      </c>
      <c r="U1014" s="13" t="s">
        <v>109</v>
      </c>
      <c r="V1014" s="13" t="s">
        <v>3980</v>
      </c>
      <c r="W1014" s="13"/>
      <c r="X1014" s="13" t="s">
        <v>4779</v>
      </c>
      <c r="Y1014" s="13" t="s">
        <v>3980</v>
      </c>
      <c r="Z1014" s="13" t="s">
        <v>3980</v>
      </c>
      <c r="AC1014" s="18"/>
    </row>
    <row r="1015" spans="1:29" x14ac:dyDescent="0.25">
      <c r="A1015" s="28" t="s">
        <v>4847</v>
      </c>
      <c r="B1015" s="30">
        <v>1999</v>
      </c>
      <c r="C1015" s="13">
        <v>244</v>
      </c>
      <c r="D1015" s="14">
        <v>0.40799999999999997</v>
      </c>
      <c r="E1015" s="14">
        <v>0.41199999999999998</v>
      </c>
      <c r="F1015" s="13">
        <v>9</v>
      </c>
      <c r="G1015" s="14">
        <v>0.48799999999999999</v>
      </c>
      <c r="I1015" s="26" t="s">
        <v>104</v>
      </c>
      <c r="J1015" s="18" t="s">
        <v>54</v>
      </c>
      <c r="L1015" s="9">
        <v>1999</v>
      </c>
      <c r="M1015" s="11"/>
      <c r="N1015" s="30" t="s">
        <v>830</v>
      </c>
      <c r="O1015" s="13" t="s">
        <v>28</v>
      </c>
      <c r="P1015" s="13">
        <f t="shared" si="39"/>
        <v>19</v>
      </c>
      <c r="Q1015" s="15">
        <f t="shared" si="40"/>
        <v>12.842105263157896</v>
      </c>
      <c r="R1015" s="13" t="s">
        <v>1583</v>
      </c>
      <c r="S1015" s="13" t="s">
        <v>62</v>
      </c>
      <c r="T1015" s="13" t="s">
        <v>1584</v>
      </c>
      <c r="U1015" s="13" t="s">
        <v>1585</v>
      </c>
      <c r="V1015" s="13" t="s">
        <v>3980</v>
      </c>
      <c r="W1015" s="13"/>
      <c r="X1015" s="13" t="s">
        <v>3980</v>
      </c>
      <c r="Y1015" s="13" t="s">
        <v>3980</v>
      </c>
      <c r="Z1015" s="13" t="s">
        <v>3980</v>
      </c>
      <c r="AC1015" s="18"/>
    </row>
    <row r="1016" spans="1:29" x14ac:dyDescent="0.25">
      <c r="A1016" s="18" t="s">
        <v>2043</v>
      </c>
      <c r="B1016" s="30">
        <v>1998</v>
      </c>
      <c r="C1016" s="13">
        <v>58</v>
      </c>
      <c r="D1016" s="14">
        <v>0.19500000000000001</v>
      </c>
      <c r="E1016" s="14">
        <v>0.16</v>
      </c>
      <c r="F1016" s="13">
        <v>3</v>
      </c>
      <c r="G1016" s="14">
        <v>0.13100000000000001</v>
      </c>
      <c r="I1016" s="26" t="s">
        <v>104</v>
      </c>
      <c r="J1016" s="18" t="s">
        <v>54</v>
      </c>
      <c r="L1016" s="9">
        <v>1998</v>
      </c>
      <c r="N1016" s="30" t="s">
        <v>168</v>
      </c>
      <c r="O1016" s="13" t="s">
        <v>28</v>
      </c>
      <c r="P1016" s="13">
        <f t="shared" si="39"/>
        <v>20</v>
      </c>
      <c r="Q1016" s="15">
        <f t="shared" si="40"/>
        <v>2.9</v>
      </c>
      <c r="R1016" s="13" t="s">
        <v>2044</v>
      </c>
      <c r="S1016" s="13"/>
      <c r="T1016" s="13" t="s">
        <v>2045</v>
      </c>
      <c r="U1016" s="13"/>
      <c r="V1016" s="13" t="s">
        <v>3980</v>
      </c>
      <c r="W1016" s="13"/>
      <c r="X1016" s="13" t="s">
        <v>3980</v>
      </c>
      <c r="Y1016" s="13" t="s">
        <v>3980</v>
      </c>
      <c r="Z1016" s="13" t="s">
        <v>3980</v>
      </c>
      <c r="AC1016" s="18"/>
    </row>
    <row r="1017" spans="1:29" x14ac:dyDescent="0.25">
      <c r="A1017" s="18" t="s">
        <v>1612</v>
      </c>
      <c r="B1017" s="30">
        <v>2015</v>
      </c>
      <c r="C1017" s="13">
        <v>24</v>
      </c>
      <c r="D1017" s="14">
        <v>0.107</v>
      </c>
      <c r="E1017" s="14">
        <v>0.21</v>
      </c>
      <c r="F1017" s="13">
        <v>2</v>
      </c>
      <c r="G1017" s="14">
        <v>7.0999999999999994E-2</v>
      </c>
      <c r="I1017" s="26" t="s">
        <v>104</v>
      </c>
      <c r="J1017" s="18" t="s">
        <v>105</v>
      </c>
      <c r="K1017" s="4"/>
      <c r="L1017" s="9">
        <f>B1017</f>
        <v>2015</v>
      </c>
      <c r="N1017" s="30" t="s">
        <v>67</v>
      </c>
      <c r="O1017" s="13" t="s">
        <v>28</v>
      </c>
      <c r="P1017" s="13">
        <f t="shared" si="39"/>
        <v>3</v>
      </c>
      <c r="Q1017" s="15">
        <f t="shared" si="40"/>
        <v>8</v>
      </c>
      <c r="R1017" s="13" t="s">
        <v>1609</v>
      </c>
      <c r="S1017" s="13"/>
      <c r="T1017" s="13" t="s">
        <v>535</v>
      </c>
      <c r="U1017" s="13"/>
      <c r="V1017" s="13" t="s">
        <v>3980</v>
      </c>
      <c r="W1017" s="13"/>
      <c r="X1017" s="13" t="s">
        <v>3980</v>
      </c>
      <c r="Y1017" s="13" t="s">
        <v>3980</v>
      </c>
      <c r="Z1017" s="13" t="s">
        <v>3980</v>
      </c>
      <c r="AC1017" s="18"/>
    </row>
    <row r="1018" spans="1:29" x14ac:dyDescent="0.25">
      <c r="A1018" s="18" t="s">
        <v>2623</v>
      </c>
      <c r="B1018" s="30">
        <v>1991</v>
      </c>
      <c r="C1018" s="13">
        <v>542</v>
      </c>
      <c r="D1018" s="14">
        <v>0.57299999999999995</v>
      </c>
      <c r="E1018" s="14">
        <v>0.314</v>
      </c>
      <c r="F1018" s="13">
        <v>10</v>
      </c>
      <c r="G1018" s="14">
        <v>0.52200000000000002</v>
      </c>
      <c r="I1018" s="26" t="s">
        <v>104</v>
      </c>
      <c r="J1018" s="18" t="s">
        <v>26</v>
      </c>
      <c r="K1018" s="4"/>
      <c r="L1018" s="9">
        <v>1991</v>
      </c>
      <c r="N1018" s="30" t="s">
        <v>41</v>
      </c>
      <c r="O1018" s="13" t="s">
        <v>28</v>
      </c>
      <c r="P1018" s="13">
        <f t="shared" si="39"/>
        <v>27</v>
      </c>
      <c r="Q1018" s="15">
        <f t="shared" si="40"/>
        <v>20.074074074074073</v>
      </c>
      <c r="R1018" s="13" t="s">
        <v>2624</v>
      </c>
      <c r="S1018" s="13"/>
      <c r="T1018" s="13" t="s">
        <v>2625</v>
      </c>
      <c r="U1018" s="13" t="s">
        <v>2626</v>
      </c>
      <c r="V1018" s="13" t="s">
        <v>3980</v>
      </c>
      <c r="W1018" s="13"/>
      <c r="X1018" s="13" t="s">
        <v>4780</v>
      </c>
      <c r="Y1018" s="13" t="s">
        <v>3980</v>
      </c>
      <c r="Z1018" s="13" t="s">
        <v>3980</v>
      </c>
      <c r="AC1018" s="18"/>
    </row>
    <row r="1019" spans="1:29" x14ac:dyDescent="0.25">
      <c r="A1019" s="18" t="s">
        <v>1141</v>
      </c>
      <c r="B1019" s="30">
        <v>2010</v>
      </c>
      <c r="C1019" s="13">
        <v>171</v>
      </c>
      <c r="D1019" s="14">
        <v>0.36</v>
      </c>
      <c r="E1019" s="14">
        <v>0.34899999999999998</v>
      </c>
      <c r="F1019" s="13">
        <v>7</v>
      </c>
      <c r="G1019" s="14">
        <v>0.39300000000000002</v>
      </c>
      <c r="H1019" s="18" t="s">
        <v>3625</v>
      </c>
      <c r="I1019" s="26" t="s">
        <v>106</v>
      </c>
      <c r="J1019" s="18" t="s">
        <v>54</v>
      </c>
      <c r="K1019" s="4"/>
      <c r="L1019" s="9">
        <v>2010</v>
      </c>
      <c r="N1019" s="30" t="s">
        <v>106</v>
      </c>
      <c r="O1019" s="13" t="s">
        <v>28</v>
      </c>
      <c r="P1019" s="13">
        <f t="shared" si="39"/>
        <v>8</v>
      </c>
      <c r="Q1019" s="15">
        <f t="shared" si="40"/>
        <v>21.375</v>
      </c>
      <c r="R1019" s="13" t="s">
        <v>173</v>
      </c>
      <c r="S1019" s="13"/>
      <c r="T1019" s="13" t="s">
        <v>1142</v>
      </c>
      <c r="U1019" s="13" t="s">
        <v>1143</v>
      </c>
      <c r="V1019" s="13" t="s">
        <v>3980</v>
      </c>
      <c r="W1019" s="13"/>
      <c r="X1019" s="13" t="s">
        <v>4781</v>
      </c>
      <c r="Y1019" s="13" t="s">
        <v>3980</v>
      </c>
      <c r="Z1019" s="13" t="s">
        <v>3980</v>
      </c>
      <c r="AC1019" s="18"/>
    </row>
    <row r="1020" spans="1:29" x14ac:dyDescent="0.25">
      <c r="A1020" s="18" t="s">
        <v>688</v>
      </c>
      <c r="B1020" s="30">
        <v>2008</v>
      </c>
      <c r="C1020" s="13">
        <v>6071</v>
      </c>
      <c r="D1020" s="14">
        <v>0.96099999999999997</v>
      </c>
      <c r="E1020" s="14">
        <v>0.997</v>
      </c>
      <c r="F1020" s="13">
        <v>33</v>
      </c>
      <c r="G1020" s="14">
        <v>0.94899999999999995</v>
      </c>
      <c r="H1020" s="18" t="s">
        <v>3314</v>
      </c>
      <c r="I1020" s="26" t="s">
        <v>106</v>
      </c>
      <c r="J1020" s="4" t="s">
        <v>54</v>
      </c>
      <c r="K1020" s="4"/>
      <c r="L1020" s="9">
        <v>2008</v>
      </c>
      <c r="N1020" s="30" t="s">
        <v>67</v>
      </c>
      <c r="O1020" s="13" t="s">
        <v>28</v>
      </c>
      <c r="P1020" s="13">
        <f t="shared" si="39"/>
        <v>10</v>
      </c>
      <c r="Q1020" s="15">
        <f t="shared" si="40"/>
        <v>607.1</v>
      </c>
      <c r="R1020" s="13" t="s">
        <v>689</v>
      </c>
      <c r="S1020" s="13"/>
      <c r="T1020" s="13" t="s">
        <v>690</v>
      </c>
      <c r="U1020" s="13" t="s">
        <v>691</v>
      </c>
      <c r="V1020" s="13" t="s">
        <v>3980</v>
      </c>
      <c r="W1020" s="13"/>
      <c r="X1020" s="13" t="s">
        <v>4782</v>
      </c>
      <c r="Y1020" s="13" t="s">
        <v>3980</v>
      </c>
      <c r="Z1020" s="13" t="s">
        <v>3980</v>
      </c>
      <c r="AC1020" s="18"/>
    </row>
    <row r="1021" spans="1:29" x14ac:dyDescent="0.25">
      <c r="A1021" s="18" t="s">
        <v>814</v>
      </c>
      <c r="B1021" s="30">
        <v>2010</v>
      </c>
      <c r="C1021" s="13">
        <v>579</v>
      </c>
      <c r="D1021" s="14">
        <v>0.59099999999999997</v>
      </c>
      <c r="E1021" s="14">
        <v>0.89800000000000002</v>
      </c>
      <c r="F1021" s="13">
        <v>4</v>
      </c>
      <c r="G1021" s="14">
        <v>0.19600000000000001</v>
      </c>
      <c r="H1021" s="18" t="s">
        <v>3343</v>
      </c>
      <c r="I1021" s="26" t="s">
        <v>106</v>
      </c>
      <c r="J1021" s="18" t="s">
        <v>105</v>
      </c>
      <c r="L1021" s="9">
        <v>2010</v>
      </c>
      <c r="N1021" s="30" t="s">
        <v>152</v>
      </c>
      <c r="O1021" s="13" t="s">
        <v>42</v>
      </c>
      <c r="P1021" s="13">
        <f t="shared" si="39"/>
        <v>8</v>
      </c>
      <c r="Q1021" s="15">
        <f t="shared" si="40"/>
        <v>72.375</v>
      </c>
      <c r="R1021" s="13" t="s">
        <v>815</v>
      </c>
      <c r="S1021" s="13"/>
      <c r="T1021" s="13" t="s">
        <v>816</v>
      </c>
      <c r="U1021" s="13"/>
      <c r="V1021" s="13" t="s">
        <v>3980</v>
      </c>
      <c r="W1021" s="13"/>
      <c r="X1021" s="13" t="s">
        <v>3980</v>
      </c>
      <c r="Y1021" s="13" t="s">
        <v>3980</v>
      </c>
      <c r="Z1021" s="13" t="s">
        <v>3980</v>
      </c>
      <c r="AC1021" s="18"/>
    </row>
    <row r="1022" spans="1:29" x14ac:dyDescent="0.25">
      <c r="A1022" s="18" t="s">
        <v>5055</v>
      </c>
      <c r="B1022" s="30">
        <v>2006</v>
      </c>
      <c r="C1022" s="13">
        <v>474</v>
      </c>
      <c r="D1022" s="14">
        <v>0.54400000000000004</v>
      </c>
      <c r="E1022" s="14">
        <v>0.60399999999999998</v>
      </c>
      <c r="F1022" s="13">
        <v>12</v>
      </c>
      <c r="G1022" s="14">
        <v>0.60899999999999999</v>
      </c>
      <c r="H1022" s="18" t="s">
        <v>3386</v>
      </c>
      <c r="I1022" s="26" t="s">
        <v>106</v>
      </c>
      <c r="J1022" s="18" t="s">
        <v>54</v>
      </c>
      <c r="K1022" s="4"/>
      <c r="L1022" s="9">
        <v>2006</v>
      </c>
      <c r="N1022" s="30" t="s">
        <v>123</v>
      </c>
      <c r="O1022" s="13" t="s">
        <v>28</v>
      </c>
      <c r="P1022" s="13">
        <f t="shared" si="39"/>
        <v>12</v>
      </c>
      <c r="Q1022" s="15">
        <f t="shared" si="40"/>
        <v>39.5</v>
      </c>
      <c r="R1022" s="13" t="s">
        <v>689</v>
      </c>
      <c r="S1022" s="13" t="s">
        <v>947</v>
      </c>
      <c r="T1022" s="13" t="s">
        <v>948</v>
      </c>
      <c r="U1022" s="13"/>
      <c r="V1022" s="13" t="s">
        <v>4287</v>
      </c>
      <c r="W1022" s="13"/>
      <c r="X1022" s="13" t="s">
        <v>4783</v>
      </c>
      <c r="Y1022" s="13" t="s">
        <v>3980</v>
      </c>
      <c r="Z1022" s="13" t="s">
        <v>3980</v>
      </c>
      <c r="AC1022" s="18"/>
    </row>
    <row r="1023" spans="1:29" x14ac:dyDescent="0.25">
      <c r="A1023" s="18" t="s">
        <v>5105</v>
      </c>
      <c r="B1023" s="30">
        <v>2014</v>
      </c>
      <c r="C1023" s="13">
        <v>500</v>
      </c>
      <c r="D1023" s="14">
        <v>0.55300000000000005</v>
      </c>
      <c r="E1023" s="14">
        <v>0.86299999999999999</v>
      </c>
      <c r="F1023" s="13">
        <v>12</v>
      </c>
      <c r="G1023" s="14">
        <v>0.60899999999999999</v>
      </c>
      <c r="H1023" s="18" t="s">
        <v>3623</v>
      </c>
      <c r="I1023" s="26" t="s">
        <v>106</v>
      </c>
      <c r="J1023" s="18" t="s">
        <v>105</v>
      </c>
      <c r="K1023" s="4"/>
      <c r="L1023" s="9">
        <v>2014</v>
      </c>
      <c r="N1023" s="30" t="s">
        <v>119</v>
      </c>
      <c r="O1023" s="13" t="s">
        <v>28</v>
      </c>
      <c r="P1023" s="13">
        <f t="shared" si="39"/>
        <v>4</v>
      </c>
      <c r="Q1023" s="15">
        <f t="shared" si="40"/>
        <v>125</v>
      </c>
      <c r="R1023" s="13" t="s">
        <v>1084</v>
      </c>
      <c r="S1023" s="13" t="s">
        <v>1024</v>
      </c>
      <c r="T1023" s="13" t="s">
        <v>1085</v>
      </c>
      <c r="U1023" s="13" t="s">
        <v>1086</v>
      </c>
      <c r="V1023" s="13" t="s">
        <v>3980</v>
      </c>
      <c r="W1023" s="13"/>
      <c r="X1023" s="13" t="s">
        <v>4784</v>
      </c>
      <c r="Y1023" s="13" t="s">
        <v>3980</v>
      </c>
      <c r="Z1023" s="13" t="s">
        <v>3980</v>
      </c>
      <c r="AC1023" s="18"/>
    </row>
    <row r="1024" spans="1:29" x14ac:dyDescent="0.25">
      <c r="A1024" s="18" t="s">
        <v>247</v>
      </c>
      <c r="B1024" s="30">
        <v>2010</v>
      </c>
      <c r="C1024" s="13">
        <v>881</v>
      </c>
      <c r="D1024" s="14">
        <v>0.68100000000000005</v>
      </c>
      <c r="E1024" s="14">
        <v>0.96099999999999997</v>
      </c>
      <c r="F1024" s="13">
        <v>10</v>
      </c>
      <c r="G1024" s="14">
        <v>0.52200000000000002</v>
      </c>
      <c r="H1024" s="18" t="s">
        <v>3203</v>
      </c>
      <c r="I1024" s="26" t="s">
        <v>106</v>
      </c>
      <c r="J1024" s="4" t="s">
        <v>105</v>
      </c>
      <c r="K1024" s="4"/>
      <c r="L1024" s="9">
        <v>2010</v>
      </c>
      <c r="M1024" s="11"/>
      <c r="N1024" s="30" t="s">
        <v>134</v>
      </c>
      <c r="O1024" s="13" t="s">
        <v>42</v>
      </c>
      <c r="P1024" s="13">
        <f t="shared" si="39"/>
        <v>8</v>
      </c>
      <c r="Q1024" s="15">
        <f t="shared" si="40"/>
        <v>110.125</v>
      </c>
      <c r="R1024" s="13" t="s">
        <v>248</v>
      </c>
      <c r="S1024" s="13"/>
      <c r="T1024" s="13" t="s">
        <v>249</v>
      </c>
      <c r="U1024" s="13"/>
      <c r="V1024" s="13" t="s">
        <v>3980</v>
      </c>
      <c r="W1024" s="13"/>
      <c r="X1024" s="13" t="s">
        <v>4785</v>
      </c>
      <c r="Y1024" s="13" t="s">
        <v>3980</v>
      </c>
      <c r="Z1024" s="13" t="s">
        <v>3980</v>
      </c>
      <c r="AC1024" s="18"/>
    </row>
    <row r="1025" spans="1:29" x14ac:dyDescent="0.25">
      <c r="A1025" s="18" t="s">
        <v>5119</v>
      </c>
      <c r="B1025" s="30">
        <v>1996</v>
      </c>
      <c r="C1025" s="13">
        <v>2301</v>
      </c>
      <c r="D1025" s="14">
        <v>0.85799999999999998</v>
      </c>
      <c r="E1025" s="14">
        <v>0.69199999999999995</v>
      </c>
      <c r="F1025" s="13">
        <v>27</v>
      </c>
      <c r="G1025" s="14">
        <v>0.90700000000000003</v>
      </c>
      <c r="H1025" s="18" t="s">
        <v>3301</v>
      </c>
      <c r="I1025" s="26" t="s">
        <v>106</v>
      </c>
      <c r="J1025" s="18" t="s">
        <v>26</v>
      </c>
      <c r="L1025" s="9">
        <v>1996</v>
      </c>
      <c r="N1025" s="30" t="s">
        <v>219</v>
      </c>
      <c r="O1025" s="13" t="s">
        <v>28</v>
      </c>
      <c r="P1025" s="13">
        <f t="shared" si="39"/>
        <v>22</v>
      </c>
      <c r="Q1025" s="15">
        <f t="shared" si="40"/>
        <v>104.59090909090909</v>
      </c>
      <c r="R1025" s="13" t="s">
        <v>285</v>
      </c>
      <c r="S1025" s="13" t="s">
        <v>480</v>
      </c>
      <c r="T1025" s="13" t="s">
        <v>643</v>
      </c>
      <c r="U1025" s="13" t="s">
        <v>644</v>
      </c>
      <c r="V1025" s="27" t="s">
        <v>4288</v>
      </c>
      <c r="W1025" s="13"/>
      <c r="X1025" s="27" t="s">
        <v>4786</v>
      </c>
      <c r="Y1025" s="27" t="s">
        <v>4787</v>
      </c>
      <c r="Z1025" s="27" t="s">
        <v>4788</v>
      </c>
      <c r="AC1025" s="18"/>
    </row>
    <row r="1026" spans="1:29" x14ac:dyDescent="0.25">
      <c r="A1026" s="18" t="s">
        <v>801</v>
      </c>
      <c r="B1026" s="30">
        <v>2015</v>
      </c>
      <c r="C1026" s="13">
        <v>396</v>
      </c>
      <c r="D1026" s="14">
        <v>0.503</v>
      </c>
      <c r="E1026" s="14">
        <v>0.81699999999999995</v>
      </c>
      <c r="F1026" s="13">
        <v>8</v>
      </c>
      <c r="G1026" s="14">
        <v>0.434</v>
      </c>
      <c r="H1026" s="18" t="s">
        <v>3340</v>
      </c>
      <c r="I1026" s="26" t="s">
        <v>106</v>
      </c>
      <c r="J1026" s="4" t="s">
        <v>105</v>
      </c>
      <c r="L1026" s="9">
        <v>2015</v>
      </c>
      <c r="N1026" s="30" t="s">
        <v>123</v>
      </c>
      <c r="O1026" s="13" t="s">
        <v>28</v>
      </c>
      <c r="P1026" s="13">
        <f t="shared" ref="P1026:P1077" si="41">2018-L1026</f>
        <v>3</v>
      </c>
      <c r="Q1026" s="15">
        <f t="shared" ref="Q1026:Q1077" si="42">C1026/P1026</f>
        <v>132</v>
      </c>
      <c r="R1026" s="13" t="s">
        <v>251</v>
      </c>
      <c r="S1026" s="13"/>
      <c r="T1026" s="13" t="s">
        <v>802</v>
      </c>
      <c r="U1026" s="13"/>
      <c r="V1026" s="13" t="s">
        <v>3980</v>
      </c>
      <c r="W1026" s="13"/>
      <c r="X1026" s="13" t="s">
        <v>3980</v>
      </c>
      <c r="Y1026" s="13" t="s">
        <v>3980</v>
      </c>
      <c r="Z1026" s="13" t="s">
        <v>3980</v>
      </c>
      <c r="AC1026" s="18"/>
    </row>
    <row r="1027" spans="1:29" x14ac:dyDescent="0.25">
      <c r="A1027" s="18" t="s">
        <v>2960</v>
      </c>
      <c r="B1027" s="30">
        <v>2015</v>
      </c>
      <c r="C1027" s="13">
        <v>3</v>
      </c>
      <c r="D1027" s="14">
        <v>3.2000000000000001E-2</v>
      </c>
      <c r="E1027" s="14">
        <v>6.6000000000000003E-2</v>
      </c>
      <c r="F1027" s="13">
        <v>1</v>
      </c>
      <c r="G1027" s="14">
        <v>0</v>
      </c>
      <c r="I1027" s="26" t="s">
        <v>106</v>
      </c>
      <c r="J1027" s="4" t="s">
        <v>105</v>
      </c>
      <c r="L1027" s="9">
        <v>2015</v>
      </c>
      <c r="N1027" s="30" t="s">
        <v>77</v>
      </c>
      <c r="O1027" s="13" t="s">
        <v>28</v>
      </c>
      <c r="P1027" s="13">
        <f t="shared" si="41"/>
        <v>3</v>
      </c>
      <c r="Q1027" s="15">
        <f t="shared" si="42"/>
        <v>1</v>
      </c>
      <c r="R1027" s="13" t="s">
        <v>285</v>
      </c>
      <c r="S1027" s="13"/>
      <c r="T1027" s="13" t="s">
        <v>2961</v>
      </c>
      <c r="U1027" s="13"/>
      <c r="V1027" s="13" t="s">
        <v>3980</v>
      </c>
      <c r="W1027" s="13"/>
      <c r="X1027" s="13" t="s">
        <v>3980</v>
      </c>
      <c r="Y1027" s="13" t="s">
        <v>3980</v>
      </c>
      <c r="Z1027" s="13" t="s">
        <v>3980</v>
      </c>
      <c r="AC1027" s="18"/>
    </row>
    <row r="1028" spans="1:29" x14ac:dyDescent="0.25">
      <c r="A1028" s="18" t="s">
        <v>5026</v>
      </c>
      <c r="B1028" s="30">
        <v>1985</v>
      </c>
      <c r="C1028" s="13">
        <v>937</v>
      </c>
      <c r="D1028" s="14">
        <v>0.69</v>
      </c>
      <c r="E1028" s="14">
        <v>0.435</v>
      </c>
      <c r="F1028" s="13">
        <v>13</v>
      </c>
      <c r="G1028" s="14">
        <v>0.64500000000000002</v>
      </c>
      <c r="I1028" s="26" t="s">
        <v>106</v>
      </c>
      <c r="J1028" s="18" t="s">
        <v>26</v>
      </c>
      <c r="L1028" s="9">
        <v>1985</v>
      </c>
      <c r="M1028" s="11"/>
      <c r="N1028" s="30" t="s">
        <v>382</v>
      </c>
      <c r="O1028" s="13" t="s">
        <v>28</v>
      </c>
      <c r="P1028" s="13">
        <f t="shared" si="41"/>
        <v>33</v>
      </c>
      <c r="Q1028" s="15">
        <f t="shared" si="42"/>
        <v>28.393939393939394</v>
      </c>
      <c r="R1028" s="13" t="s">
        <v>2511</v>
      </c>
      <c r="S1028" s="13" t="s">
        <v>730</v>
      </c>
      <c r="T1028" s="13" t="s">
        <v>2514</v>
      </c>
      <c r="U1028" s="13" t="s">
        <v>2515</v>
      </c>
      <c r="V1028" s="13" t="s">
        <v>4289</v>
      </c>
      <c r="W1028" s="13"/>
      <c r="X1028" s="13" t="s">
        <v>3980</v>
      </c>
      <c r="Y1028" s="13" t="s">
        <v>3980</v>
      </c>
      <c r="Z1028" s="13" t="s">
        <v>3980</v>
      </c>
      <c r="AC1028" s="18"/>
    </row>
    <row r="1029" spans="1:29" x14ac:dyDescent="0.25">
      <c r="A1029" s="18" t="s">
        <v>2320</v>
      </c>
      <c r="B1029" s="30">
        <v>1991</v>
      </c>
      <c r="C1029" s="13">
        <v>779</v>
      </c>
      <c r="D1029" s="14">
        <v>0.65</v>
      </c>
      <c r="E1029" s="14">
        <v>0.74399999999999999</v>
      </c>
      <c r="F1029" s="13">
        <v>16</v>
      </c>
      <c r="G1029" s="14">
        <v>0.74099999999999999</v>
      </c>
      <c r="I1029" s="26" t="s">
        <v>106</v>
      </c>
      <c r="J1029" s="18" t="s">
        <v>54</v>
      </c>
      <c r="L1029" s="9">
        <v>1991</v>
      </c>
      <c r="N1029" s="30" t="s">
        <v>152</v>
      </c>
      <c r="O1029" s="13" t="s">
        <v>28</v>
      </c>
      <c r="P1029" s="13">
        <f t="shared" si="41"/>
        <v>27</v>
      </c>
      <c r="Q1029" s="15">
        <f t="shared" si="42"/>
        <v>28.851851851851851</v>
      </c>
      <c r="R1029" s="13" t="s">
        <v>2321</v>
      </c>
      <c r="S1029" s="13"/>
      <c r="T1029" s="13" t="s">
        <v>2322</v>
      </c>
      <c r="U1029" s="13" t="s">
        <v>2323</v>
      </c>
      <c r="V1029" s="13" t="s">
        <v>3980</v>
      </c>
      <c r="W1029" s="13"/>
      <c r="X1029" s="13" t="s">
        <v>4789</v>
      </c>
      <c r="Y1029" s="13" t="s">
        <v>3980</v>
      </c>
      <c r="Z1029" s="13" t="s">
        <v>3980</v>
      </c>
      <c r="AC1029" s="18"/>
    </row>
    <row r="1030" spans="1:29" x14ac:dyDescent="0.25">
      <c r="A1030" s="18" t="s">
        <v>4893</v>
      </c>
      <c r="B1030" s="30">
        <v>1986</v>
      </c>
      <c r="C1030" s="13">
        <v>233</v>
      </c>
      <c r="D1030" s="14">
        <v>0.40100000000000002</v>
      </c>
      <c r="E1030" s="14">
        <v>0.40100000000000002</v>
      </c>
      <c r="F1030" s="13">
        <v>6</v>
      </c>
      <c r="G1030" s="14">
        <v>0.32200000000000001</v>
      </c>
      <c r="I1030" s="26" t="s">
        <v>106</v>
      </c>
      <c r="J1030" s="18" t="s">
        <v>54</v>
      </c>
      <c r="K1030" s="4"/>
      <c r="L1030" s="9">
        <v>1986</v>
      </c>
      <c r="N1030" s="30" t="s">
        <v>1818</v>
      </c>
      <c r="O1030" s="13" t="s">
        <v>42</v>
      </c>
      <c r="P1030" s="13">
        <f t="shared" si="41"/>
        <v>32</v>
      </c>
      <c r="Q1030" s="15">
        <f t="shared" si="42"/>
        <v>7.28125</v>
      </c>
      <c r="R1030" s="13" t="s">
        <v>1863</v>
      </c>
      <c r="S1030" s="13" t="s">
        <v>669</v>
      </c>
      <c r="T1030" s="13" t="s">
        <v>1865</v>
      </c>
      <c r="U1030" s="13" t="s">
        <v>1866</v>
      </c>
      <c r="V1030" s="13" t="s">
        <v>3980</v>
      </c>
      <c r="W1030" s="13"/>
      <c r="X1030" s="13" t="s">
        <v>4790</v>
      </c>
      <c r="Y1030" s="13" t="s">
        <v>3980</v>
      </c>
      <c r="Z1030" s="13" t="s">
        <v>3980</v>
      </c>
      <c r="AC1030" s="18"/>
    </row>
    <row r="1031" spans="1:29" x14ac:dyDescent="0.25">
      <c r="A1031" s="18" t="s">
        <v>3024</v>
      </c>
      <c r="B1031" s="30">
        <v>2006</v>
      </c>
      <c r="C1031" s="13">
        <v>1822</v>
      </c>
      <c r="D1031" s="14">
        <v>0.81399999999999995</v>
      </c>
      <c r="E1031" s="14">
        <v>0.92500000000000004</v>
      </c>
      <c r="F1031" s="13">
        <v>20</v>
      </c>
      <c r="G1031" s="14">
        <v>0.82599999999999996</v>
      </c>
      <c r="I1031" s="26" t="s">
        <v>106</v>
      </c>
      <c r="J1031" s="18" t="s">
        <v>54</v>
      </c>
      <c r="L1031" s="9">
        <v>2006</v>
      </c>
      <c r="N1031" s="30" t="s">
        <v>161</v>
      </c>
      <c r="O1031" s="13" t="s">
        <v>28</v>
      </c>
      <c r="P1031" s="13">
        <f t="shared" si="41"/>
        <v>12</v>
      </c>
      <c r="Q1031" s="15">
        <f t="shared" si="42"/>
        <v>151.83333333333334</v>
      </c>
      <c r="R1031" s="13" t="s">
        <v>2385</v>
      </c>
      <c r="S1031" s="13"/>
      <c r="T1031" s="13" t="s">
        <v>1152</v>
      </c>
      <c r="U1031" s="13" t="s">
        <v>3025</v>
      </c>
      <c r="V1031" s="13" t="s">
        <v>3980</v>
      </c>
      <c r="W1031" s="13"/>
      <c r="X1031" s="13" t="s">
        <v>4791</v>
      </c>
      <c r="Y1031" s="13" t="s">
        <v>3980</v>
      </c>
      <c r="Z1031" s="13" t="s">
        <v>3980</v>
      </c>
      <c r="AC1031" s="18"/>
    </row>
    <row r="1032" spans="1:29" x14ac:dyDescent="0.25">
      <c r="A1032" s="18" t="s">
        <v>3004</v>
      </c>
      <c r="B1032" s="30">
        <v>2017</v>
      </c>
      <c r="C1032" s="8">
        <v>97</v>
      </c>
      <c r="D1032" s="14">
        <v>0.25900000000000001</v>
      </c>
      <c r="E1032" s="14">
        <v>0.49399999999999999</v>
      </c>
      <c r="F1032" s="8">
        <v>6</v>
      </c>
      <c r="G1032" s="14">
        <v>0.32200000000000001</v>
      </c>
      <c r="H1032" s="18" t="s">
        <v>3532</v>
      </c>
      <c r="I1032" s="26" t="s">
        <v>106</v>
      </c>
      <c r="J1032" s="18" t="s">
        <v>105</v>
      </c>
      <c r="L1032" s="9">
        <v>2017</v>
      </c>
      <c r="N1032" s="28" t="s">
        <v>219</v>
      </c>
      <c r="O1032" s="18" t="s">
        <v>42</v>
      </c>
      <c r="P1032" s="13">
        <f t="shared" si="41"/>
        <v>1</v>
      </c>
      <c r="Q1032" s="15">
        <f t="shared" si="42"/>
        <v>97</v>
      </c>
      <c r="R1032" s="18" t="s">
        <v>3720</v>
      </c>
      <c r="T1032" s="18" t="s">
        <v>1152</v>
      </c>
      <c r="V1032" s="18" t="s">
        <v>3980</v>
      </c>
      <c r="X1032" s="18" t="s">
        <v>3980</v>
      </c>
      <c r="Y1032" s="18" t="s">
        <v>3980</v>
      </c>
      <c r="Z1032" s="18" t="s">
        <v>3980</v>
      </c>
      <c r="AC1032" s="18"/>
    </row>
    <row r="1033" spans="1:29" x14ac:dyDescent="0.25">
      <c r="A1033" s="18" t="s">
        <v>2791</v>
      </c>
      <c r="B1033" s="30">
        <v>1974</v>
      </c>
      <c r="C1033" s="13">
        <v>1165</v>
      </c>
      <c r="D1033" s="14">
        <v>0.73299999999999998</v>
      </c>
      <c r="E1033" s="14">
        <v>0.48199999999999998</v>
      </c>
      <c r="F1033" s="13">
        <v>13</v>
      </c>
      <c r="G1033" s="14">
        <v>0.64500000000000002</v>
      </c>
      <c r="I1033" s="26" t="s">
        <v>1255</v>
      </c>
      <c r="J1033" s="18" t="s">
        <v>26</v>
      </c>
      <c r="L1033" s="9">
        <v>1974</v>
      </c>
      <c r="N1033" s="30" t="s">
        <v>2792</v>
      </c>
      <c r="O1033" s="13" t="s">
        <v>28</v>
      </c>
      <c r="P1033" s="13">
        <f t="shared" si="41"/>
        <v>44</v>
      </c>
      <c r="Q1033" s="15">
        <f t="shared" si="42"/>
        <v>26.477272727272727</v>
      </c>
      <c r="R1033" s="13" t="s">
        <v>1436</v>
      </c>
      <c r="S1033" s="13"/>
      <c r="T1033" s="13" t="s">
        <v>2793</v>
      </c>
      <c r="U1033" s="13" t="s">
        <v>2794</v>
      </c>
      <c r="V1033" s="13" t="s">
        <v>4290</v>
      </c>
      <c r="W1033" s="13"/>
      <c r="X1033" s="13" t="s">
        <v>4792</v>
      </c>
      <c r="Y1033" s="13" t="s">
        <v>3980</v>
      </c>
      <c r="Z1033" s="13" t="s">
        <v>3980</v>
      </c>
      <c r="AC1033" s="18"/>
    </row>
    <row r="1034" spans="1:29" x14ac:dyDescent="0.25">
      <c r="A1034" s="18" t="s">
        <v>4862</v>
      </c>
      <c r="B1034" s="30">
        <v>2008</v>
      </c>
      <c r="C1034" s="13">
        <v>116</v>
      </c>
      <c r="D1034" s="14">
        <v>0.28799999999999998</v>
      </c>
      <c r="E1034" s="14">
        <v>0.26</v>
      </c>
      <c r="F1034" s="13">
        <v>7</v>
      </c>
      <c r="G1034" s="14">
        <v>0.39300000000000002</v>
      </c>
      <c r="H1034" s="18" t="s">
        <v>3629</v>
      </c>
      <c r="I1034" s="26" t="s">
        <v>1255</v>
      </c>
      <c r="J1034" s="18" t="s">
        <v>54</v>
      </c>
      <c r="K1034" s="4"/>
      <c r="L1034" s="9">
        <v>2008</v>
      </c>
      <c r="N1034" s="30" t="s">
        <v>77</v>
      </c>
      <c r="O1034" s="13" t="s">
        <v>42</v>
      </c>
      <c r="P1034" s="13">
        <f t="shared" si="41"/>
        <v>10</v>
      </c>
      <c r="Q1034" s="15">
        <f t="shared" si="42"/>
        <v>11.6</v>
      </c>
      <c r="R1034" s="13" t="s">
        <v>1178</v>
      </c>
      <c r="S1034" s="13" t="s">
        <v>164</v>
      </c>
      <c r="T1034" s="13" t="s">
        <v>1256</v>
      </c>
      <c r="U1034" s="13" t="s">
        <v>1257</v>
      </c>
      <c r="V1034" s="13" t="s">
        <v>3980</v>
      </c>
      <c r="W1034" s="13"/>
      <c r="X1034" s="13" t="s">
        <v>4793</v>
      </c>
      <c r="Y1034" s="13" t="s">
        <v>3980</v>
      </c>
      <c r="Z1034" s="13" t="s">
        <v>3980</v>
      </c>
      <c r="AC1034" s="18"/>
    </row>
    <row r="1035" spans="1:29" x14ac:dyDescent="0.25">
      <c r="A1035" s="18" t="s">
        <v>2256</v>
      </c>
      <c r="B1035" s="30">
        <v>1995</v>
      </c>
      <c r="C1035" s="8">
        <v>106</v>
      </c>
      <c r="D1035" s="14">
        <v>0.27500000000000002</v>
      </c>
      <c r="E1035" s="14">
        <v>0.246</v>
      </c>
      <c r="F1035" s="8">
        <v>4</v>
      </c>
      <c r="G1035" s="14">
        <v>0.19600000000000001</v>
      </c>
      <c r="I1035" s="26" t="s">
        <v>1255</v>
      </c>
      <c r="J1035" s="18" t="s">
        <v>54</v>
      </c>
      <c r="L1035" s="9">
        <f>B1035</f>
        <v>1995</v>
      </c>
      <c r="N1035" s="28" t="s">
        <v>3134</v>
      </c>
      <c r="O1035" s="13" t="s">
        <v>42</v>
      </c>
      <c r="P1035" s="13">
        <f t="shared" si="41"/>
        <v>23</v>
      </c>
      <c r="Q1035" s="15">
        <f t="shared" si="42"/>
        <v>4.6086956521739131</v>
      </c>
      <c r="R1035" s="18" t="s">
        <v>3802</v>
      </c>
      <c r="T1035" s="18" t="s">
        <v>3803</v>
      </c>
      <c r="V1035" s="18" t="s">
        <v>3980</v>
      </c>
      <c r="X1035" s="18" t="s">
        <v>3980</v>
      </c>
      <c r="Y1035" s="18" t="s">
        <v>3980</v>
      </c>
      <c r="Z1035" s="18" t="s">
        <v>3980</v>
      </c>
      <c r="AC1035" s="18"/>
    </row>
    <row r="1036" spans="1:29" x14ac:dyDescent="0.25">
      <c r="A1036" s="28" t="s">
        <v>4846</v>
      </c>
      <c r="B1036" s="30">
        <v>1982</v>
      </c>
      <c r="C1036" s="13">
        <v>2985</v>
      </c>
      <c r="D1036" s="14">
        <v>0.89</v>
      </c>
      <c r="E1036" s="14">
        <v>0.75600000000000001</v>
      </c>
      <c r="F1036" s="13">
        <v>20</v>
      </c>
      <c r="G1036" s="14">
        <v>0.82599999999999996</v>
      </c>
      <c r="I1036" s="26" t="s">
        <v>1255</v>
      </c>
      <c r="J1036" s="18" t="s">
        <v>26</v>
      </c>
      <c r="L1036" s="9">
        <v>1982</v>
      </c>
      <c r="N1036" s="30" t="s">
        <v>34</v>
      </c>
      <c r="O1036" s="13" t="s">
        <v>42</v>
      </c>
      <c r="P1036" s="13">
        <f t="shared" si="41"/>
        <v>36</v>
      </c>
      <c r="Q1036" s="15">
        <f t="shared" si="42"/>
        <v>82.916666666666671</v>
      </c>
      <c r="R1036" s="13" t="s">
        <v>1580</v>
      </c>
      <c r="S1036" s="13" t="s">
        <v>1024</v>
      </c>
      <c r="T1036" s="13" t="s">
        <v>1581</v>
      </c>
      <c r="U1036" s="13" t="s">
        <v>1582</v>
      </c>
      <c r="V1036" s="13" t="s">
        <v>3980</v>
      </c>
      <c r="W1036" s="13"/>
      <c r="X1036" s="13" t="s">
        <v>4794</v>
      </c>
      <c r="Y1036" s="13" t="s">
        <v>3980</v>
      </c>
      <c r="Z1036" s="13" t="s">
        <v>3980</v>
      </c>
      <c r="AC1036" s="18"/>
    </row>
    <row r="1037" spans="1:29" x14ac:dyDescent="0.25">
      <c r="A1037" s="18" t="s">
        <v>4916</v>
      </c>
      <c r="B1037" s="30">
        <v>2001</v>
      </c>
      <c r="C1037" s="13">
        <v>30</v>
      </c>
      <c r="D1037" s="14">
        <v>0.127</v>
      </c>
      <c r="E1037" s="14">
        <v>9.7000000000000003E-2</v>
      </c>
      <c r="F1037" s="13">
        <v>2</v>
      </c>
      <c r="G1037" s="14">
        <v>7.0999999999999994E-2</v>
      </c>
      <c r="I1037" s="26" t="s">
        <v>359</v>
      </c>
      <c r="J1037" s="18" t="s">
        <v>54</v>
      </c>
      <c r="L1037" s="9">
        <v>2001</v>
      </c>
      <c r="N1037" s="30" t="s">
        <v>161</v>
      </c>
      <c r="O1037" s="13" t="s">
        <v>28</v>
      </c>
      <c r="P1037" s="13">
        <f t="shared" si="41"/>
        <v>17</v>
      </c>
      <c r="Q1037" s="15">
        <f t="shared" si="42"/>
        <v>1.7647058823529411</v>
      </c>
      <c r="R1037" s="13" t="s">
        <v>386</v>
      </c>
      <c r="S1037" s="13" t="s">
        <v>480</v>
      </c>
      <c r="T1037" s="13" t="s">
        <v>1977</v>
      </c>
      <c r="U1037" s="13" t="s">
        <v>1978</v>
      </c>
      <c r="V1037" s="13" t="s">
        <v>3980</v>
      </c>
      <c r="W1037" s="13"/>
      <c r="X1037" s="13" t="s">
        <v>4795</v>
      </c>
      <c r="Y1037" s="13" t="s">
        <v>3980</v>
      </c>
      <c r="Z1037" s="13" t="s">
        <v>3980</v>
      </c>
      <c r="AC1037" s="18"/>
    </row>
    <row r="1038" spans="1:29" x14ac:dyDescent="0.25">
      <c r="A1038" s="18" t="s">
        <v>4991</v>
      </c>
      <c r="B1038" s="30">
        <v>2006</v>
      </c>
      <c r="C1038" s="13">
        <v>127</v>
      </c>
      <c r="D1038" s="14">
        <v>0.30499999999999999</v>
      </c>
      <c r="E1038" s="14">
        <v>0.28299999999999997</v>
      </c>
      <c r="F1038" s="13">
        <v>6</v>
      </c>
      <c r="G1038" s="14">
        <v>0.32200000000000001</v>
      </c>
      <c r="H1038" s="18" t="s">
        <v>4820</v>
      </c>
      <c r="I1038" s="26" t="s">
        <v>359</v>
      </c>
      <c r="J1038" s="18" t="s">
        <v>54</v>
      </c>
      <c r="K1038" s="4"/>
      <c r="L1038" s="9">
        <v>2006</v>
      </c>
      <c r="N1038" s="30" t="s">
        <v>67</v>
      </c>
      <c r="O1038" s="13" t="s">
        <v>42</v>
      </c>
      <c r="P1038" s="13">
        <f t="shared" si="41"/>
        <v>12</v>
      </c>
      <c r="Q1038" s="15">
        <f t="shared" si="42"/>
        <v>10.583333333333334</v>
      </c>
      <c r="R1038" s="13" t="s">
        <v>2325</v>
      </c>
      <c r="S1038" s="13" t="s">
        <v>90</v>
      </c>
      <c r="T1038" s="13" t="s">
        <v>2326</v>
      </c>
      <c r="U1038" s="13" t="s">
        <v>2327</v>
      </c>
      <c r="V1038" s="13" t="s">
        <v>4291</v>
      </c>
      <c r="W1038" s="13"/>
      <c r="X1038" s="13" t="s">
        <v>4796</v>
      </c>
      <c r="Y1038" s="13" t="s">
        <v>3980</v>
      </c>
      <c r="Z1038" s="13" t="s">
        <v>3980</v>
      </c>
      <c r="AC1038" s="18"/>
    </row>
    <row r="1039" spans="1:29" x14ac:dyDescent="0.25">
      <c r="A1039" s="18" t="s">
        <v>4895</v>
      </c>
      <c r="B1039" s="30">
        <v>1997</v>
      </c>
      <c r="C1039" s="13">
        <v>40</v>
      </c>
      <c r="D1039" s="14">
        <v>0.153</v>
      </c>
      <c r="E1039" s="14">
        <v>7.6999999999999999E-2</v>
      </c>
      <c r="F1039" s="13">
        <v>3</v>
      </c>
      <c r="G1039" s="14">
        <v>0.13100000000000001</v>
      </c>
      <c r="H1039" s="18" t="s">
        <v>3607</v>
      </c>
      <c r="I1039" s="26" t="s">
        <v>359</v>
      </c>
      <c r="J1039" s="18" t="s">
        <v>26</v>
      </c>
      <c r="K1039" s="4"/>
      <c r="L1039" s="9">
        <v>1997</v>
      </c>
      <c r="N1039" s="30" t="s">
        <v>220</v>
      </c>
      <c r="O1039" s="13" t="s">
        <v>42</v>
      </c>
      <c r="P1039" s="13">
        <f t="shared" si="41"/>
        <v>21</v>
      </c>
      <c r="Q1039" s="15">
        <f t="shared" si="42"/>
        <v>1.9047619047619047</v>
      </c>
      <c r="R1039" s="13" t="s">
        <v>1881</v>
      </c>
      <c r="S1039" s="13" t="s">
        <v>1882</v>
      </c>
      <c r="T1039" s="13" t="s">
        <v>1883</v>
      </c>
      <c r="U1039" s="13" t="s">
        <v>1884</v>
      </c>
      <c r="V1039" s="13" t="s">
        <v>3980</v>
      </c>
      <c r="W1039" s="13"/>
      <c r="X1039" s="13" t="s">
        <v>4797</v>
      </c>
      <c r="Y1039" s="13" t="s">
        <v>3980</v>
      </c>
      <c r="Z1039" s="13" t="s">
        <v>3980</v>
      </c>
      <c r="AC1039" s="18"/>
    </row>
    <row r="1040" spans="1:29" x14ac:dyDescent="0.25">
      <c r="A1040" s="18" t="s">
        <v>4974</v>
      </c>
      <c r="B1040" s="30">
        <v>2007</v>
      </c>
      <c r="C1040" s="13">
        <v>48</v>
      </c>
      <c r="D1040" s="14">
        <v>0.17599999999999999</v>
      </c>
      <c r="E1040" s="14">
        <v>9.0999999999999998E-2</v>
      </c>
      <c r="F1040" s="13">
        <v>3</v>
      </c>
      <c r="G1040" s="14">
        <v>0.13100000000000001</v>
      </c>
      <c r="H1040" s="18" t="s">
        <v>3701</v>
      </c>
      <c r="I1040" s="26" t="s">
        <v>359</v>
      </c>
      <c r="J1040" s="18" t="s">
        <v>26</v>
      </c>
      <c r="L1040" s="9">
        <v>2007</v>
      </c>
      <c r="N1040" s="30" t="s">
        <v>111</v>
      </c>
      <c r="O1040" s="13" t="s">
        <v>42</v>
      </c>
      <c r="P1040" s="13">
        <f t="shared" si="41"/>
        <v>11</v>
      </c>
      <c r="Q1040" s="15">
        <f t="shared" si="42"/>
        <v>4.3636363636363633</v>
      </c>
      <c r="R1040" s="13" t="s">
        <v>2233</v>
      </c>
      <c r="S1040" s="13" t="s">
        <v>206</v>
      </c>
      <c r="T1040" s="13" t="s">
        <v>2234</v>
      </c>
      <c r="U1040" s="13" t="s">
        <v>2235</v>
      </c>
      <c r="V1040" s="13" t="s">
        <v>3980</v>
      </c>
      <c r="W1040" s="13"/>
      <c r="X1040" s="13" t="s">
        <v>4798</v>
      </c>
      <c r="Y1040" s="13" t="s">
        <v>3980</v>
      </c>
      <c r="Z1040" s="13" t="s">
        <v>3980</v>
      </c>
      <c r="AC1040" s="18"/>
    </row>
    <row r="1041" spans="1:29" x14ac:dyDescent="0.25">
      <c r="A1041" s="18" t="s">
        <v>5027</v>
      </c>
      <c r="B1041" s="30">
        <v>2012</v>
      </c>
      <c r="C1041" s="13">
        <v>124</v>
      </c>
      <c r="D1041" s="14">
        <v>0.3</v>
      </c>
      <c r="E1041" s="14">
        <v>0.56399999999999995</v>
      </c>
      <c r="F1041" s="13">
        <v>3</v>
      </c>
      <c r="G1041" s="14">
        <v>0.13100000000000001</v>
      </c>
      <c r="H1041" s="18" t="s">
        <v>3385</v>
      </c>
      <c r="I1041" s="26" t="s">
        <v>359</v>
      </c>
      <c r="J1041" s="18" t="s">
        <v>105</v>
      </c>
      <c r="L1041" s="9">
        <f>B1041</f>
        <v>2012</v>
      </c>
      <c r="N1041" s="30" t="s">
        <v>1300</v>
      </c>
      <c r="O1041" s="13" t="s">
        <v>42</v>
      </c>
      <c r="P1041" s="13">
        <f t="shared" si="41"/>
        <v>6</v>
      </c>
      <c r="Q1041" s="15">
        <f t="shared" si="42"/>
        <v>20.666666666666668</v>
      </c>
      <c r="R1041" s="13" t="s">
        <v>402</v>
      </c>
      <c r="S1041" s="13" t="s">
        <v>669</v>
      </c>
      <c r="T1041" s="13" t="s">
        <v>946</v>
      </c>
      <c r="U1041" s="13"/>
      <c r="V1041" s="13" t="s">
        <v>3980</v>
      </c>
      <c r="W1041" s="13"/>
      <c r="X1041" s="13" t="s">
        <v>3980</v>
      </c>
      <c r="Y1041" s="13" t="s">
        <v>3980</v>
      </c>
      <c r="Z1041" s="13" t="s">
        <v>3980</v>
      </c>
      <c r="AC1041" s="18"/>
    </row>
    <row r="1042" spans="1:29" x14ac:dyDescent="0.25">
      <c r="A1042" s="18" t="s">
        <v>358</v>
      </c>
      <c r="B1042" s="30">
        <v>2009</v>
      </c>
      <c r="C1042" s="13">
        <v>91</v>
      </c>
      <c r="D1042" s="14">
        <v>0.247</v>
      </c>
      <c r="E1042" s="14">
        <v>0.21199999999999999</v>
      </c>
      <c r="F1042" s="13">
        <v>4</v>
      </c>
      <c r="G1042" s="14">
        <v>0.19600000000000001</v>
      </c>
      <c r="H1042" s="18" t="s">
        <v>3230</v>
      </c>
      <c r="I1042" s="26" t="s">
        <v>359</v>
      </c>
      <c r="J1042" s="18" t="s">
        <v>54</v>
      </c>
      <c r="L1042" s="9">
        <v>2009</v>
      </c>
      <c r="N1042" s="30" t="s">
        <v>225</v>
      </c>
      <c r="O1042" s="13" t="s">
        <v>28</v>
      </c>
      <c r="P1042" s="13">
        <f t="shared" si="41"/>
        <v>9</v>
      </c>
      <c r="Q1042" s="15">
        <f t="shared" si="42"/>
        <v>10.111111111111111</v>
      </c>
      <c r="R1042" s="13" t="s">
        <v>360</v>
      </c>
      <c r="S1042" s="13"/>
      <c r="T1042" s="13" t="s">
        <v>361</v>
      </c>
      <c r="U1042" s="13" t="s">
        <v>362</v>
      </c>
      <c r="V1042" s="13" t="s">
        <v>3980</v>
      </c>
      <c r="W1042" s="13"/>
      <c r="X1042" s="13" t="s">
        <v>4799</v>
      </c>
      <c r="Y1042" s="13" t="s">
        <v>3980</v>
      </c>
      <c r="Z1042" s="13" t="s">
        <v>3980</v>
      </c>
      <c r="AC1042" s="18"/>
    </row>
    <row r="1043" spans="1:29" x14ac:dyDescent="0.25">
      <c r="A1043" s="18" t="s">
        <v>4938</v>
      </c>
      <c r="B1043" s="30">
        <v>1991</v>
      </c>
      <c r="C1043" s="13">
        <v>18</v>
      </c>
      <c r="D1043" s="14">
        <v>9.5000000000000001E-2</v>
      </c>
      <c r="E1043" s="14">
        <v>4.1000000000000002E-2</v>
      </c>
      <c r="F1043" s="13">
        <v>2</v>
      </c>
      <c r="G1043" s="14">
        <v>7.0999999999999994E-2</v>
      </c>
      <c r="I1043" s="26" t="s">
        <v>359</v>
      </c>
      <c r="J1043" s="18" t="s">
        <v>26</v>
      </c>
      <c r="L1043" s="9">
        <v>1991</v>
      </c>
      <c r="N1043" s="30" t="s">
        <v>98</v>
      </c>
      <c r="O1043" s="13" t="s">
        <v>28</v>
      </c>
      <c r="P1043" s="13">
        <f t="shared" si="41"/>
        <v>27</v>
      </c>
      <c r="Q1043" s="15">
        <f t="shared" si="42"/>
        <v>0.66666666666666663</v>
      </c>
      <c r="R1043" s="13" t="s">
        <v>205</v>
      </c>
      <c r="S1043" s="13" t="s">
        <v>947</v>
      </c>
      <c r="T1043" s="13" t="s">
        <v>2085</v>
      </c>
      <c r="U1043" s="13" t="s">
        <v>2086</v>
      </c>
      <c r="V1043" s="13" t="s">
        <v>3980</v>
      </c>
      <c r="W1043" s="13"/>
      <c r="X1043" s="13" t="s">
        <v>4800</v>
      </c>
      <c r="Y1043" s="13" t="s">
        <v>3980</v>
      </c>
      <c r="Z1043" s="13" t="s">
        <v>3980</v>
      </c>
      <c r="AC1043" s="18"/>
    </row>
    <row r="1044" spans="1:29" x14ac:dyDescent="0.25">
      <c r="A1044" s="18" t="s">
        <v>4954</v>
      </c>
      <c r="B1044" s="30">
        <v>1990</v>
      </c>
      <c r="C1044" s="13">
        <v>215</v>
      </c>
      <c r="D1044" s="14">
        <v>0.39200000000000002</v>
      </c>
      <c r="E1044" s="14">
        <v>0.193</v>
      </c>
      <c r="F1044" s="13">
        <v>4</v>
      </c>
      <c r="G1044" s="14">
        <v>0.19600000000000001</v>
      </c>
      <c r="I1044" s="26" t="s">
        <v>359</v>
      </c>
      <c r="J1044" s="18" t="s">
        <v>26</v>
      </c>
      <c r="L1044" s="9">
        <v>1990</v>
      </c>
      <c r="N1044" s="30" t="s">
        <v>1186</v>
      </c>
      <c r="O1044" s="13" t="s">
        <v>42</v>
      </c>
      <c r="P1044" s="13">
        <f t="shared" si="41"/>
        <v>28</v>
      </c>
      <c r="Q1044" s="15">
        <f t="shared" si="42"/>
        <v>7.6785714285714288</v>
      </c>
      <c r="R1044" s="13" t="s">
        <v>2152</v>
      </c>
      <c r="S1044" s="13" t="s">
        <v>239</v>
      </c>
      <c r="T1044" s="13" t="s">
        <v>419</v>
      </c>
      <c r="U1044" s="13" t="s">
        <v>2153</v>
      </c>
      <c r="V1044" s="13" t="s">
        <v>3980</v>
      </c>
      <c r="W1044" s="13"/>
      <c r="X1044" s="13" t="s">
        <v>3980</v>
      </c>
      <c r="Y1044" s="13" t="s">
        <v>3980</v>
      </c>
      <c r="Z1044" s="13" t="s">
        <v>3980</v>
      </c>
      <c r="AC1044" s="18"/>
    </row>
    <row r="1045" spans="1:29" x14ac:dyDescent="0.25">
      <c r="A1045" s="18" t="s">
        <v>2282</v>
      </c>
      <c r="B1045" s="30">
        <v>2002</v>
      </c>
      <c r="C1045" s="8">
        <v>367</v>
      </c>
      <c r="D1045" s="14">
        <v>0.48199999999999998</v>
      </c>
      <c r="E1045" s="14">
        <v>0.50700000000000001</v>
      </c>
      <c r="F1045" s="8">
        <v>10</v>
      </c>
      <c r="G1045" s="14">
        <v>0.52200000000000002</v>
      </c>
      <c r="I1045" s="26" t="s">
        <v>1608</v>
      </c>
      <c r="J1045" s="4" t="s">
        <v>54</v>
      </c>
      <c r="L1045" s="9">
        <f t="shared" ref="L1045:L1050" si="43">B1045</f>
        <v>2002</v>
      </c>
      <c r="N1045" s="28" t="s">
        <v>564</v>
      </c>
      <c r="O1045" s="13" t="s">
        <v>42</v>
      </c>
      <c r="P1045" s="13">
        <f t="shared" si="41"/>
        <v>16</v>
      </c>
      <c r="Q1045" s="15">
        <f t="shared" si="42"/>
        <v>22.9375</v>
      </c>
      <c r="R1045" s="18" t="s">
        <v>3804</v>
      </c>
      <c r="T1045" s="18" t="s">
        <v>3805</v>
      </c>
      <c r="V1045" s="18" t="s">
        <v>3980</v>
      </c>
      <c r="X1045" s="18" t="s">
        <v>3980</v>
      </c>
      <c r="Y1045" s="18" t="s">
        <v>3980</v>
      </c>
      <c r="Z1045" s="18" t="s">
        <v>3980</v>
      </c>
      <c r="AC1045" s="18"/>
    </row>
    <row r="1046" spans="1:29" x14ac:dyDescent="0.25">
      <c r="A1046" s="18" t="s">
        <v>2400</v>
      </c>
      <c r="B1046" s="30">
        <v>2000</v>
      </c>
      <c r="C1046" s="8">
        <v>30</v>
      </c>
      <c r="D1046" s="14">
        <v>0.127</v>
      </c>
      <c r="E1046" s="14">
        <v>9.7000000000000003E-2</v>
      </c>
      <c r="F1046" s="8">
        <v>3</v>
      </c>
      <c r="G1046" s="14">
        <v>0.13100000000000001</v>
      </c>
      <c r="I1046" s="26" t="s">
        <v>1608</v>
      </c>
      <c r="J1046" s="4" t="s">
        <v>54</v>
      </c>
      <c r="L1046" s="9">
        <f t="shared" si="43"/>
        <v>2000</v>
      </c>
      <c r="N1046" s="28" t="s">
        <v>3140</v>
      </c>
      <c r="O1046" s="13" t="s">
        <v>42</v>
      </c>
      <c r="P1046" s="13">
        <f t="shared" si="41"/>
        <v>18</v>
      </c>
      <c r="Q1046" s="15">
        <f t="shared" si="42"/>
        <v>1.6666666666666667</v>
      </c>
      <c r="R1046" s="18" t="s">
        <v>193</v>
      </c>
      <c r="T1046" s="18" t="s">
        <v>3809</v>
      </c>
      <c r="V1046" s="18" t="s">
        <v>3980</v>
      </c>
      <c r="X1046" s="18" t="s">
        <v>3980</v>
      </c>
      <c r="Y1046" s="18" t="s">
        <v>3980</v>
      </c>
      <c r="Z1046" s="18" t="s">
        <v>3980</v>
      </c>
      <c r="AC1046" s="18"/>
    </row>
    <row r="1047" spans="1:29" x14ac:dyDescent="0.25">
      <c r="A1047" s="18" t="s">
        <v>2974</v>
      </c>
      <c r="B1047" s="30">
        <v>2008</v>
      </c>
      <c r="C1047" s="8">
        <v>349</v>
      </c>
      <c r="D1047" s="14">
        <v>0.47399999999999998</v>
      </c>
      <c r="E1047" s="14">
        <v>0.79200000000000004</v>
      </c>
      <c r="F1047" s="8">
        <v>4</v>
      </c>
      <c r="G1047" s="14">
        <v>0.19600000000000001</v>
      </c>
      <c r="H1047" s="18" t="s">
        <v>3658</v>
      </c>
      <c r="I1047" s="26" t="s">
        <v>1608</v>
      </c>
      <c r="J1047" s="4" t="s">
        <v>105</v>
      </c>
      <c r="L1047" s="9">
        <f t="shared" si="43"/>
        <v>2008</v>
      </c>
      <c r="N1047" s="28" t="s">
        <v>2672</v>
      </c>
      <c r="O1047" s="13" t="s">
        <v>28</v>
      </c>
      <c r="P1047" s="13">
        <f t="shared" si="41"/>
        <v>10</v>
      </c>
      <c r="Q1047" s="15">
        <f t="shared" si="42"/>
        <v>34.9</v>
      </c>
      <c r="R1047" s="18" t="s">
        <v>251</v>
      </c>
      <c r="T1047" s="18" t="s">
        <v>1757</v>
      </c>
      <c r="V1047" s="18" t="s">
        <v>3980</v>
      </c>
      <c r="X1047" s="18" t="s">
        <v>3980</v>
      </c>
      <c r="Y1047" s="18" t="s">
        <v>3980</v>
      </c>
      <c r="Z1047" s="18" t="s">
        <v>3980</v>
      </c>
      <c r="AC1047" s="18"/>
    </row>
    <row r="1048" spans="1:29" x14ac:dyDescent="0.25">
      <c r="A1048" s="18" t="s">
        <v>2110</v>
      </c>
      <c r="B1048" s="30">
        <v>1996</v>
      </c>
      <c r="C1048" s="8">
        <v>105</v>
      </c>
      <c r="D1048" s="14">
        <v>0.27300000000000002</v>
      </c>
      <c r="E1048" s="14">
        <v>0.13600000000000001</v>
      </c>
      <c r="F1048" s="8">
        <v>4</v>
      </c>
      <c r="G1048" s="14">
        <v>0.19600000000000001</v>
      </c>
      <c r="I1048" s="26" t="s">
        <v>1608</v>
      </c>
      <c r="J1048" s="4" t="s">
        <v>26</v>
      </c>
      <c r="L1048" s="9">
        <f t="shared" si="43"/>
        <v>1996</v>
      </c>
      <c r="N1048" s="28" t="s">
        <v>717</v>
      </c>
      <c r="O1048" s="13" t="s">
        <v>28</v>
      </c>
      <c r="P1048" s="13">
        <f t="shared" si="41"/>
        <v>22</v>
      </c>
      <c r="Q1048" s="15">
        <f t="shared" si="42"/>
        <v>4.7727272727272725</v>
      </c>
      <c r="R1048" s="18" t="s">
        <v>365</v>
      </c>
      <c r="T1048" s="18" t="s">
        <v>3848</v>
      </c>
      <c r="V1048" s="18" t="s">
        <v>3980</v>
      </c>
      <c r="X1048" s="18" t="s">
        <v>3980</v>
      </c>
      <c r="Y1048" s="18" t="s">
        <v>3980</v>
      </c>
      <c r="Z1048" s="18" t="s">
        <v>3980</v>
      </c>
      <c r="AC1048" s="18"/>
    </row>
    <row r="1049" spans="1:29" x14ac:dyDescent="0.25">
      <c r="A1049" s="18" t="s">
        <v>3648</v>
      </c>
      <c r="B1049" s="30">
        <v>2007</v>
      </c>
      <c r="C1049" s="8">
        <v>134</v>
      </c>
      <c r="D1049" s="14">
        <v>0.316</v>
      </c>
      <c r="E1049" s="14">
        <v>0.30299999999999999</v>
      </c>
      <c r="F1049" s="8">
        <v>5</v>
      </c>
      <c r="G1049" s="14">
        <v>0.27400000000000002</v>
      </c>
      <c r="I1049" s="26" t="s">
        <v>1608</v>
      </c>
      <c r="J1049" s="4" t="s">
        <v>54</v>
      </c>
      <c r="L1049" s="9">
        <f t="shared" si="43"/>
        <v>2007</v>
      </c>
      <c r="N1049" s="28" t="s">
        <v>267</v>
      </c>
      <c r="O1049" s="13" t="s">
        <v>28</v>
      </c>
      <c r="P1049" s="13">
        <f t="shared" si="41"/>
        <v>11</v>
      </c>
      <c r="Q1049" s="15">
        <f t="shared" si="42"/>
        <v>12.181818181818182</v>
      </c>
      <c r="R1049" s="18" t="s">
        <v>3810</v>
      </c>
      <c r="T1049" s="18" t="s">
        <v>3811</v>
      </c>
      <c r="V1049" s="18" t="s">
        <v>3980</v>
      </c>
      <c r="X1049" s="18" t="s">
        <v>3980</v>
      </c>
      <c r="Y1049" s="18" t="s">
        <v>3980</v>
      </c>
      <c r="Z1049" s="18" t="s">
        <v>3980</v>
      </c>
      <c r="AC1049" s="18"/>
    </row>
    <row r="1050" spans="1:29" x14ac:dyDescent="0.25">
      <c r="A1050" s="18" t="s">
        <v>1712</v>
      </c>
      <c r="B1050" s="30">
        <v>1992</v>
      </c>
      <c r="C1050" s="8">
        <v>1363</v>
      </c>
      <c r="D1050" s="14">
        <v>0.76200000000000001</v>
      </c>
      <c r="E1050" s="14">
        <v>0.52600000000000002</v>
      </c>
      <c r="F1050" s="8">
        <v>18</v>
      </c>
      <c r="G1050" s="14">
        <v>0.78700000000000003</v>
      </c>
      <c r="I1050" s="26" t="s">
        <v>1608</v>
      </c>
      <c r="J1050" s="4" t="s">
        <v>26</v>
      </c>
      <c r="L1050" s="9">
        <f t="shared" si="43"/>
        <v>1992</v>
      </c>
      <c r="N1050" s="28" t="s">
        <v>564</v>
      </c>
      <c r="O1050" s="13" t="s">
        <v>28</v>
      </c>
      <c r="P1050" s="13">
        <f t="shared" si="41"/>
        <v>26</v>
      </c>
      <c r="Q1050" s="15">
        <f t="shared" si="42"/>
        <v>52.42307692307692</v>
      </c>
      <c r="R1050" s="18" t="s">
        <v>3839</v>
      </c>
      <c r="T1050" s="18" t="s">
        <v>3840</v>
      </c>
      <c r="V1050" s="18" t="s">
        <v>3980</v>
      </c>
      <c r="X1050" s="18" t="s">
        <v>3980</v>
      </c>
      <c r="Y1050" s="18" t="s">
        <v>3980</v>
      </c>
      <c r="Z1050" s="18" t="s">
        <v>3980</v>
      </c>
      <c r="AC1050" s="18"/>
    </row>
    <row r="1051" spans="1:29" x14ac:dyDescent="0.25">
      <c r="A1051" s="18" t="s">
        <v>1828</v>
      </c>
      <c r="B1051" s="30">
        <v>1998</v>
      </c>
      <c r="C1051" s="13">
        <v>152</v>
      </c>
      <c r="D1051" s="14">
        <v>0.34100000000000003</v>
      </c>
      <c r="E1051" s="14">
        <v>0.33500000000000002</v>
      </c>
      <c r="F1051" s="13">
        <v>5</v>
      </c>
      <c r="G1051" s="14">
        <v>0.27400000000000002</v>
      </c>
      <c r="I1051" s="26" t="s">
        <v>1608</v>
      </c>
      <c r="J1051" s="18" t="s">
        <v>54</v>
      </c>
      <c r="L1051" s="9">
        <v>1998</v>
      </c>
      <c r="N1051" s="30" t="s">
        <v>1829</v>
      </c>
      <c r="O1051" s="13" t="s">
        <v>28</v>
      </c>
      <c r="P1051" s="13">
        <f t="shared" si="41"/>
        <v>20</v>
      </c>
      <c r="Q1051" s="15">
        <f t="shared" si="42"/>
        <v>7.6</v>
      </c>
      <c r="R1051" s="13" t="s">
        <v>173</v>
      </c>
      <c r="S1051" s="13"/>
      <c r="T1051" s="13" t="s">
        <v>1830</v>
      </c>
      <c r="U1051" s="13" t="s">
        <v>1831</v>
      </c>
      <c r="V1051" s="13" t="s">
        <v>4292</v>
      </c>
      <c r="W1051" s="13"/>
      <c r="X1051" s="13" t="s">
        <v>4801</v>
      </c>
      <c r="Y1051" s="13" t="s">
        <v>3980</v>
      </c>
      <c r="Z1051" s="13" t="s">
        <v>3980</v>
      </c>
      <c r="AC1051" s="18"/>
    </row>
    <row r="1052" spans="1:29" x14ac:dyDescent="0.25">
      <c r="A1052" s="18" t="s">
        <v>2372</v>
      </c>
      <c r="B1052" s="30">
        <v>2009</v>
      </c>
      <c r="C1052" s="8">
        <v>655</v>
      </c>
      <c r="D1052" s="14">
        <v>0.61799999999999999</v>
      </c>
      <c r="E1052" s="14">
        <v>0.92200000000000004</v>
      </c>
      <c r="F1052" s="8">
        <v>13</v>
      </c>
      <c r="G1052" s="14">
        <v>0.64500000000000002</v>
      </c>
      <c r="H1052" s="18" t="s">
        <v>3647</v>
      </c>
      <c r="I1052" s="26" t="s">
        <v>1608</v>
      </c>
      <c r="J1052" s="4" t="s">
        <v>105</v>
      </c>
      <c r="L1052" s="9">
        <f>B1052</f>
        <v>2009</v>
      </c>
      <c r="N1052" s="28" t="s">
        <v>161</v>
      </c>
      <c r="O1052" s="13" t="s">
        <v>28</v>
      </c>
      <c r="P1052" s="13">
        <f t="shared" si="41"/>
        <v>9</v>
      </c>
      <c r="Q1052" s="15">
        <f t="shared" si="42"/>
        <v>72.777777777777771</v>
      </c>
      <c r="R1052" s="18" t="s">
        <v>3714</v>
      </c>
      <c r="T1052" s="18" t="s">
        <v>3715</v>
      </c>
      <c r="V1052" s="18" t="s">
        <v>3980</v>
      </c>
      <c r="X1052" s="18" t="s">
        <v>3980</v>
      </c>
      <c r="Y1052" s="18" t="s">
        <v>3980</v>
      </c>
      <c r="Z1052" s="18" t="s">
        <v>3980</v>
      </c>
      <c r="AC1052" s="18"/>
    </row>
    <row r="1053" spans="1:29" x14ac:dyDescent="0.25">
      <c r="A1053" s="18" t="s">
        <v>1607</v>
      </c>
      <c r="B1053" s="30">
        <v>1990</v>
      </c>
      <c r="C1053" s="13">
        <v>104</v>
      </c>
      <c r="D1053" s="14">
        <v>0.27100000000000002</v>
      </c>
      <c r="E1053" s="14">
        <v>0.13400000000000001</v>
      </c>
      <c r="F1053" s="13">
        <v>6</v>
      </c>
      <c r="G1053" s="14">
        <v>0.32200000000000001</v>
      </c>
      <c r="I1053" s="26" t="s">
        <v>1608</v>
      </c>
      <c r="J1053" s="18" t="s">
        <v>26</v>
      </c>
      <c r="K1053" s="4"/>
      <c r="L1053" s="9">
        <v>1990</v>
      </c>
      <c r="N1053" s="30" t="s">
        <v>788</v>
      </c>
      <c r="O1053" s="13" t="s">
        <v>28</v>
      </c>
      <c r="P1053" s="13">
        <f t="shared" si="41"/>
        <v>28</v>
      </c>
      <c r="Q1053" s="15">
        <f t="shared" si="42"/>
        <v>3.7142857142857144</v>
      </c>
      <c r="R1053" s="13" t="s">
        <v>1609</v>
      </c>
      <c r="S1053" s="13"/>
      <c r="T1053" s="13" t="s">
        <v>1610</v>
      </c>
      <c r="U1053" s="13" t="s">
        <v>1611</v>
      </c>
      <c r="V1053" s="13" t="s">
        <v>4293</v>
      </c>
      <c r="W1053" s="13"/>
      <c r="X1053" s="13" t="s">
        <v>3980</v>
      </c>
      <c r="Y1053" s="13" t="s">
        <v>3980</v>
      </c>
      <c r="Z1053" s="13" t="s">
        <v>3980</v>
      </c>
      <c r="AC1053" s="18"/>
    </row>
    <row r="1054" spans="1:29" x14ac:dyDescent="0.25">
      <c r="A1054" s="18" t="s">
        <v>5144</v>
      </c>
      <c r="B1054" s="30">
        <v>2010</v>
      </c>
      <c r="C1054" s="13">
        <v>315</v>
      </c>
      <c r="D1054" s="14">
        <v>0.45700000000000002</v>
      </c>
      <c r="E1054" s="14">
        <v>0.77100000000000002</v>
      </c>
      <c r="F1054" s="13">
        <v>9</v>
      </c>
      <c r="G1054" s="14">
        <v>0.48799999999999999</v>
      </c>
      <c r="I1054" s="26" t="s">
        <v>1608</v>
      </c>
      <c r="J1054" s="4" t="s">
        <v>105</v>
      </c>
      <c r="K1054" s="4"/>
      <c r="L1054" s="9">
        <v>2010</v>
      </c>
      <c r="N1054" s="30" t="s">
        <v>134</v>
      </c>
      <c r="O1054" s="13" t="s">
        <v>28</v>
      </c>
      <c r="P1054" s="13">
        <f t="shared" si="41"/>
        <v>8</v>
      </c>
      <c r="Q1054" s="15">
        <f t="shared" si="42"/>
        <v>39.375</v>
      </c>
      <c r="R1054" s="13" t="s">
        <v>718</v>
      </c>
      <c r="S1054" s="13" t="s">
        <v>718</v>
      </c>
      <c r="T1054" s="13" t="s">
        <v>1502</v>
      </c>
      <c r="U1054" s="13"/>
      <c r="V1054" s="13" t="s">
        <v>3980</v>
      </c>
      <c r="W1054" s="13"/>
      <c r="X1054" s="13" t="s">
        <v>3980</v>
      </c>
      <c r="Y1054" s="13" t="s">
        <v>3980</v>
      </c>
      <c r="Z1054" s="13" t="s">
        <v>3980</v>
      </c>
      <c r="AC1054" s="18"/>
    </row>
    <row r="1055" spans="1:29" x14ac:dyDescent="0.25">
      <c r="A1055" s="18" t="s">
        <v>2010</v>
      </c>
      <c r="B1055" s="30">
        <v>1988</v>
      </c>
      <c r="C1055" s="8">
        <v>920</v>
      </c>
      <c r="D1055" s="14">
        <v>0.68799999999999994</v>
      </c>
      <c r="E1055" s="14">
        <v>0.43</v>
      </c>
      <c r="F1055" s="8">
        <v>12</v>
      </c>
      <c r="G1055" s="14">
        <v>0.60899999999999999</v>
      </c>
      <c r="H1055" s="18" t="s">
        <v>3576</v>
      </c>
      <c r="I1055" s="26" t="s">
        <v>1608</v>
      </c>
      <c r="J1055" s="4" t="s">
        <v>26</v>
      </c>
      <c r="L1055" s="9">
        <f>B1055</f>
        <v>1988</v>
      </c>
      <c r="N1055" s="28" t="s">
        <v>162</v>
      </c>
      <c r="O1055" s="13" t="s">
        <v>28</v>
      </c>
      <c r="P1055" s="13">
        <f t="shared" si="41"/>
        <v>30</v>
      </c>
      <c r="Q1055" s="15">
        <f t="shared" si="42"/>
        <v>30.666666666666668</v>
      </c>
      <c r="R1055" s="18" t="s">
        <v>2008</v>
      </c>
      <c r="T1055" s="18" t="s">
        <v>3827</v>
      </c>
      <c r="V1055" s="18" t="s">
        <v>3980</v>
      </c>
      <c r="X1055" s="18" t="s">
        <v>3980</v>
      </c>
      <c r="Y1055" s="18" t="s">
        <v>3980</v>
      </c>
      <c r="Z1055" s="18" t="s">
        <v>3980</v>
      </c>
      <c r="AC1055" s="18"/>
    </row>
    <row r="1056" spans="1:29" x14ac:dyDescent="0.25">
      <c r="A1056" s="18" t="s">
        <v>2384</v>
      </c>
      <c r="B1056" s="30">
        <v>2007</v>
      </c>
      <c r="C1056" s="13">
        <v>565</v>
      </c>
      <c r="D1056" s="14">
        <v>0.58399999999999996</v>
      </c>
      <c r="E1056" s="14">
        <v>0.66400000000000003</v>
      </c>
      <c r="F1056" s="13">
        <v>8</v>
      </c>
      <c r="G1056" s="14">
        <v>0.434</v>
      </c>
      <c r="I1056" s="26" t="s">
        <v>1608</v>
      </c>
      <c r="J1056" s="4" t="s">
        <v>54</v>
      </c>
      <c r="L1056" s="9">
        <v>2007</v>
      </c>
      <c r="N1056" s="30" t="s">
        <v>2336</v>
      </c>
      <c r="O1056" s="13" t="s">
        <v>28</v>
      </c>
      <c r="P1056" s="13">
        <f t="shared" si="41"/>
        <v>11</v>
      </c>
      <c r="Q1056" s="15">
        <f t="shared" si="42"/>
        <v>51.363636363636367</v>
      </c>
      <c r="R1056" s="13" t="s">
        <v>628</v>
      </c>
      <c r="S1056" s="13"/>
      <c r="T1056" s="13" t="s">
        <v>2385</v>
      </c>
      <c r="U1056" s="13"/>
      <c r="V1056" s="13" t="s">
        <v>3980</v>
      </c>
      <c r="W1056" s="13"/>
      <c r="X1056" s="13" t="s">
        <v>4802</v>
      </c>
      <c r="Y1056" s="13" t="s">
        <v>3980</v>
      </c>
      <c r="Z1056" s="13" t="s">
        <v>3980</v>
      </c>
      <c r="AC1056" s="18"/>
    </row>
    <row r="1057" spans="1:29" x14ac:dyDescent="0.25">
      <c r="A1057" s="18" t="s">
        <v>2343</v>
      </c>
      <c r="B1057" s="30">
        <v>2013</v>
      </c>
      <c r="C1057" s="8">
        <v>102</v>
      </c>
      <c r="D1057" s="14">
        <v>0.26600000000000001</v>
      </c>
      <c r="E1057" s="14">
        <v>0.51200000000000001</v>
      </c>
      <c r="F1057" s="8">
        <v>6</v>
      </c>
      <c r="G1057" s="14">
        <v>0.32200000000000001</v>
      </c>
      <c r="H1057" s="18" t="s">
        <v>3598</v>
      </c>
      <c r="I1057" s="26" t="s">
        <v>1608</v>
      </c>
      <c r="J1057" s="4" t="s">
        <v>105</v>
      </c>
      <c r="L1057" s="9">
        <f>B1057</f>
        <v>2013</v>
      </c>
      <c r="N1057" s="28" t="s">
        <v>161</v>
      </c>
      <c r="O1057" s="13" t="s">
        <v>28</v>
      </c>
      <c r="P1057" s="13">
        <f t="shared" si="41"/>
        <v>5</v>
      </c>
      <c r="Q1057" s="15">
        <f t="shared" si="42"/>
        <v>20.399999999999999</v>
      </c>
      <c r="R1057" s="18" t="s">
        <v>3738</v>
      </c>
      <c r="T1057" s="18" t="s">
        <v>3739</v>
      </c>
      <c r="V1057" s="18" t="s">
        <v>3980</v>
      </c>
      <c r="X1057" s="18" t="s">
        <v>3980</v>
      </c>
      <c r="Y1057" s="18" t="s">
        <v>3980</v>
      </c>
      <c r="Z1057" s="18" t="s">
        <v>3980</v>
      </c>
      <c r="AC1057" s="18"/>
    </row>
    <row r="1058" spans="1:29" x14ac:dyDescent="0.25">
      <c r="A1058" s="18" t="s">
        <v>2941</v>
      </c>
      <c r="B1058" s="30">
        <v>2005</v>
      </c>
      <c r="C1058" s="8">
        <v>34</v>
      </c>
      <c r="D1058" s="14">
        <v>0.13600000000000001</v>
      </c>
      <c r="E1058" s="14">
        <v>0.27300000000000002</v>
      </c>
      <c r="F1058" s="8">
        <v>3</v>
      </c>
      <c r="G1058" s="14">
        <v>0.13100000000000001</v>
      </c>
      <c r="I1058" s="26" t="s">
        <v>2942</v>
      </c>
      <c r="J1058" s="18" t="s">
        <v>105</v>
      </c>
      <c r="L1058" s="9">
        <f>B1058</f>
        <v>2005</v>
      </c>
      <c r="N1058" s="28" t="s">
        <v>151</v>
      </c>
      <c r="O1058" s="13" t="s">
        <v>42</v>
      </c>
      <c r="P1058" s="13">
        <f t="shared" si="41"/>
        <v>13</v>
      </c>
      <c r="Q1058" s="15">
        <f t="shared" si="42"/>
        <v>2.6153846153846154</v>
      </c>
      <c r="R1058" s="18" t="s">
        <v>3770</v>
      </c>
      <c r="T1058" s="18" t="s">
        <v>3771</v>
      </c>
      <c r="V1058" s="18" t="s">
        <v>3980</v>
      </c>
      <c r="X1058" s="18" t="s">
        <v>3980</v>
      </c>
      <c r="Y1058" s="18" t="s">
        <v>3980</v>
      </c>
      <c r="Z1058" s="18" t="s">
        <v>3980</v>
      </c>
      <c r="AC1058" s="18"/>
    </row>
    <row r="1059" spans="1:29" x14ac:dyDescent="0.25">
      <c r="A1059" s="18" t="s">
        <v>1697</v>
      </c>
      <c r="B1059" s="30">
        <v>2006</v>
      </c>
      <c r="C1059" s="13">
        <v>875</v>
      </c>
      <c r="D1059" s="14">
        <v>0.67900000000000005</v>
      </c>
      <c r="E1059" s="14">
        <v>0.77300000000000002</v>
      </c>
      <c r="F1059" s="13">
        <v>13</v>
      </c>
      <c r="G1059" s="14">
        <v>0.64500000000000002</v>
      </c>
      <c r="I1059" s="26" t="s">
        <v>835</v>
      </c>
      <c r="J1059" s="4" t="s">
        <v>54</v>
      </c>
      <c r="L1059" s="9">
        <v>2006</v>
      </c>
      <c r="N1059" s="30" t="s">
        <v>565</v>
      </c>
      <c r="O1059" s="13" t="s">
        <v>42</v>
      </c>
      <c r="P1059" s="13">
        <f t="shared" si="41"/>
        <v>12</v>
      </c>
      <c r="Q1059" s="15">
        <f t="shared" si="42"/>
        <v>72.916666666666671</v>
      </c>
      <c r="R1059" s="13" t="s">
        <v>1698</v>
      </c>
      <c r="S1059" s="13"/>
      <c r="T1059" s="13" t="s">
        <v>1699</v>
      </c>
      <c r="U1059" s="13"/>
      <c r="V1059" s="13" t="s">
        <v>4294</v>
      </c>
      <c r="W1059" s="13"/>
      <c r="X1059" s="13" t="s">
        <v>3980</v>
      </c>
      <c r="Y1059" s="13" t="s">
        <v>3980</v>
      </c>
      <c r="Z1059" s="13" t="s">
        <v>3980</v>
      </c>
      <c r="AC1059" s="18"/>
    </row>
    <row r="1060" spans="1:29" x14ac:dyDescent="0.25">
      <c r="A1060" s="18" t="s">
        <v>5070</v>
      </c>
      <c r="B1060" s="30">
        <v>1990</v>
      </c>
      <c r="C1060" s="13">
        <v>177</v>
      </c>
      <c r="D1060" s="14">
        <v>0.36499999999999999</v>
      </c>
      <c r="E1060" s="14">
        <v>0.17499999999999999</v>
      </c>
      <c r="F1060" s="13">
        <v>8</v>
      </c>
      <c r="G1060" s="14">
        <v>0.434</v>
      </c>
      <c r="H1060" s="18" t="s">
        <v>3349</v>
      </c>
      <c r="I1060" s="26" t="s">
        <v>835</v>
      </c>
      <c r="J1060" s="4" t="s">
        <v>26</v>
      </c>
      <c r="L1060" s="9">
        <v>1990</v>
      </c>
      <c r="N1060" s="30" t="s">
        <v>836</v>
      </c>
      <c r="O1060" s="13" t="s">
        <v>28</v>
      </c>
      <c r="P1060" s="13">
        <f t="shared" si="41"/>
        <v>28</v>
      </c>
      <c r="Q1060" s="15">
        <f t="shared" si="42"/>
        <v>6.3214285714285712</v>
      </c>
      <c r="R1060" s="13" t="s">
        <v>177</v>
      </c>
      <c r="S1060" s="13" t="s">
        <v>30</v>
      </c>
      <c r="T1060" s="13" t="s">
        <v>837</v>
      </c>
      <c r="U1060" s="13"/>
      <c r="V1060" s="13" t="s">
        <v>3980</v>
      </c>
      <c r="W1060" s="13"/>
      <c r="X1060" s="13" t="s">
        <v>4803</v>
      </c>
      <c r="Y1060" s="13" t="s">
        <v>3980</v>
      </c>
      <c r="Z1060" s="13" t="s">
        <v>3980</v>
      </c>
      <c r="AC1060" s="18"/>
    </row>
    <row r="1061" spans="1:29" x14ac:dyDescent="0.25">
      <c r="A1061" s="18" t="s">
        <v>1655</v>
      </c>
      <c r="B1061" s="30">
        <v>2008</v>
      </c>
      <c r="C1061" s="13">
        <v>6</v>
      </c>
      <c r="D1061" s="14">
        <v>4.8000000000000001E-2</v>
      </c>
      <c r="E1061" s="14">
        <v>4.2000000000000003E-2</v>
      </c>
      <c r="F1061" s="13">
        <v>2</v>
      </c>
      <c r="G1061" s="14">
        <v>7.0999999999999994E-2</v>
      </c>
      <c r="I1061" s="26" t="s">
        <v>835</v>
      </c>
      <c r="J1061" s="4" t="s">
        <v>54</v>
      </c>
      <c r="L1061" s="9">
        <v>2008</v>
      </c>
      <c r="N1061" s="30" t="s">
        <v>565</v>
      </c>
      <c r="O1061" s="13" t="s">
        <v>28</v>
      </c>
      <c r="P1061" s="13">
        <f t="shared" si="41"/>
        <v>10</v>
      </c>
      <c r="Q1061" s="15">
        <f t="shared" si="42"/>
        <v>0.6</v>
      </c>
      <c r="R1061" s="13" t="s">
        <v>575</v>
      </c>
      <c r="S1061" s="13"/>
      <c r="T1061" s="13" t="s">
        <v>1656</v>
      </c>
      <c r="U1061" s="13"/>
      <c r="V1061" s="13" t="s">
        <v>3980</v>
      </c>
      <c r="W1061" s="13"/>
      <c r="X1061" s="13" t="s">
        <v>4804</v>
      </c>
      <c r="Y1061" s="13" t="s">
        <v>3980</v>
      </c>
      <c r="Z1061" s="13" t="s">
        <v>3980</v>
      </c>
      <c r="AC1061" s="18"/>
    </row>
    <row r="1062" spans="1:29" x14ac:dyDescent="0.25">
      <c r="A1062" s="28" t="s">
        <v>1500</v>
      </c>
      <c r="B1062" s="30">
        <v>2014</v>
      </c>
      <c r="C1062" s="8">
        <v>2</v>
      </c>
      <c r="D1062" s="14">
        <v>2.3E-2</v>
      </c>
      <c r="E1062" s="14">
        <v>4.9000000000000002E-2</v>
      </c>
      <c r="F1062" s="8">
        <v>1</v>
      </c>
      <c r="G1062" s="14">
        <v>0</v>
      </c>
      <c r="I1062" s="26" t="s">
        <v>835</v>
      </c>
      <c r="J1062" s="4" t="s">
        <v>105</v>
      </c>
      <c r="L1062" s="9">
        <f>B1062</f>
        <v>2014</v>
      </c>
      <c r="N1062" s="28" t="s">
        <v>565</v>
      </c>
      <c r="O1062" s="13" t="s">
        <v>42</v>
      </c>
      <c r="P1062" s="13">
        <f t="shared" si="41"/>
        <v>4</v>
      </c>
      <c r="Q1062" s="15">
        <f t="shared" si="42"/>
        <v>0.5</v>
      </c>
      <c r="R1062" s="18" t="s">
        <v>3741</v>
      </c>
      <c r="T1062" s="18" t="s">
        <v>3742</v>
      </c>
      <c r="V1062" s="18" t="s">
        <v>3980</v>
      </c>
      <c r="X1062" s="18" t="s">
        <v>3980</v>
      </c>
      <c r="Y1062" s="18" t="s">
        <v>3980</v>
      </c>
      <c r="Z1062" s="18" t="s">
        <v>3980</v>
      </c>
      <c r="AC1062" s="18"/>
    </row>
    <row r="1063" spans="1:29" x14ac:dyDescent="0.25">
      <c r="A1063" s="18" t="s">
        <v>2963</v>
      </c>
      <c r="B1063" s="30">
        <v>2013</v>
      </c>
      <c r="C1063" s="13">
        <v>137</v>
      </c>
      <c r="D1063" s="14">
        <v>0.32</v>
      </c>
      <c r="E1063" s="14">
        <v>0.59599999999999997</v>
      </c>
      <c r="F1063" s="13">
        <v>5</v>
      </c>
      <c r="G1063" s="14">
        <v>0.27400000000000002</v>
      </c>
      <c r="H1063" s="18" t="s">
        <v>3595</v>
      </c>
      <c r="I1063" s="26" t="s">
        <v>835</v>
      </c>
      <c r="J1063" s="4" t="s">
        <v>105</v>
      </c>
      <c r="L1063" s="9">
        <v>2013</v>
      </c>
      <c r="N1063" s="30" t="s">
        <v>564</v>
      </c>
      <c r="O1063" s="13" t="s">
        <v>28</v>
      </c>
      <c r="P1063" s="13">
        <f t="shared" si="41"/>
        <v>5</v>
      </c>
      <c r="Q1063" s="15">
        <f t="shared" si="42"/>
        <v>27.4</v>
      </c>
      <c r="R1063" s="13" t="s">
        <v>417</v>
      </c>
      <c r="S1063" s="13"/>
      <c r="T1063" s="13" t="s">
        <v>2964</v>
      </c>
      <c r="U1063" s="13"/>
      <c r="V1063" s="13" t="s">
        <v>4295</v>
      </c>
      <c r="W1063" s="13"/>
      <c r="X1063" s="13" t="s">
        <v>3980</v>
      </c>
      <c r="Y1063" s="13" t="s">
        <v>3980</v>
      </c>
      <c r="Z1063" s="13" t="s">
        <v>3980</v>
      </c>
      <c r="AC1063" s="18"/>
    </row>
    <row r="1064" spans="1:29" x14ac:dyDescent="0.25">
      <c r="A1064" s="18" t="s">
        <v>2265</v>
      </c>
      <c r="B1064" s="30">
        <v>1976</v>
      </c>
      <c r="C1064" s="13">
        <v>14</v>
      </c>
      <c r="D1064" s="14">
        <v>8.2000000000000003E-2</v>
      </c>
      <c r="E1064" s="14">
        <v>3.1E-2</v>
      </c>
      <c r="F1064" s="13">
        <v>3</v>
      </c>
      <c r="G1064" s="14">
        <v>0.13100000000000001</v>
      </c>
      <c r="I1064" s="26" t="s">
        <v>835</v>
      </c>
      <c r="J1064" s="4" t="s">
        <v>26</v>
      </c>
      <c r="K1064" s="4"/>
      <c r="L1064" s="9">
        <v>1976</v>
      </c>
      <c r="N1064" s="30" t="s">
        <v>519</v>
      </c>
      <c r="O1064" s="13" t="s">
        <v>28</v>
      </c>
      <c r="P1064" s="13">
        <f t="shared" si="41"/>
        <v>42</v>
      </c>
      <c r="Q1064" s="15">
        <f t="shared" si="42"/>
        <v>0.33333333333333331</v>
      </c>
      <c r="R1064" s="13" t="s">
        <v>319</v>
      </c>
      <c r="S1064" s="13"/>
      <c r="T1064" s="13" t="s">
        <v>2266</v>
      </c>
      <c r="U1064" s="13"/>
      <c r="V1064" s="13" t="s">
        <v>3980</v>
      </c>
      <c r="W1064" s="13"/>
      <c r="X1064" s="13" t="s">
        <v>3980</v>
      </c>
      <c r="Y1064" s="13" t="s">
        <v>3980</v>
      </c>
      <c r="Z1064" s="13" t="s">
        <v>3980</v>
      </c>
      <c r="AC1064" s="18"/>
    </row>
    <row r="1065" spans="1:29" x14ac:dyDescent="0.25">
      <c r="A1065" s="18" t="s">
        <v>2827</v>
      </c>
      <c r="B1065" s="30">
        <v>2015</v>
      </c>
      <c r="C1065" s="13">
        <v>1</v>
      </c>
      <c r="D1065" s="14">
        <v>0</v>
      </c>
      <c r="E1065" s="14">
        <v>0</v>
      </c>
      <c r="F1065" s="13">
        <v>1</v>
      </c>
      <c r="G1065" s="14">
        <v>0</v>
      </c>
      <c r="I1065" s="26" t="s">
        <v>835</v>
      </c>
      <c r="J1065" s="4" t="s">
        <v>105</v>
      </c>
      <c r="K1065" s="4"/>
      <c r="L1065" s="9">
        <f>B1065</f>
        <v>2015</v>
      </c>
      <c r="N1065" s="30" t="s">
        <v>988</v>
      </c>
      <c r="O1065" s="13" t="s">
        <v>28</v>
      </c>
      <c r="P1065" s="13">
        <f t="shared" si="41"/>
        <v>3</v>
      </c>
      <c r="Q1065" s="15">
        <f t="shared" si="42"/>
        <v>0.33333333333333331</v>
      </c>
      <c r="R1065" s="13" t="s">
        <v>679</v>
      </c>
      <c r="S1065" s="13"/>
      <c r="T1065" s="13" t="s">
        <v>2828</v>
      </c>
      <c r="U1065" s="13"/>
      <c r="V1065" s="13" t="s">
        <v>3980</v>
      </c>
      <c r="W1065" s="13"/>
      <c r="X1065" s="13" t="s">
        <v>3980</v>
      </c>
      <c r="Y1065" s="13" t="s">
        <v>3980</v>
      </c>
      <c r="Z1065" s="13" t="s">
        <v>3980</v>
      </c>
      <c r="AC1065" s="18"/>
    </row>
    <row r="1066" spans="1:29" x14ac:dyDescent="0.25">
      <c r="A1066" s="18" t="s">
        <v>1891</v>
      </c>
      <c r="B1066" s="30">
        <v>2009</v>
      </c>
      <c r="C1066" s="13">
        <v>16</v>
      </c>
      <c r="D1066" s="14">
        <v>0.09</v>
      </c>
      <c r="E1066" s="14">
        <v>0.17799999999999999</v>
      </c>
      <c r="F1066" s="13">
        <v>2</v>
      </c>
      <c r="G1066" s="14">
        <v>7.0999999999999994E-2</v>
      </c>
      <c r="I1066" s="26" t="s">
        <v>835</v>
      </c>
      <c r="J1066" s="4" t="s">
        <v>105</v>
      </c>
      <c r="L1066" s="9">
        <v>2009</v>
      </c>
      <c r="M1066" s="11"/>
      <c r="N1066" s="30" t="s">
        <v>83</v>
      </c>
      <c r="O1066" s="13" t="s">
        <v>42</v>
      </c>
      <c r="P1066" s="13">
        <f t="shared" si="41"/>
        <v>9</v>
      </c>
      <c r="Q1066" s="15">
        <f t="shared" si="42"/>
        <v>1.7777777777777777</v>
      </c>
      <c r="R1066" s="13" t="s">
        <v>1892</v>
      </c>
      <c r="S1066" s="13"/>
      <c r="T1066" s="13" t="s">
        <v>1893</v>
      </c>
      <c r="U1066" s="13"/>
      <c r="V1066" s="13" t="s">
        <v>3980</v>
      </c>
      <c r="W1066" s="13"/>
      <c r="X1066" s="13" t="s">
        <v>4805</v>
      </c>
      <c r="Y1066" s="13" t="s">
        <v>3980</v>
      </c>
      <c r="Z1066" s="13" t="s">
        <v>3980</v>
      </c>
      <c r="AC1066" s="18"/>
    </row>
    <row r="1067" spans="1:29" x14ac:dyDescent="0.25">
      <c r="A1067" s="18" t="s">
        <v>1263</v>
      </c>
      <c r="B1067" s="30">
        <v>2000</v>
      </c>
      <c r="C1067" s="13">
        <v>807</v>
      </c>
      <c r="D1067" s="14">
        <v>0.65900000000000003</v>
      </c>
      <c r="E1067" s="14">
        <v>0.75</v>
      </c>
      <c r="F1067" s="13">
        <v>13</v>
      </c>
      <c r="G1067" s="14">
        <v>0.64500000000000002</v>
      </c>
      <c r="H1067" s="18" t="s">
        <v>3475</v>
      </c>
      <c r="I1067" s="18" t="s">
        <v>858</v>
      </c>
      <c r="J1067" s="18" t="s">
        <v>54</v>
      </c>
      <c r="K1067" s="4"/>
      <c r="L1067" s="9">
        <f t="shared" ref="L1067:L1074" si="44">B1067</f>
        <v>2000</v>
      </c>
      <c r="N1067" s="30" t="s">
        <v>3099</v>
      </c>
      <c r="O1067" s="13" t="s">
        <v>28</v>
      </c>
      <c r="P1067" s="13">
        <f t="shared" si="41"/>
        <v>18</v>
      </c>
      <c r="Q1067" s="15">
        <f t="shared" si="42"/>
        <v>44.833333333333336</v>
      </c>
      <c r="R1067" s="13" t="s">
        <v>1001</v>
      </c>
      <c r="S1067" s="13"/>
      <c r="T1067" s="13" t="s">
        <v>1264</v>
      </c>
      <c r="U1067" s="13"/>
      <c r="V1067" s="13" t="s">
        <v>3980</v>
      </c>
      <c r="W1067" s="13"/>
      <c r="X1067" s="13" t="s">
        <v>3980</v>
      </c>
      <c r="Y1067" s="13" t="s">
        <v>3980</v>
      </c>
      <c r="Z1067" s="13" t="s">
        <v>3980</v>
      </c>
      <c r="AC1067" s="18"/>
    </row>
    <row r="1068" spans="1:29" x14ac:dyDescent="0.25">
      <c r="A1068" s="18" t="s">
        <v>4945</v>
      </c>
      <c r="B1068" s="30">
        <v>2006</v>
      </c>
      <c r="C1068" s="13">
        <v>152</v>
      </c>
      <c r="D1068" s="14">
        <v>0.34100000000000003</v>
      </c>
      <c r="E1068" s="14">
        <v>0.161</v>
      </c>
      <c r="F1068" s="13">
        <v>6</v>
      </c>
      <c r="G1068" s="14">
        <v>0.32200000000000001</v>
      </c>
      <c r="I1068" s="18" t="s">
        <v>858</v>
      </c>
      <c r="J1068" s="18" t="s">
        <v>26</v>
      </c>
      <c r="K1068" s="4"/>
      <c r="L1068" s="9">
        <f t="shared" si="44"/>
        <v>2006</v>
      </c>
      <c r="N1068" s="30" t="s">
        <v>858</v>
      </c>
      <c r="O1068" s="13" t="s">
        <v>42</v>
      </c>
      <c r="P1068" s="13">
        <f t="shared" si="41"/>
        <v>12</v>
      </c>
      <c r="Q1068" s="15">
        <f t="shared" si="42"/>
        <v>12.666666666666666</v>
      </c>
      <c r="R1068" s="13" t="s">
        <v>338</v>
      </c>
      <c r="S1068" s="13" t="s">
        <v>62</v>
      </c>
      <c r="T1068" s="13" t="s">
        <v>2121</v>
      </c>
      <c r="U1068" s="13"/>
      <c r="V1068" s="13" t="s">
        <v>3980</v>
      </c>
      <c r="W1068" s="13"/>
      <c r="X1068" s="13" t="s">
        <v>3980</v>
      </c>
      <c r="Y1068" s="13" t="s">
        <v>3980</v>
      </c>
      <c r="Z1068" s="13" t="s">
        <v>3980</v>
      </c>
      <c r="AC1068" s="18"/>
    </row>
    <row r="1069" spans="1:29" x14ac:dyDescent="0.25">
      <c r="A1069" s="18" t="s">
        <v>2389</v>
      </c>
      <c r="B1069" s="30">
        <v>1999</v>
      </c>
      <c r="C1069" s="13">
        <v>590</v>
      </c>
      <c r="D1069" s="14">
        <v>0.59799999999999998</v>
      </c>
      <c r="E1069" s="14">
        <v>0.33400000000000002</v>
      </c>
      <c r="F1069" s="13">
        <v>13</v>
      </c>
      <c r="G1069" s="14">
        <v>0.64500000000000002</v>
      </c>
      <c r="I1069" s="18" t="s">
        <v>858</v>
      </c>
      <c r="J1069" s="18" t="s">
        <v>26</v>
      </c>
      <c r="L1069" s="9">
        <f t="shared" si="44"/>
        <v>1999</v>
      </c>
      <c r="N1069" s="30" t="s">
        <v>88</v>
      </c>
      <c r="O1069" s="13" t="s">
        <v>42</v>
      </c>
      <c r="P1069" s="13">
        <f t="shared" si="41"/>
        <v>19</v>
      </c>
      <c r="Q1069" s="15">
        <f t="shared" si="42"/>
        <v>31.05263157894737</v>
      </c>
      <c r="R1069" s="13" t="s">
        <v>2390</v>
      </c>
      <c r="S1069" s="13"/>
      <c r="T1069" s="13" t="s">
        <v>2391</v>
      </c>
      <c r="U1069" s="13"/>
      <c r="V1069" s="13" t="s">
        <v>3980</v>
      </c>
      <c r="W1069" s="13"/>
      <c r="X1069" s="13" t="s">
        <v>3980</v>
      </c>
      <c r="Y1069" s="13" t="s">
        <v>3980</v>
      </c>
      <c r="Z1069" s="13" t="s">
        <v>3980</v>
      </c>
      <c r="AC1069" s="18"/>
    </row>
    <row r="1070" spans="1:29" x14ac:dyDescent="0.25">
      <c r="A1070" s="18" t="s">
        <v>5083</v>
      </c>
      <c r="B1070" s="30">
        <v>1992</v>
      </c>
      <c r="C1070" s="13">
        <v>5962</v>
      </c>
      <c r="D1070" s="14">
        <v>0.96</v>
      </c>
      <c r="E1070" s="14">
        <v>0.90800000000000003</v>
      </c>
      <c r="F1070" s="13">
        <v>41</v>
      </c>
      <c r="G1070" s="14">
        <v>0.97799999999999998</v>
      </c>
      <c r="H1070" s="18" t="s">
        <v>3655</v>
      </c>
      <c r="I1070" s="18" t="s">
        <v>858</v>
      </c>
      <c r="J1070" s="18" t="s">
        <v>26</v>
      </c>
      <c r="K1070" s="4"/>
      <c r="L1070" s="9">
        <f t="shared" si="44"/>
        <v>1992</v>
      </c>
      <c r="N1070" s="30" t="s">
        <v>3151</v>
      </c>
      <c r="O1070" s="13" t="s">
        <v>28</v>
      </c>
      <c r="P1070" s="13">
        <f t="shared" si="41"/>
        <v>26</v>
      </c>
      <c r="Q1070" s="15">
        <f t="shared" si="42"/>
        <v>229.30769230769232</v>
      </c>
      <c r="R1070" s="13" t="s">
        <v>2798</v>
      </c>
      <c r="S1070" s="13" t="s">
        <v>1002</v>
      </c>
      <c r="T1070" s="13" t="s">
        <v>2799</v>
      </c>
      <c r="U1070" s="13"/>
      <c r="V1070" s="13" t="s">
        <v>3980</v>
      </c>
      <c r="W1070" s="13"/>
      <c r="X1070" s="13" t="s">
        <v>3980</v>
      </c>
      <c r="Y1070" s="13" t="s">
        <v>3980</v>
      </c>
      <c r="Z1070" s="13" t="s">
        <v>3980</v>
      </c>
      <c r="AC1070" s="18"/>
    </row>
    <row r="1071" spans="1:29" x14ac:dyDescent="0.25">
      <c r="A1071" s="18" t="s">
        <v>2900</v>
      </c>
      <c r="B1071" s="30">
        <v>2004</v>
      </c>
      <c r="C1071" s="13">
        <v>1986</v>
      </c>
      <c r="D1071" s="14">
        <v>0.82799999999999996</v>
      </c>
      <c r="E1071" s="14">
        <v>0.94199999999999995</v>
      </c>
      <c r="F1071" s="13">
        <v>21</v>
      </c>
      <c r="G1071" s="14">
        <v>0.84199999999999997</v>
      </c>
      <c r="I1071" s="18" t="s">
        <v>858</v>
      </c>
      <c r="J1071" s="18" t="s">
        <v>54</v>
      </c>
      <c r="K1071" s="4"/>
      <c r="L1071" s="9">
        <f t="shared" si="44"/>
        <v>2004</v>
      </c>
      <c r="M1071" s="11"/>
      <c r="N1071" s="30" t="s">
        <v>858</v>
      </c>
      <c r="O1071" s="13" t="s">
        <v>28</v>
      </c>
      <c r="P1071" s="13">
        <f t="shared" si="41"/>
        <v>14</v>
      </c>
      <c r="Q1071" s="15">
        <f t="shared" si="42"/>
        <v>141.85714285714286</v>
      </c>
      <c r="R1071" s="13" t="s">
        <v>2898</v>
      </c>
      <c r="S1071" s="13"/>
      <c r="T1071" s="13" t="s">
        <v>2901</v>
      </c>
      <c r="U1071" s="13"/>
      <c r="V1071" s="13" t="s">
        <v>3980</v>
      </c>
      <c r="W1071" s="13"/>
      <c r="X1071" s="13" t="s">
        <v>3980</v>
      </c>
      <c r="Y1071" s="13" t="s">
        <v>3980</v>
      </c>
      <c r="Z1071" s="13" t="s">
        <v>3980</v>
      </c>
      <c r="AC1071" s="18"/>
    </row>
    <row r="1072" spans="1:29" x14ac:dyDescent="0.25">
      <c r="A1072" s="18" t="s">
        <v>5125</v>
      </c>
      <c r="B1072" s="30">
        <v>2002</v>
      </c>
      <c r="C1072" s="13">
        <v>664</v>
      </c>
      <c r="D1072" s="14">
        <v>0.622</v>
      </c>
      <c r="E1072" s="14">
        <v>0.71899999999999997</v>
      </c>
      <c r="F1072" s="13">
        <v>12</v>
      </c>
      <c r="G1072" s="14">
        <v>0.60899999999999999</v>
      </c>
      <c r="H1072" s="18" t="s">
        <v>3660</v>
      </c>
      <c r="I1072" s="18" t="s">
        <v>858</v>
      </c>
      <c r="J1072" s="18" t="s">
        <v>54</v>
      </c>
      <c r="L1072" s="9">
        <f t="shared" si="44"/>
        <v>2002</v>
      </c>
      <c r="N1072" s="30" t="s">
        <v>88</v>
      </c>
      <c r="O1072" s="13" t="s">
        <v>42</v>
      </c>
      <c r="P1072" s="13">
        <f t="shared" si="41"/>
        <v>16</v>
      </c>
      <c r="Q1072" s="15">
        <f t="shared" si="42"/>
        <v>41.5</v>
      </c>
      <c r="R1072" s="13" t="s">
        <v>2989</v>
      </c>
      <c r="S1072" s="13" t="s">
        <v>206</v>
      </c>
      <c r="T1072" s="13" t="s">
        <v>2990</v>
      </c>
      <c r="U1072" s="13"/>
      <c r="V1072" s="13" t="s">
        <v>3980</v>
      </c>
      <c r="W1072" s="13"/>
      <c r="X1072" s="13" t="s">
        <v>3980</v>
      </c>
      <c r="Y1072" s="13" t="s">
        <v>3980</v>
      </c>
      <c r="Z1072" s="13" t="s">
        <v>3980</v>
      </c>
      <c r="AC1072" s="18"/>
    </row>
    <row r="1073" spans="1:29" x14ac:dyDescent="0.25">
      <c r="A1073" s="18" t="s">
        <v>5047</v>
      </c>
      <c r="B1073" s="30">
        <v>1997</v>
      </c>
      <c r="C1073" s="13">
        <v>414</v>
      </c>
      <c r="D1073" s="14">
        <v>0.51100000000000001</v>
      </c>
      <c r="E1073" s="14">
        <v>0.55800000000000005</v>
      </c>
      <c r="F1073" s="13">
        <v>12</v>
      </c>
      <c r="G1073" s="14">
        <v>0.60899999999999999</v>
      </c>
      <c r="I1073" s="18" t="s">
        <v>858</v>
      </c>
      <c r="J1073" s="18" t="s">
        <v>54</v>
      </c>
      <c r="L1073" s="9">
        <f t="shared" si="44"/>
        <v>1997</v>
      </c>
      <c r="M1073" s="11"/>
      <c r="N1073" s="30" t="s">
        <v>901</v>
      </c>
      <c r="O1073" s="13" t="s">
        <v>28</v>
      </c>
      <c r="P1073" s="13">
        <f t="shared" si="41"/>
        <v>21</v>
      </c>
      <c r="Q1073" s="15">
        <f t="shared" si="42"/>
        <v>19.714285714285715</v>
      </c>
      <c r="R1073" s="13" t="s">
        <v>2662</v>
      </c>
      <c r="S1073" s="13" t="s">
        <v>1636</v>
      </c>
      <c r="T1073" s="13" t="s">
        <v>2667</v>
      </c>
      <c r="U1073" s="13"/>
      <c r="V1073" s="13" t="s">
        <v>3980</v>
      </c>
      <c r="W1073" s="13"/>
      <c r="X1073" s="13" t="s">
        <v>3980</v>
      </c>
      <c r="Y1073" s="13" t="s">
        <v>3980</v>
      </c>
      <c r="Z1073" s="13" t="s">
        <v>3980</v>
      </c>
      <c r="AC1073" s="18"/>
    </row>
    <row r="1074" spans="1:29" x14ac:dyDescent="0.25">
      <c r="A1074" s="18" t="s">
        <v>1595</v>
      </c>
      <c r="B1074" s="30">
        <v>1985</v>
      </c>
      <c r="C1074" s="13">
        <v>161</v>
      </c>
      <c r="D1074" s="14">
        <v>0.35099999999999998</v>
      </c>
      <c r="E1074" s="14">
        <v>0.16600000000000001</v>
      </c>
      <c r="F1074" s="13">
        <v>8</v>
      </c>
      <c r="G1074" s="14">
        <v>0.434</v>
      </c>
      <c r="I1074" s="18" t="s">
        <v>858</v>
      </c>
      <c r="J1074" s="18" t="s">
        <v>26</v>
      </c>
      <c r="K1074" s="4"/>
      <c r="L1074" s="9">
        <f t="shared" si="44"/>
        <v>1985</v>
      </c>
      <c r="N1074" s="30" t="s">
        <v>259</v>
      </c>
      <c r="O1074" s="13" t="s">
        <v>42</v>
      </c>
      <c r="P1074" s="13">
        <f t="shared" si="41"/>
        <v>33</v>
      </c>
      <c r="Q1074" s="15">
        <f t="shared" si="42"/>
        <v>4.8787878787878789</v>
      </c>
      <c r="R1074" s="13" t="s">
        <v>1596</v>
      </c>
      <c r="S1074" s="13"/>
      <c r="T1074" s="13" t="s">
        <v>1597</v>
      </c>
      <c r="U1074" s="13"/>
      <c r="V1074" s="13" t="s">
        <v>3980</v>
      </c>
      <c r="W1074" s="13"/>
      <c r="X1074" s="13" t="s">
        <v>3980</v>
      </c>
      <c r="Y1074" s="13" t="s">
        <v>3980</v>
      </c>
      <c r="Z1074" s="13" t="s">
        <v>3980</v>
      </c>
      <c r="AC1074" s="18"/>
    </row>
    <row r="1075" spans="1:29" x14ac:dyDescent="0.25">
      <c r="A1075" s="18" t="s">
        <v>4997</v>
      </c>
      <c r="B1075" s="30">
        <v>2007</v>
      </c>
      <c r="C1075" s="13">
        <v>289</v>
      </c>
      <c r="D1075" s="14">
        <v>0.44</v>
      </c>
      <c r="E1075" s="14">
        <v>0.44600000000000001</v>
      </c>
      <c r="F1075" s="13">
        <v>6</v>
      </c>
      <c r="G1075" s="14">
        <v>0.32200000000000001</v>
      </c>
      <c r="H1075" s="18" t="s">
        <v>3357</v>
      </c>
      <c r="I1075" s="18" t="s">
        <v>858</v>
      </c>
      <c r="J1075" s="18" t="s">
        <v>54</v>
      </c>
      <c r="K1075" s="4"/>
      <c r="L1075" s="9">
        <v>2007</v>
      </c>
      <c r="N1075" s="30" t="s">
        <v>259</v>
      </c>
      <c r="O1075" s="13" t="s">
        <v>42</v>
      </c>
      <c r="P1075" s="13">
        <f t="shared" si="41"/>
        <v>11</v>
      </c>
      <c r="Q1075" s="15">
        <f t="shared" si="42"/>
        <v>26.272727272727273</v>
      </c>
      <c r="R1075" s="13" t="s">
        <v>766</v>
      </c>
      <c r="S1075" s="13" t="s">
        <v>859</v>
      </c>
      <c r="T1075" s="13" t="s">
        <v>576</v>
      </c>
      <c r="U1075" s="13"/>
      <c r="V1075" s="13" t="s">
        <v>3980</v>
      </c>
      <c r="W1075" s="13"/>
      <c r="X1075" s="13" t="s">
        <v>3980</v>
      </c>
      <c r="Y1075" s="13" t="s">
        <v>3980</v>
      </c>
      <c r="Z1075" s="13" t="s">
        <v>3980</v>
      </c>
      <c r="AC1075" s="18"/>
    </row>
    <row r="1076" spans="1:29" x14ac:dyDescent="0.25">
      <c r="A1076" s="18" t="s">
        <v>2668</v>
      </c>
      <c r="B1076" s="30">
        <v>1970</v>
      </c>
      <c r="C1076" s="13">
        <v>3125</v>
      </c>
      <c r="D1076" s="14">
        <v>0.89900000000000002</v>
      </c>
      <c r="E1076" s="14">
        <v>0.77200000000000002</v>
      </c>
      <c r="F1076" s="13">
        <v>22</v>
      </c>
      <c r="G1076" s="14">
        <v>0.85699999999999998</v>
      </c>
      <c r="I1076" s="18" t="s">
        <v>858</v>
      </c>
      <c r="J1076" s="18" t="s">
        <v>26</v>
      </c>
      <c r="K1076" s="4"/>
      <c r="L1076" s="9">
        <f>B1076</f>
        <v>1970</v>
      </c>
      <c r="N1076" s="30" t="s">
        <v>277</v>
      </c>
      <c r="O1076" s="13" t="s">
        <v>28</v>
      </c>
      <c r="P1076" s="13">
        <f t="shared" si="41"/>
        <v>48</v>
      </c>
      <c r="Q1076" s="15">
        <f t="shared" si="42"/>
        <v>65.104166666666671</v>
      </c>
      <c r="R1076" s="13" t="s">
        <v>2662</v>
      </c>
      <c r="S1076" s="13"/>
      <c r="T1076" s="13" t="s">
        <v>2669</v>
      </c>
      <c r="U1076" s="13"/>
      <c r="V1076" s="13" t="s">
        <v>3980</v>
      </c>
      <c r="W1076" s="13"/>
      <c r="X1076" s="13" t="s">
        <v>3980</v>
      </c>
      <c r="Y1076" s="13" t="s">
        <v>3980</v>
      </c>
      <c r="Z1076" s="13" t="s">
        <v>3980</v>
      </c>
      <c r="AC1076" s="18"/>
    </row>
    <row r="1077" spans="1:29" x14ac:dyDescent="0.25">
      <c r="A1077" s="18" t="s">
        <v>5015</v>
      </c>
      <c r="B1077" s="30">
        <v>1992</v>
      </c>
      <c r="C1077" s="13">
        <v>486</v>
      </c>
      <c r="D1077" s="14">
        <v>0.54700000000000004</v>
      </c>
      <c r="E1077" s="14">
        <v>0.61</v>
      </c>
      <c r="F1077" s="13">
        <v>13</v>
      </c>
      <c r="G1077" s="14">
        <v>0.64500000000000002</v>
      </c>
      <c r="I1077" s="18" t="s">
        <v>858</v>
      </c>
      <c r="J1077" t="s">
        <v>54</v>
      </c>
      <c r="K1077" s="4"/>
      <c r="L1077" s="9">
        <f>B1077</f>
        <v>1992</v>
      </c>
      <c r="N1077" s="30" t="s">
        <v>259</v>
      </c>
      <c r="O1077" s="13" t="s">
        <v>28</v>
      </c>
      <c r="P1077" s="13">
        <f t="shared" si="41"/>
        <v>26</v>
      </c>
      <c r="Q1077" s="15">
        <f t="shared" si="42"/>
        <v>18.692307692307693</v>
      </c>
      <c r="R1077" s="13" t="s">
        <v>746</v>
      </c>
      <c r="S1077" s="13" t="s">
        <v>30</v>
      </c>
      <c r="T1077" s="13" t="s">
        <v>2478</v>
      </c>
      <c r="U1077" s="13"/>
      <c r="V1077" s="13" t="s">
        <v>3980</v>
      </c>
      <c r="W1077" s="13"/>
      <c r="X1077" s="13" t="s">
        <v>3980</v>
      </c>
      <c r="Y1077" s="13" t="s">
        <v>3980</v>
      </c>
      <c r="Z1077" s="13" t="s">
        <v>3980</v>
      </c>
      <c r="AC1077" s="18"/>
    </row>
    <row r="1078" spans="1:29" x14ac:dyDescent="0.25">
      <c r="I1078" s="26"/>
    </row>
    <row r="1079" spans="1:29" x14ac:dyDescent="0.25">
      <c r="I1079" s="26"/>
    </row>
    <row r="1080" spans="1:29" x14ac:dyDescent="0.25">
      <c r="I1080" s="26"/>
      <c r="J1080" s="4"/>
    </row>
    <row r="1081" spans="1:29" x14ac:dyDescent="0.25">
      <c r="I1081" s="26"/>
    </row>
    <row r="1082" spans="1:29" x14ac:dyDescent="0.25">
      <c r="I1082" s="26"/>
    </row>
    <row r="1083" spans="1:29" x14ac:dyDescent="0.25">
      <c r="I1083" s="26"/>
    </row>
    <row r="1084" spans="1:29" x14ac:dyDescent="0.25">
      <c r="A1084" s="26"/>
      <c r="I1084" s="26"/>
    </row>
    <row r="1085" spans="1:29" x14ac:dyDescent="0.25">
      <c r="I1085" s="26"/>
    </row>
    <row r="1087" spans="1:29" x14ac:dyDescent="0.25">
      <c r="I1087" s="26"/>
      <c r="J1087" s="4"/>
    </row>
    <row r="1088" spans="1:29" x14ac:dyDescent="0.25">
      <c r="I1088" s="26"/>
    </row>
    <row r="1089" spans="9:10" x14ac:dyDescent="0.25">
      <c r="I1089" s="26"/>
    </row>
    <row r="1090" spans="9:10" x14ac:dyDescent="0.25">
      <c r="I1090" s="26"/>
    </row>
    <row r="1091" spans="9:10" x14ac:dyDescent="0.25">
      <c r="I1091" s="26"/>
    </row>
    <row r="1092" spans="9:10" x14ac:dyDescent="0.25">
      <c r="I1092" s="26"/>
    </row>
    <row r="1093" spans="9:10" x14ac:dyDescent="0.25">
      <c r="I1093" s="26"/>
    </row>
    <row r="1094" spans="9:10" x14ac:dyDescent="0.25">
      <c r="I1094" s="26"/>
      <c r="J1094" s="4"/>
    </row>
    <row r="1096" spans="9:10" x14ac:dyDescent="0.25">
      <c r="I1096" s="26"/>
    </row>
    <row r="1097" spans="9:10" x14ac:dyDescent="0.25">
      <c r="I1097" s="26"/>
    </row>
    <row r="1098" spans="9:10" x14ac:dyDescent="0.25">
      <c r="I1098" s="26"/>
    </row>
    <row r="1099" spans="9:10" x14ac:dyDescent="0.25">
      <c r="I1099" s="26"/>
    </row>
    <row r="1100" spans="9:10" x14ac:dyDescent="0.25">
      <c r="I1100" s="26"/>
    </row>
    <row r="1101" spans="9:10" x14ac:dyDescent="0.25">
      <c r="I1101" s="26"/>
    </row>
    <row r="1102" spans="9:10" x14ac:dyDescent="0.25">
      <c r="I1102" s="26"/>
    </row>
    <row r="1103" spans="9:10" x14ac:dyDescent="0.25">
      <c r="I1103" s="26"/>
    </row>
    <row r="1105" spans="1:10" x14ac:dyDescent="0.25">
      <c r="I1105" s="26"/>
    </row>
    <row r="1106" spans="1:10" x14ac:dyDescent="0.25">
      <c r="J1106" s="4"/>
    </row>
    <row r="1108" spans="1:10" x14ac:dyDescent="0.25">
      <c r="I1108" s="26"/>
    </row>
    <row r="1109" spans="1:10" x14ac:dyDescent="0.25">
      <c r="I1109" s="26"/>
      <c r="J1109" s="4"/>
    </row>
    <row r="1110" spans="1:10" x14ac:dyDescent="0.25">
      <c r="I1110" s="26"/>
      <c r="J1110" s="4"/>
    </row>
    <row r="1112" spans="1:10" x14ac:dyDescent="0.25">
      <c r="I1112" s="26"/>
    </row>
    <row r="1113" spans="1:10" x14ac:dyDescent="0.25">
      <c r="I1113" s="26"/>
    </row>
    <row r="1114" spans="1:10" x14ac:dyDescent="0.25">
      <c r="I1114" s="26"/>
    </row>
    <row r="1115" spans="1:10" x14ac:dyDescent="0.25">
      <c r="I1115" s="26"/>
      <c r="J1115" s="4"/>
    </row>
    <row r="1116" spans="1:10" x14ac:dyDescent="0.25">
      <c r="A1116" s="26"/>
      <c r="I1116" s="26"/>
    </row>
    <row r="1117" spans="1:10" x14ac:dyDescent="0.25">
      <c r="I1117" s="26"/>
    </row>
    <row r="1118" spans="1:10" x14ac:dyDescent="0.25">
      <c r="I1118" s="26"/>
      <c r="J1118" s="4"/>
    </row>
    <row r="1119" spans="1:10" x14ac:dyDescent="0.25">
      <c r="I1119" s="26"/>
    </row>
    <row r="1120" spans="1:10" x14ac:dyDescent="0.25">
      <c r="I1120" s="26"/>
    </row>
    <row r="1121" spans="9:10" x14ac:dyDescent="0.25">
      <c r="I1121" s="26"/>
    </row>
    <row r="1122" spans="9:10" x14ac:dyDescent="0.25">
      <c r="I1122" s="26"/>
    </row>
    <row r="1123" spans="9:10" x14ac:dyDescent="0.25">
      <c r="I1123" s="26"/>
    </row>
    <row r="1124" spans="9:10" x14ac:dyDescent="0.25">
      <c r="I1124" s="26"/>
    </row>
    <row r="1125" spans="9:10" x14ac:dyDescent="0.25">
      <c r="I1125" s="26"/>
    </row>
    <row r="1126" spans="9:10" x14ac:dyDescent="0.25">
      <c r="I1126" s="26"/>
      <c r="J1126" s="4"/>
    </row>
    <row r="1127" spans="9:10" x14ac:dyDescent="0.25">
      <c r="I1127" s="26"/>
    </row>
    <row r="1128" spans="9:10" x14ac:dyDescent="0.25">
      <c r="I1128" s="26"/>
    </row>
    <row r="1129" spans="9:10" x14ac:dyDescent="0.25">
      <c r="I1129" s="26"/>
    </row>
    <row r="1130" spans="9:10" x14ac:dyDescent="0.25">
      <c r="I1130" s="26"/>
      <c r="J1130" s="4"/>
    </row>
    <row r="1131" spans="9:10" x14ac:dyDescent="0.25">
      <c r="I1131" s="26"/>
      <c r="J1131" s="4"/>
    </row>
    <row r="1132" spans="9:10" x14ac:dyDescent="0.25">
      <c r="I1132" s="26"/>
    </row>
    <row r="1133" spans="9:10" x14ac:dyDescent="0.25">
      <c r="I1133" s="26"/>
    </row>
    <row r="1135" spans="9:10" x14ac:dyDescent="0.25">
      <c r="I1135" s="26"/>
    </row>
    <row r="1136" spans="9:10" x14ac:dyDescent="0.25">
      <c r="I1136" s="26"/>
    </row>
    <row r="1137" spans="9:10" x14ac:dyDescent="0.25">
      <c r="I1137" s="26"/>
    </row>
    <row r="1138" spans="9:10" x14ac:dyDescent="0.25">
      <c r="I1138" s="26"/>
    </row>
    <row r="1139" spans="9:10" x14ac:dyDescent="0.25">
      <c r="I1139" s="26"/>
      <c r="J1139" s="4"/>
    </row>
    <row r="1140" spans="9:10" x14ac:dyDescent="0.25">
      <c r="I1140" s="26"/>
      <c r="J1140" s="4"/>
    </row>
    <row r="1141" spans="9:10" x14ac:dyDescent="0.25">
      <c r="I1141" s="26"/>
    </row>
    <row r="1142" spans="9:10" x14ac:dyDescent="0.25">
      <c r="I1142" s="26"/>
      <c r="J1142" s="4"/>
    </row>
    <row r="1143" spans="9:10" x14ac:dyDescent="0.25">
      <c r="I1143" s="26"/>
    </row>
    <row r="1144" spans="9:10" x14ac:dyDescent="0.25">
      <c r="I1144" s="26"/>
    </row>
    <row r="1145" spans="9:10" x14ac:dyDescent="0.25">
      <c r="I1145" s="26"/>
      <c r="J1145" s="4"/>
    </row>
    <row r="1146" spans="9:10" x14ac:dyDescent="0.25">
      <c r="I1146" s="26"/>
    </row>
    <row r="1147" spans="9:10" x14ac:dyDescent="0.25">
      <c r="I1147" s="26"/>
    </row>
    <row r="1148" spans="9:10" x14ac:dyDescent="0.25">
      <c r="I1148" s="26"/>
    </row>
    <row r="1149" spans="9:10" x14ac:dyDescent="0.25">
      <c r="I1149" s="26"/>
      <c r="J1149" s="4"/>
    </row>
    <row r="1150" spans="9:10" x14ac:dyDescent="0.25">
      <c r="I1150" s="26"/>
    </row>
    <row r="1151" spans="9:10" x14ac:dyDescent="0.25">
      <c r="I1151" s="26"/>
    </row>
    <row r="1153" spans="1:10" x14ac:dyDescent="0.25">
      <c r="A1153" s="4"/>
      <c r="I1153" s="2"/>
      <c r="J1153" s="4"/>
    </row>
    <row r="1154" spans="1:10" x14ac:dyDescent="0.25">
      <c r="I1154" s="26"/>
    </row>
    <row r="1155" spans="1:10" x14ac:dyDescent="0.25">
      <c r="I1155" s="26"/>
    </row>
    <row r="1156" spans="1:10" x14ac:dyDescent="0.25">
      <c r="I1156" s="26"/>
    </row>
    <row r="1157" spans="1:10" x14ac:dyDescent="0.25">
      <c r="I1157" s="26"/>
      <c r="J1157" s="4"/>
    </row>
    <row r="1158" spans="1:10" x14ac:dyDescent="0.25">
      <c r="I1158" s="26"/>
      <c r="J1158" s="4"/>
    </row>
    <row r="1159" spans="1:10" x14ac:dyDescent="0.25">
      <c r="I1159" s="26"/>
    </row>
    <row r="1161" spans="1:10" x14ac:dyDescent="0.25">
      <c r="I1161" s="26"/>
      <c r="J1161" s="4"/>
    </row>
    <row r="1163" spans="1:10" x14ac:dyDescent="0.25">
      <c r="I1163" s="26"/>
    </row>
    <row r="1164" spans="1:10" x14ac:dyDescent="0.25">
      <c r="I1164" s="26"/>
    </row>
    <row r="1165" spans="1:10" x14ac:dyDescent="0.25">
      <c r="I1165" s="26"/>
    </row>
    <row r="1166" spans="1:10" x14ac:dyDescent="0.25">
      <c r="I1166" s="26"/>
    </row>
    <row r="1167" spans="1:10" x14ac:dyDescent="0.25">
      <c r="I1167" s="26"/>
    </row>
    <row r="1169" spans="9:10" x14ac:dyDescent="0.25">
      <c r="I1169" s="26"/>
      <c r="J1169" s="4"/>
    </row>
    <row r="1170" spans="9:10" x14ac:dyDescent="0.25">
      <c r="I1170" s="26"/>
    </row>
    <row r="1171" spans="9:10" x14ac:dyDescent="0.25">
      <c r="I1171" s="26"/>
      <c r="J1171" s="4"/>
    </row>
    <row r="1172" spans="9:10" x14ac:dyDescent="0.25">
      <c r="I1172" s="26"/>
    </row>
    <row r="1173" spans="9:10" x14ac:dyDescent="0.25">
      <c r="I1173" s="26"/>
    </row>
    <row r="1174" spans="9:10" x14ac:dyDescent="0.25">
      <c r="I1174" s="26"/>
    </row>
    <row r="1175" spans="9:10" x14ac:dyDescent="0.25">
      <c r="I1175" s="26"/>
    </row>
    <row r="1176" spans="9:10" x14ac:dyDescent="0.25">
      <c r="I1176" s="26"/>
    </row>
    <row r="1177" spans="9:10" x14ac:dyDescent="0.25">
      <c r="I1177" s="26"/>
    </row>
    <row r="1178" spans="9:10" x14ac:dyDescent="0.25">
      <c r="I1178" s="26"/>
      <c r="J1178" s="4"/>
    </row>
    <row r="1179" spans="9:10" x14ac:dyDescent="0.25">
      <c r="I1179" s="26"/>
    </row>
    <row r="1180" spans="9:10" x14ac:dyDescent="0.25">
      <c r="I1180" s="26"/>
    </row>
    <row r="1181" spans="9:10" x14ac:dyDescent="0.25">
      <c r="J1181" s="4"/>
    </row>
    <row r="1182" spans="9:10" x14ac:dyDescent="0.25">
      <c r="I1182" s="26"/>
    </row>
    <row r="1183" spans="9:10" x14ac:dyDescent="0.25">
      <c r="I1183" s="26"/>
    </row>
    <row r="1184" spans="9:10" x14ac:dyDescent="0.25">
      <c r="I1184" s="26"/>
    </row>
    <row r="1185" spans="9:10" x14ac:dyDescent="0.25">
      <c r="I1185" s="26"/>
      <c r="J1185" s="4"/>
    </row>
    <row r="1187" spans="9:10" x14ac:dyDescent="0.25">
      <c r="I1187" s="26"/>
      <c r="J1187" s="4"/>
    </row>
    <row r="1189" spans="9:10" x14ac:dyDescent="0.25">
      <c r="I1189" s="26"/>
    </row>
    <row r="1190" spans="9:10" x14ac:dyDescent="0.25">
      <c r="I1190" s="26"/>
    </row>
    <row r="1192" spans="9:10" x14ac:dyDescent="0.25">
      <c r="I1192" s="26"/>
    </row>
    <row r="1193" spans="9:10" x14ac:dyDescent="0.25">
      <c r="I1193" s="26"/>
    </row>
    <row r="1194" spans="9:10" x14ac:dyDescent="0.25">
      <c r="I1194" s="26"/>
      <c r="J1194" s="4"/>
    </row>
    <row r="1196" spans="9:10" x14ac:dyDescent="0.25">
      <c r="I1196" s="26"/>
    </row>
    <row r="1197" spans="9:10" x14ac:dyDescent="0.25">
      <c r="I1197" s="26"/>
    </row>
    <row r="1199" spans="9:10" x14ac:dyDescent="0.25">
      <c r="I1199" s="26"/>
    </row>
    <row r="1200" spans="9:10" x14ac:dyDescent="0.25">
      <c r="I1200" s="26"/>
      <c r="J1200" s="4"/>
    </row>
    <row r="1201" spans="9:10" x14ac:dyDescent="0.25">
      <c r="I1201" s="26"/>
    </row>
    <row r="1202" spans="9:10" x14ac:dyDescent="0.25">
      <c r="I1202" s="26"/>
      <c r="J1202" s="4"/>
    </row>
    <row r="1203" spans="9:10" x14ac:dyDescent="0.25">
      <c r="I1203" s="26"/>
      <c r="J1203" s="4"/>
    </row>
    <row r="1204" spans="9:10" x14ac:dyDescent="0.25">
      <c r="I1204" s="26"/>
      <c r="J1204" s="4"/>
    </row>
    <row r="1205" spans="9:10" x14ac:dyDescent="0.25">
      <c r="I1205" s="26"/>
    </row>
    <row r="1206" spans="9:10" x14ac:dyDescent="0.25">
      <c r="I1206" s="26"/>
      <c r="J1206" s="4"/>
    </row>
    <row r="1207" spans="9:10" x14ac:dyDescent="0.25">
      <c r="I1207" s="26"/>
    </row>
    <row r="1208" spans="9:10" x14ac:dyDescent="0.25">
      <c r="J1208" s="4"/>
    </row>
    <row r="1209" spans="9:10" x14ac:dyDescent="0.25">
      <c r="I1209" s="26"/>
      <c r="J1209" s="4"/>
    </row>
    <row r="1210" spans="9:10" x14ac:dyDescent="0.25">
      <c r="I1210" s="26"/>
    </row>
    <row r="1211" spans="9:10" x14ac:dyDescent="0.25">
      <c r="I1211" s="26"/>
    </row>
    <row r="1212" spans="9:10" x14ac:dyDescent="0.25">
      <c r="I1212" s="26"/>
    </row>
    <row r="1213" spans="9:10" x14ac:dyDescent="0.25">
      <c r="I1213" s="26"/>
    </row>
    <row r="1214" spans="9:10" x14ac:dyDescent="0.25">
      <c r="I1214" s="26"/>
    </row>
    <row r="1215" spans="9:10" x14ac:dyDescent="0.25">
      <c r="I1215" s="26"/>
      <c r="J1215" s="4"/>
    </row>
    <row r="1216" spans="9:10" x14ac:dyDescent="0.25">
      <c r="I1216" s="26"/>
    </row>
    <row r="1217" spans="9:10" x14ac:dyDescent="0.25">
      <c r="I1217" s="26"/>
    </row>
    <row r="1218" spans="9:10" x14ac:dyDescent="0.25">
      <c r="I1218" s="26"/>
    </row>
    <row r="1219" spans="9:10" x14ac:dyDescent="0.25">
      <c r="I1219" s="26"/>
      <c r="J1219" s="4"/>
    </row>
    <row r="1220" spans="9:10" x14ac:dyDescent="0.25">
      <c r="I1220" s="26"/>
    </row>
    <row r="1221" spans="9:10" x14ac:dyDescent="0.25">
      <c r="I1221" s="26"/>
    </row>
    <row r="1222" spans="9:10" x14ac:dyDescent="0.25">
      <c r="I1222" s="26"/>
    </row>
    <row r="1223" spans="9:10" x14ac:dyDescent="0.25">
      <c r="I1223" s="26"/>
      <c r="J1223" s="4"/>
    </row>
    <row r="1224" spans="9:10" x14ac:dyDescent="0.25">
      <c r="I1224" s="26"/>
      <c r="J1224" s="4"/>
    </row>
    <row r="1225" spans="9:10" x14ac:dyDescent="0.25">
      <c r="I1225" s="26"/>
    </row>
    <row r="1227" spans="9:10" x14ac:dyDescent="0.25">
      <c r="I1227" s="26"/>
      <c r="J1227" s="4"/>
    </row>
    <row r="1228" spans="9:10" x14ac:dyDescent="0.25">
      <c r="I1228" s="26"/>
    </row>
    <row r="1229" spans="9:10" x14ac:dyDescent="0.25">
      <c r="I1229" s="26"/>
      <c r="J1229" s="4"/>
    </row>
    <row r="1230" spans="9:10" x14ac:dyDescent="0.25">
      <c r="I1230" s="26"/>
    </row>
    <row r="1231" spans="9:10" x14ac:dyDescent="0.25">
      <c r="I1231" s="26"/>
    </row>
    <row r="1232" spans="9:10" x14ac:dyDescent="0.25">
      <c r="I1232" s="26"/>
    </row>
    <row r="1233" spans="9:10" x14ac:dyDescent="0.25">
      <c r="I1233" s="26"/>
    </row>
    <row r="1234" spans="9:10" x14ac:dyDescent="0.25">
      <c r="I1234" s="26"/>
      <c r="J1234" s="4"/>
    </row>
    <row r="1235" spans="9:10" x14ac:dyDescent="0.25">
      <c r="I1235" s="26"/>
    </row>
    <row r="1236" spans="9:10" x14ac:dyDescent="0.25">
      <c r="I1236" s="26"/>
    </row>
    <row r="1237" spans="9:10" x14ac:dyDescent="0.25">
      <c r="I1237" s="26"/>
    </row>
    <row r="1238" spans="9:10" x14ac:dyDescent="0.25">
      <c r="I1238" s="26"/>
    </row>
    <row r="1239" spans="9:10" x14ac:dyDescent="0.25">
      <c r="I1239" s="26"/>
    </row>
    <row r="1241" spans="9:10" x14ac:dyDescent="0.25">
      <c r="I1241" s="26"/>
    </row>
    <row r="1242" spans="9:10" x14ac:dyDescent="0.25">
      <c r="I1242" s="26"/>
      <c r="J1242" s="4"/>
    </row>
    <row r="1243" spans="9:10" x14ac:dyDescent="0.25">
      <c r="I1243" s="26"/>
    </row>
    <row r="1244" spans="9:10" x14ac:dyDescent="0.25">
      <c r="I1244" s="26"/>
    </row>
    <row r="1245" spans="9:10" x14ac:dyDescent="0.25">
      <c r="I1245" s="26"/>
    </row>
    <row r="1246" spans="9:10" x14ac:dyDescent="0.25">
      <c r="I1246" s="26"/>
    </row>
    <row r="1247" spans="9:10" x14ac:dyDescent="0.25">
      <c r="I1247" s="26"/>
    </row>
    <row r="1248" spans="9:10" x14ac:dyDescent="0.25">
      <c r="I1248" s="26"/>
    </row>
    <row r="1249" spans="9:10" x14ac:dyDescent="0.25">
      <c r="I1249" s="26"/>
    </row>
    <row r="1250" spans="9:10" x14ac:dyDescent="0.25">
      <c r="I1250" s="26"/>
    </row>
    <row r="1252" spans="9:10" x14ac:dyDescent="0.25">
      <c r="J1252" s="4"/>
    </row>
    <row r="1253" spans="9:10" x14ac:dyDescent="0.25">
      <c r="J1253" s="4"/>
    </row>
    <row r="1254" spans="9:10" x14ac:dyDescent="0.25">
      <c r="I1254" s="26"/>
    </row>
    <row r="1255" spans="9:10" x14ac:dyDescent="0.25">
      <c r="I1255" s="26"/>
    </row>
    <row r="1256" spans="9:10" x14ac:dyDescent="0.25">
      <c r="I1256" s="26"/>
    </row>
    <row r="1257" spans="9:10" x14ac:dyDescent="0.25">
      <c r="I1257" s="26"/>
    </row>
    <row r="1258" spans="9:10" x14ac:dyDescent="0.25">
      <c r="I1258" s="26"/>
    </row>
    <row r="1259" spans="9:10" x14ac:dyDescent="0.25">
      <c r="I1259" s="26"/>
    </row>
    <row r="1260" spans="9:10" x14ac:dyDescent="0.25">
      <c r="I1260" s="26"/>
    </row>
    <row r="1261" spans="9:10" x14ac:dyDescent="0.25">
      <c r="I1261" s="26"/>
    </row>
    <row r="1262" spans="9:10" x14ac:dyDescent="0.25">
      <c r="I1262" s="26"/>
    </row>
    <row r="1263" spans="9:10" x14ac:dyDescent="0.25">
      <c r="I1263" s="26"/>
    </row>
    <row r="1265" spans="9:10" x14ac:dyDescent="0.25">
      <c r="I1265" s="26"/>
    </row>
    <row r="1266" spans="9:10" x14ac:dyDescent="0.25">
      <c r="I1266" s="26"/>
    </row>
    <row r="1267" spans="9:10" x14ac:dyDescent="0.25">
      <c r="I1267" s="26"/>
    </row>
    <row r="1268" spans="9:10" x14ac:dyDescent="0.25">
      <c r="I1268" s="26"/>
    </row>
    <row r="1269" spans="9:10" x14ac:dyDescent="0.25">
      <c r="I1269" s="26"/>
    </row>
    <row r="1270" spans="9:10" x14ac:dyDescent="0.25">
      <c r="I1270" s="26"/>
    </row>
    <row r="1271" spans="9:10" x14ac:dyDescent="0.25">
      <c r="I1271" s="26"/>
    </row>
    <row r="1272" spans="9:10" x14ac:dyDescent="0.25">
      <c r="I1272" s="26"/>
    </row>
    <row r="1273" spans="9:10" x14ac:dyDescent="0.25">
      <c r="I1273" s="26"/>
    </row>
    <row r="1274" spans="9:10" x14ac:dyDescent="0.25">
      <c r="I1274" s="26"/>
    </row>
    <row r="1275" spans="9:10" x14ac:dyDescent="0.25">
      <c r="I1275" s="26"/>
    </row>
    <row r="1276" spans="9:10" x14ac:dyDescent="0.25">
      <c r="I1276" s="26"/>
    </row>
    <row r="1277" spans="9:10" x14ac:dyDescent="0.25">
      <c r="I1277" s="26"/>
      <c r="J1277" s="4"/>
    </row>
    <row r="1278" spans="9:10" x14ac:dyDescent="0.25">
      <c r="I1278" s="26"/>
    </row>
    <row r="1279" spans="9:10" x14ac:dyDescent="0.25">
      <c r="I1279" s="26"/>
    </row>
    <row r="1280" spans="9:10" x14ac:dyDescent="0.25">
      <c r="I1280" s="26"/>
      <c r="J1280" s="4"/>
    </row>
    <row r="1281" spans="9:10" x14ac:dyDescent="0.25">
      <c r="J1281" s="4"/>
    </row>
    <row r="1282" spans="9:10" x14ac:dyDescent="0.25">
      <c r="I1282" s="26"/>
    </row>
    <row r="1283" spans="9:10" x14ac:dyDescent="0.25">
      <c r="I1283" s="26"/>
    </row>
    <row r="1284" spans="9:10" x14ac:dyDescent="0.25">
      <c r="I1284" s="26"/>
    </row>
    <row r="1285" spans="9:10" x14ac:dyDescent="0.25">
      <c r="I1285" s="26"/>
    </row>
    <row r="1286" spans="9:10" x14ac:dyDescent="0.25">
      <c r="I1286" s="26"/>
    </row>
    <row r="1288" spans="9:10" x14ac:dyDescent="0.25">
      <c r="I1288" s="26"/>
    </row>
    <row r="1289" spans="9:10" x14ac:dyDescent="0.25">
      <c r="I1289" s="26"/>
    </row>
    <row r="1290" spans="9:10" x14ac:dyDescent="0.25">
      <c r="I1290" s="26"/>
    </row>
    <row r="1291" spans="9:10" x14ac:dyDescent="0.25">
      <c r="I1291" s="26"/>
    </row>
    <row r="1292" spans="9:10" x14ac:dyDescent="0.25">
      <c r="I1292" s="26"/>
    </row>
    <row r="1294" spans="9:10" x14ac:dyDescent="0.25">
      <c r="I1294" s="26"/>
    </row>
    <row r="1295" spans="9:10" x14ac:dyDescent="0.25">
      <c r="I1295" s="26"/>
    </row>
    <row r="1296" spans="9:10" x14ac:dyDescent="0.25">
      <c r="I1296" s="26"/>
    </row>
    <row r="1297" spans="9:10" x14ac:dyDescent="0.25">
      <c r="I1297" s="26"/>
      <c r="J1297" s="4"/>
    </row>
    <row r="1298" spans="9:10" x14ac:dyDescent="0.25">
      <c r="I1298" s="26"/>
    </row>
    <row r="1299" spans="9:10" x14ac:dyDescent="0.25">
      <c r="I1299" s="26"/>
    </row>
    <row r="1300" spans="9:10" x14ac:dyDescent="0.25">
      <c r="I1300" s="26"/>
    </row>
    <row r="1301" spans="9:10" x14ac:dyDescent="0.25">
      <c r="I1301" s="26"/>
    </row>
    <row r="1302" spans="9:10" x14ac:dyDescent="0.25">
      <c r="I1302" s="26"/>
    </row>
    <row r="1303" spans="9:10" x14ac:dyDescent="0.25">
      <c r="I1303" s="26"/>
    </row>
    <row r="1304" spans="9:10" x14ac:dyDescent="0.25">
      <c r="I1304" s="26"/>
    </row>
    <row r="1305" spans="9:10" x14ac:dyDescent="0.25">
      <c r="I1305" s="26"/>
    </row>
    <row r="1306" spans="9:10" x14ac:dyDescent="0.25">
      <c r="I1306" s="26"/>
    </row>
    <row r="1307" spans="9:10" x14ac:dyDescent="0.25">
      <c r="I1307" s="26"/>
    </row>
    <row r="1308" spans="9:10" x14ac:dyDescent="0.25">
      <c r="I1308" s="26"/>
    </row>
    <row r="1309" spans="9:10" x14ac:dyDescent="0.25">
      <c r="I1309" s="26"/>
    </row>
    <row r="1310" spans="9:10" x14ac:dyDescent="0.25">
      <c r="I1310" s="26"/>
    </row>
    <row r="1311" spans="9:10" x14ac:dyDescent="0.25">
      <c r="I1311" s="26"/>
    </row>
    <row r="1312" spans="9:10" x14ac:dyDescent="0.25">
      <c r="I1312" s="26"/>
    </row>
    <row r="1313" spans="9:10" x14ac:dyDescent="0.25">
      <c r="I1313" s="26"/>
      <c r="J1313" s="4"/>
    </row>
    <row r="1314" spans="9:10" x14ac:dyDescent="0.25">
      <c r="I1314" s="26"/>
    </row>
    <row r="1315" spans="9:10" x14ac:dyDescent="0.25">
      <c r="I1315" s="26"/>
    </row>
    <row r="1318" spans="9:10" x14ac:dyDescent="0.25">
      <c r="I1318" s="26"/>
      <c r="J1318" s="4"/>
    </row>
    <row r="1320" spans="9:10" x14ac:dyDescent="0.25">
      <c r="I1320" s="26"/>
    </row>
    <row r="1321" spans="9:10" x14ac:dyDescent="0.25">
      <c r="I1321" s="26"/>
      <c r="J1321" s="4"/>
    </row>
    <row r="1323" spans="9:10" x14ac:dyDescent="0.25">
      <c r="I1323" s="26"/>
    </row>
    <row r="1324" spans="9:10" x14ac:dyDescent="0.25">
      <c r="I1324" s="26"/>
      <c r="J1324" s="4"/>
    </row>
    <row r="1325" spans="9:10" x14ac:dyDescent="0.25">
      <c r="I1325" s="26"/>
    </row>
    <row r="1326" spans="9:10" x14ac:dyDescent="0.25">
      <c r="I1326" s="26"/>
    </row>
    <row r="1327" spans="9:10" x14ac:dyDescent="0.25">
      <c r="I1327" s="26"/>
    </row>
    <row r="1328" spans="9:10" x14ac:dyDescent="0.25">
      <c r="I1328" s="26"/>
    </row>
    <row r="1329" spans="9:10" x14ac:dyDescent="0.25">
      <c r="I1329" s="26"/>
    </row>
    <row r="1330" spans="9:10" x14ac:dyDescent="0.25">
      <c r="I1330" s="26"/>
    </row>
    <row r="1331" spans="9:10" x14ac:dyDescent="0.25">
      <c r="I1331" s="26"/>
    </row>
    <row r="1332" spans="9:10" x14ac:dyDescent="0.25">
      <c r="I1332" s="26"/>
    </row>
    <row r="1334" spans="9:10" x14ac:dyDescent="0.25">
      <c r="I1334" s="26"/>
    </row>
    <row r="1335" spans="9:10" x14ac:dyDescent="0.25">
      <c r="I1335" s="26"/>
    </row>
    <row r="1336" spans="9:10" x14ac:dyDescent="0.25">
      <c r="I1336" s="26"/>
    </row>
    <row r="1337" spans="9:10" x14ac:dyDescent="0.25">
      <c r="I1337" s="26"/>
    </row>
    <row r="1338" spans="9:10" x14ac:dyDescent="0.25">
      <c r="I1338" s="26"/>
      <c r="J1338" s="4"/>
    </row>
    <row r="1339" spans="9:10" x14ac:dyDescent="0.25">
      <c r="I1339" s="26"/>
    </row>
    <row r="1340" spans="9:10" x14ac:dyDescent="0.25">
      <c r="I1340" s="26"/>
    </row>
    <row r="1341" spans="9:10" x14ac:dyDescent="0.25">
      <c r="I1341" s="26"/>
    </row>
    <row r="1342" spans="9:10" x14ac:dyDescent="0.25">
      <c r="I1342" s="26"/>
    </row>
    <row r="1343" spans="9:10" x14ac:dyDescent="0.25">
      <c r="I1343" s="26"/>
    </row>
    <row r="1344" spans="9:10" x14ac:dyDescent="0.25">
      <c r="I1344" s="26"/>
    </row>
    <row r="1345" spans="9:10" x14ac:dyDescent="0.25">
      <c r="I1345" s="26"/>
    </row>
    <row r="1346" spans="9:10" x14ac:dyDescent="0.25">
      <c r="I1346" s="26"/>
      <c r="J1346" s="4"/>
    </row>
    <row r="1347" spans="9:10" x14ac:dyDescent="0.25">
      <c r="I1347" s="26"/>
      <c r="J1347" s="4"/>
    </row>
    <row r="1348" spans="9:10" x14ac:dyDescent="0.25">
      <c r="I1348" s="26"/>
    </row>
    <row r="1349" spans="9:10" x14ac:dyDescent="0.25">
      <c r="I1349" s="26"/>
    </row>
    <row r="1350" spans="9:10" x14ac:dyDescent="0.25">
      <c r="I1350" s="26"/>
    </row>
    <row r="1351" spans="9:10" x14ac:dyDescent="0.25">
      <c r="I1351" s="26"/>
    </row>
    <row r="1352" spans="9:10" x14ac:dyDescent="0.25">
      <c r="I1352" s="26"/>
    </row>
    <row r="1353" spans="9:10" x14ac:dyDescent="0.25">
      <c r="I1353" s="26"/>
    </row>
    <row r="1355" spans="9:10" x14ac:dyDescent="0.25">
      <c r="J1355" s="4"/>
    </row>
    <row r="1356" spans="9:10" x14ac:dyDescent="0.25">
      <c r="I1356" s="26"/>
      <c r="J1356" s="4"/>
    </row>
    <row r="1358" spans="9:10" x14ac:dyDescent="0.25">
      <c r="I1358" s="26"/>
    </row>
    <row r="1359" spans="9:10" x14ac:dyDescent="0.25">
      <c r="I1359" s="26"/>
    </row>
    <row r="1361" spans="9:10" x14ac:dyDescent="0.25">
      <c r="I1361" s="26"/>
    </row>
    <row r="1362" spans="9:10" x14ac:dyDescent="0.25">
      <c r="I1362" s="26"/>
    </row>
    <row r="1363" spans="9:10" x14ac:dyDescent="0.25">
      <c r="I1363" s="26"/>
    </row>
    <row r="1364" spans="9:10" x14ac:dyDescent="0.25">
      <c r="I1364" s="26"/>
    </row>
    <row r="1365" spans="9:10" x14ac:dyDescent="0.25">
      <c r="I1365" s="26"/>
      <c r="J1365" s="4"/>
    </row>
    <row r="1366" spans="9:10" x14ac:dyDescent="0.25">
      <c r="I1366" s="26"/>
      <c r="J1366" s="4"/>
    </row>
    <row r="1367" spans="9:10" x14ac:dyDescent="0.25">
      <c r="I1367" s="26"/>
    </row>
    <row r="1369" spans="9:10" x14ac:dyDescent="0.25">
      <c r="I1369" s="26"/>
    </row>
    <row r="1370" spans="9:10" x14ac:dyDescent="0.25">
      <c r="I1370" s="26"/>
    </row>
    <row r="1371" spans="9:10" x14ac:dyDescent="0.25">
      <c r="I1371" s="26"/>
      <c r="J1371" s="4"/>
    </row>
    <row r="1372" spans="9:10" x14ac:dyDescent="0.25">
      <c r="I1372" s="26"/>
    </row>
    <row r="1373" spans="9:10" x14ac:dyDescent="0.25">
      <c r="I1373" s="26"/>
    </row>
    <row r="1374" spans="9:10" x14ac:dyDescent="0.25">
      <c r="I1374" s="26"/>
    </row>
    <row r="1375" spans="9:10" x14ac:dyDescent="0.25">
      <c r="I1375" s="26"/>
    </row>
    <row r="1376" spans="9:10" x14ac:dyDescent="0.25">
      <c r="I1376" s="26"/>
    </row>
    <row r="1377" spans="9:10" x14ac:dyDescent="0.25">
      <c r="I1377" s="26"/>
    </row>
    <row r="1379" spans="9:10" x14ac:dyDescent="0.25">
      <c r="I1379" s="26"/>
    </row>
    <row r="1380" spans="9:10" x14ac:dyDescent="0.25">
      <c r="I1380" s="26"/>
      <c r="J1380" s="4"/>
    </row>
    <row r="1381" spans="9:10" x14ac:dyDescent="0.25">
      <c r="I1381" s="26"/>
    </row>
    <row r="1382" spans="9:10" x14ac:dyDescent="0.25">
      <c r="I1382" s="26"/>
    </row>
    <row r="1383" spans="9:10" x14ac:dyDescent="0.25">
      <c r="I1383" s="26"/>
    </row>
    <row r="1384" spans="9:10" x14ac:dyDescent="0.25">
      <c r="I1384" s="26"/>
    </row>
    <row r="1385" spans="9:10" x14ac:dyDescent="0.25">
      <c r="I1385" s="26"/>
    </row>
    <row r="1386" spans="9:10" x14ac:dyDescent="0.25">
      <c r="I1386" s="26"/>
      <c r="J1386" s="4"/>
    </row>
    <row r="1387" spans="9:10" x14ac:dyDescent="0.25">
      <c r="I1387" s="26"/>
    </row>
    <row r="1388" spans="9:10" x14ac:dyDescent="0.25">
      <c r="I1388" s="26"/>
      <c r="J1388" s="4"/>
    </row>
    <row r="1389" spans="9:10" x14ac:dyDescent="0.25">
      <c r="I1389" s="26"/>
    </row>
    <row r="1390" spans="9:10" x14ac:dyDescent="0.25">
      <c r="I1390" s="26"/>
    </row>
    <row r="1391" spans="9:10" x14ac:dyDescent="0.25">
      <c r="I1391" s="26"/>
    </row>
    <row r="1392" spans="9:10" x14ac:dyDescent="0.25">
      <c r="I1392" s="26"/>
    </row>
    <row r="1393" spans="9:10" x14ac:dyDescent="0.25">
      <c r="I1393" s="26"/>
    </row>
    <row r="1395" spans="9:10" x14ac:dyDescent="0.25">
      <c r="J1395" s="4"/>
    </row>
    <row r="1396" spans="9:10" x14ac:dyDescent="0.25">
      <c r="I1396" s="26"/>
    </row>
    <row r="1397" spans="9:10" x14ac:dyDescent="0.25">
      <c r="I1397" s="26"/>
      <c r="J1397" s="4"/>
    </row>
    <row r="1398" spans="9:10" x14ac:dyDescent="0.25">
      <c r="I1398" s="26"/>
      <c r="J1398" s="4"/>
    </row>
    <row r="1399" spans="9:10" x14ac:dyDescent="0.25">
      <c r="I1399" s="26"/>
    </row>
    <row r="1400" spans="9:10" x14ac:dyDescent="0.25">
      <c r="J1400" s="4"/>
    </row>
    <row r="1401" spans="9:10" x14ac:dyDescent="0.25">
      <c r="J1401" s="4"/>
    </row>
    <row r="1402" spans="9:10" x14ac:dyDescent="0.25">
      <c r="J1402" s="4"/>
    </row>
    <row r="1403" spans="9:10" x14ac:dyDescent="0.25">
      <c r="I1403" s="26"/>
      <c r="J1403" s="4"/>
    </row>
    <row r="1404" spans="9:10" x14ac:dyDescent="0.25">
      <c r="I1404" s="26"/>
    </row>
    <row r="1405" spans="9:10" x14ac:dyDescent="0.25">
      <c r="I1405" s="26"/>
    </row>
    <row r="1407" spans="9:10" x14ac:dyDescent="0.25">
      <c r="I1407" s="26"/>
    </row>
    <row r="1408" spans="9:10" x14ac:dyDescent="0.25">
      <c r="I1408" s="26"/>
    </row>
    <row r="1409" spans="1:10" x14ac:dyDescent="0.25">
      <c r="I1409" s="26"/>
    </row>
    <row r="1410" spans="1:10" x14ac:dyDescent="0.25">
      <c r="I1410" s="26"/>
    </row>
    <row r="1411" spans="1:10" x14ac:dyDescent="0.25">
      <c r="I1411" s="26"/>
    </row>
    <row r="1412" spans="1:10" x14ac:dyDescent="0.25">
      <c r="I1412" s="26"/>
    </row>
    <row r="1413" spans="1:10" x14ac:dyDescent="0.25">
      <c r="I1413" s="26"/>
    </row>
    <row r="1414" spans="1:10" x14ac:dyDescent="0.25">
      <c r="I1414" s="26"/>
    </row>
    <row r="1415" spans="1:10" x14ac:dyDescent="0.25">
      <c r="I1415" s="26"/>
    </row>
    <row r="1416" spans="1:10" x14ac:dyDescent="0.25">
      <c r="I1416" s="26"/>
    </row>
    <row r="1417" spans="1:10" x14ac:dyDescent="0.25">
      <c r="J1417" s="4"/>
    </row>
    <row r="1418" spans="1:10" x14ac:dyDescent="0.25">
      <c r="I1418" s="26"/>
    </row>
    <row r="1419" spans="1:10" x14ac:dyDescent="0.25">
      <c r="I1419" s="26"/>
    </row>
    <row r="1420" spans="1:10" x14ac:dyDescent="0.25">
      <c r="I1420" s="26"/>
    </row>
    <row r="1421" spans="1:10" x14ac:dyDescent="0.25">
      <c r="I1421" s="26"/>
    </row>
    <row r="1422" spans="1:10" x14ac:dyDescent="0.25">
      <c r="I1422" s="26"/>
    </row>
    <row r="1423" spans="1:10" x14ac:dyDescent="0.25">
      <c r="I1423" s="26"/>
    </row>
    <row r="1424" spans="1:10" x14ac:dyDescent="0.25">
      <c r="A1424" s="5"/>
      <c r="J1424" s="4"/>
    </row>
    <row r="1425" spans="9:10" x14ac:dyDescent="0.25">
      <c r="I1425" s="26"/>
    </row>
    <row r="1426" spans="9:10" x14ac:dyDescent="0.25">
      <c r="I1426" s="26"/>
    </row>
    <row r="1428" spans="9:10" x14ac:dyDescent="0.25">
      <c r="I1428" s="26"/>
      <c r="J1428" s="4"/>
    </row>
    <row r="1429" spans="9:10" x14ac:dyDescent="0.25">
      <c r="I1429" s="26"/>
      <c r="J1429" s="4"/>
    </row>
    <row r="1430" spans="9:10" x14ac:dyDescent="0.25">
      <c r="I1430" s="26"/>
      <c r="J1430" s="4"/>
    </row>
    <row r="1431" spans="9:10" x14ac:dyDescent="0.25">
      <c r="I1431" s="26"/>
      <c r="J1431" s="4"/>
    </row>
    <row r="1432" spans="9:10" x14ac:dyDescent="0.25">
      <c r="I1432" s="26"/>
    </row>
    <row r="1433" spans="9:10" x14ac:dyDescent="0.25">
      <c r="I1433" s="26"/>
    </row>
    <row r="1434" spans="9:10" x14ac:dyDescent="0.25">
      <c r="I1434" s="26"/>
    </row>
    <row r="1435" spans="9:10" x14ac:dyDescent="0.25">
      <c r="I1435" s="26"/>
    </row>
    <row r="1436" spans="9:10" x14ac:dyDescent="0.25">
      <c r="I1436" s="26"/>
    </row>
    <row r="1437" spans="9:10" x14ac:dyDescent="0.25">
      <c r="J1437" s="4"/>
    </row>
    <row r="1438" spans="9:10" x14ac:dyDescent="0.25">
      <c r="I1438" s="26"/>
      <c r="J1438" s="4"/>
    </row>
    <row r="1439" spans="9:10" x14ac:dyDescent="0.25">
      <c r="I1439" s="26"/>
    </row>
    <row r="1440" spans="9:10" x14ac:dyDescent="0.25">
      <c r="I1440" s="26"/>
    </row>
    <row r="1441" spans="9:10" x14ac:dyDescent="0.25">
      <c r="I1441" s="26"/>
    </row>
    <row r="1442" spans="9:10" x14ac:dyDescent="0.25">
      <c r="I1442" s="26"/>
    </row>
    <row r="1443" spans="9:10" x14ac:dyDescent="0.25">
      <c r="I1443" s="26"/>
      <c r="J1443" s="4"/>
    </row>
    <row r="1444" spans="9:10" x14ac:dyDescent="0.25">
      <c r="I1444" s="26"/>
    </row>
    <row r="1446" spans="9:10" x14ac:dyDescent="0.25">
      <c r="I1446" s="26"/>
    </row>
    <row r="1447" spans="9:10" x14ac:dyDescent="0.25">
      <c r="I1447" s="26"/>
    </row>
    <row r="1448" spans="9:10" x14ac:dyDescent="0.25">
      <c r="I1448" s="26"/>
    </row>
    <row r="1449" spans="9:10" x14ac:dyDescent="0.25">
      <c r="J1449" s="4"/>
    </row>
    <row r="1450" spans="9:10" x14ac:dyDescent="0.25">
      <c r="I1450" s="26"/>
    </row>
    <row r="1451" spans="9:10" x14ac:dyDescent="0.25">
      <c r="I1451" s="26"/>
    </row>
    <row r="1452" spans="9:10" x14ac:dyDescent="0.25">
      <c r="I1452" s="26"/>
    </row>
    <row r="1453" spans="9:10" x14ac:dyDescent="0.25">
      <c r="I1453" s="26"/>
    </row>
    <row r="1454" spans="9:10" x14ac:dyDescent="0.25">
      <c r="I1454" s="26"/>
    </row>
    <row r="1455" spans="9:10" x14ac:dyDescent="0.25">
      <c r="I1455" s="26"/>
    </row>
    <row r="1456" spans="9:10" x14ac:dyDescent="0.25">
      <c r="I1456" s="26"/>
    </row>
    <row r="1458" spans="9:10" x14ac:dyDescent="0.25">
      <c r="I1458" s="26"/>
    </row>
    <row r="1459" spans="9:10" x14ac:dyDescent="0.25">
      <c r="I1459" s="26"/>
    </row>
    <row r="1460" spans="9:10" x14ac:dyDescent="0.25">
      <c r="J1460" s="4"/>
    </row>
    <row r="1461" spans="9:10" x14ac:dyDescent="0.25">
      <c r="I1461" s="26"/>
    </row>
    <row r="1462" spans="9:10" x14ac:dyDescent="0.25">
      <c r="I1462" s="26"/>
    </row>
    <row r="1463" spans="9:10" x14ac:dyDescent="0.25">
      <c r="I1463" s="26"/>
    </row>
    <row r="1465" spans="9:10" x14ac:dyDescent="0.25">
      <c r="I1465" s="26"/>
    </row>
    <row r="1466" spans="9:10" x14ac:dyDescent="0.25">
      <c r="I1466" s="26"/>
    </row>
    <row r="1467" spans="9:10" x14ac:dyDescent="0.25">
      <c r="I1467" s="26"/>
    </row>
    <row r="1468" spans="9:10" x14ac:dyDescent="0.25">
      <c r="I1468" s="26"/>
      <c r="J1468" s="4"/>
    </row>
    <row r="1469" spans="9:10" x14ac:dyDescent="0.25">
      <c r="I1469" s="26"/>
    </row>
    <row r="1470" spans="9:10" x14ac:dyDescent="0.25">
      <c r="I1470" s="26"/>
    </row>
    <row r="1471" spans="9:10" x14ac:dyDescent="0.25">
      <c r="I1471" s="26"/>
    </row>
    <row r="1472" spans="9:10" x14ac:dyDescent="0.25">
      <c r="J1472" s="4"/>
    </row>
    <row r="1473" spans="9:10" x14ac:dyDescent="0.25">
      <c r="I1473" s="26"/>
      <c r="J1473" s="4"/>
    </row>
    <row r="1474" spans="9:10" x14ac:dyDescent="0.25">
      <c r="I1474" s="26"/>
    </row>
    <row r="1477" spans="9:10" x14ac:dyDescent="0.25">
      <c r="I1477" s="26"/>
    </row>
    <row r="1478" spans="9:10" x14ac:dyDescent="0.25">
      <c r="I1478" s="26"/>
    </row>
    <row r="1479" spans="9:10" x14ac:dyDescent="0.25">
      <c r="I1479" s="26"/>
    </row>
    <row r="1480" spans="9:10" x14ac:dyDescent="0.25">
      <c r="I1480" s="26"/>
    </row>
    <row r="1481" spans="9:10" x14ac:dyDescent="0.25">
      <c r="I1481" s="26"/>
    </row>
    <row r="1482" spans="9:10" x14ac:dyDescent="0.25">
      <c r="I1482" s="26"/>
    </row>
    <row r="1483" spans="9:10" x14ac:dyDescent="0.25">
      <c r="I1483" s="26"/>
    </row>
    <row r="1484" spans="9:10" x14ac:dyDescent="0.25">
      <c r="I1484" s="26"/>
    </row>
    <row r="1485" spans="9:10" x14ac:dyDescent="0.25">
      <c r="I1485" s="26"/>
      <c r="J1485" s="4"/>
    </row>
    <row r="1487" spans="9:10" x14ac:dyDescent="0.25">
      <c r="I1487" s="26"/>
    </row>
    <row r="1488" spans="9:10" x14ac:dyDescent="0.25">
      <c r="I1488" s="26"/>
    </row>
    <row r="1489" spans="9:10" x14ac:dyDescent="0.25">
      <c r="I1489" s="26"/>
      <c r="J1489" s="4"/>
    </row>
    <row r="1490" spans="9:10" x14ac:dyDescent="0.25">
      <c r="I1490" s="26"/>
    </row>
    <row r="1493" spans="9:10" x14ac:dyDescent="0.25">
      <c r="I1493" s="26"/>
    </row>
    <row r="1494" spans="9:10" x14ac:dyDescent="0.25">
      <c r="I1494" s="26"/>
    </row>
    <row r="1495" spans="9:10" x14ac:dyDescent="0.25">
      <c r="I1495" s="26"/>
    </row>
    <row r="1496" spans="9:10" x14ac:dyDescent="0.25">
      <c r="I1496" s="26"/>
    </row>
    <row r="1497" spans="9:10" x14ac:dyDescent="0.25">
      <c r="I1497" s="26"/>
    </row>
    <row r="1498" spans="9:10" x14ac:dyDescent="0.25">
      <c r="I1498" s="26"/>
    </row>
    <row r="1499" spans="9:10" x14ac:dyDescent="0.25">
      <c r="I1499" s="26"/>
    </row>
    <row r="1500" spans="9:10" x14ac:dyDescent="0.25">
      <c r="I1500" s="26"/>
    </row>
    <row r="1501" spans="9:10" x14ac:dyDescent="0.25">
      <c r="I1501" s="26"/>
      <c r="J1501" s="4"/>
    </row>
    <row r="1502" spans="9:10" x14ac:dyDescent="0.25">
      <c r="I1502" s="26"/>
    </row>
    <row r="1503" spans="9:10" x14ac:dyDescent="0.25">
      <c r="J1503" s="4"/>
    </row>
    <row r="1504" spans="9:10" x14ac:dyDescent="0.25">
      <c r="I1504" s="26"/>
    </row>
    <row r="1505" spans="9:10" x14ac:dyDescent="0.25">
      <c r="J1505" s="4"/>
    </row>
    <row r="1506" spans="9:10" x14ac:dyDescent="0.25">
      <c r="J1506" s="4"/>
    </row>
    <row r="1507" spans="9:10" x14ac:dyDescent="0.25">
      <c r="I1507" s="26"/>
      <c r="J1507" s="4"/>
    </row>
    <row r="1508" spans="9:10" x14ac:dyDescent="0.25">
      <c r="I1508" s="26"/>
    </row>
    <row r="1510" spans="9:10" x14ac:dyDescent="0.25">
      <c r="I1510" s="26"/>
    </row>
    <row r="1511" spans="9:10" x14ac:dyDescent="0.25">
      <c r="I1511" s="26"/>
    </row>
    <row r="1512" spans="9:10" x14ac:dyDescent="0.25">
      <c r="I1512" s="26"/>
    </row>
    <row r="1513" spans="9:10" x14ac:dyDescent="0.25">
      <c r="I1513" s="26"/>
      <c r="J1513" s="4"/>
    </row>
    <row r="1514" spans="9:10" x14ac:dyDescent="0.25">
      <c r="I1514" s="26"/>
      <c r="J1514" s="4"/>
    </row>
    <row r="1516" spans="9:10" x14ac:dyDescent="0.25">
      <c r="I1516" s="26"/>
    </row>
    <row r="1518" spans="9:10" x14ac:dyDescent="0.25">
      <c r="I1518" s="26"/>
    </row>
    <row r="1519" spans="9:10" x14ac:dyDescent="0.25">
      <c r="I1519" s="26"/>
      <c r="J1519" s="4"/>
    </row>
    <row r="1520" spans="9:10" x14ac:dyDescent="0.25">
      <c r="I1520" s="26"/>
    </row>
    <row r="1521" spans="9:10" x14ac:dyDescent="0.25">
      <c r="I1521" s="26"/>
    </row>
    <row r="1522" spans="9:10" x14ac:dyDescent="0.25">
      <c r="I1522" s="26"/>
    </row>
    <row r="1523" spans="9:10" x14ac:dyDescent="0.25">
      <c r="I1523" s="26"/>
    </row>
    <row r="1524" spans="9:10" x14ac:dyDescent="0.25">
      <c r="I1524" s="26"/>
      <c r="J1524" s="4"/>
    </row>
    <row r="1526" spans="9:10" x14ac:dyDescent="0.25">
      <c r="I1526" s="26"/>
    </row>
    <row r="1527" spans="9:10" x14ac:dyDescent="0.25">
      <c r="I1527" s="26"/>
    </row>
    <row r="1528" spans="9:10" x14ac:dyDescent="0.25">
      <c r="I1528" s="26"/>
    </row>
    <row r="1529" spans="9:10" x14ac:dyDescent="0.25">
      <c r="I1529" s="26"/>
    </row>
    <row r="1530" spans="9:10" x14ac:dyDescent="0.25">
      <c r="I1530" s="26"/>
    </row>
    <row r="1531" spans="9:10" x14ac:dyDescent="0.25">
      <c r="I1531" s="26"/>
      <c r="J1531" s="4"/>
    </row>
    <row r="1532" spans="9:10" x14ac:dyDescent="0.25">
      <c r="I1532" s="26"/>
      <c r="J1532" s="4"/>
    </row>
    <row r="1533" spans="9:10" x14ac:dyDescent="0.25">
      <c r="I1533" s="26"/>
      <c r="J1533" s="4"/>
    </row>
    <row r="1534" spans="9:10" x14ac:dyDescent="0.25">
      <c r="I1534" s="26"/>
    </row>
    <row r="1536" spans="9:10" x14ac:dyDescent="0.25">
      <c r="I1536" s="26"/>
    </row>
    <row r="1538" spans="9:10" x14ac:dyDescent="0.25">
      <c r="I1538" s="26"/>
    </row>
    <row r="1539" spans="9:10" x14ac:dyDescent="0.25">
      <c r="I1539" s="26"/>
    </row>
    <row r="1540" spans="9:10" x14ac:dyDescent="0.25">
      <c r="I1540" s="26"/>
    </row>
    <row r="1541" spans="9:10" x14ac:dyDescent="0.25">
      <c r="I1541" s="26"/>
    </row>
    <row r="1542" spans="9:10" x14ac:dyDescent="0.25">
      <c r="I1542" s="26"/>
    </row>
    <row r="1543" spans="9:10" x14ac:dyDescent="0.25">
      <c r="I1543" s="26"/>
    </row>
    <row r="1545" spans="9:10" x14ac:dyDescent="0.25">
      <c r="I1545" s="26"/>
    </row>
    <row r="1546" spans="9:10" x14ac:dyDescent="0.25">
      <c r="J1546" s="4"/>
    </row>
    <row r="1547" spans="9:10" x14ac:dyDescent="0.25">
      <c r="I1547" s="26"/>
      <c r="J1547" s="4"/>
    </row>
    <row r="1548" spans="9:10" x14ac:dyDescent="0.25">
      <c r="I1548" s="26"/>
    </row>
    <row r="1550" spans="9:10" x14ac:dyDescent="0.25">
      <c r="I1550" s="26"/>
    </row>
    <row r="1551" spans="9:10" x14ac:dyDescent="0.25">
      <c r="I1551" s="26"/>
      <c r="J1551" s="4"/>
    </row>
    <row r="1554" spans="9:10" x14ac:dyDescent="0.25">
      <c r="I1554" s="26"/>
    </row>
    <row r="1555" spans="9:10" x14ac:dyDescent="0.25">
      <c r="I1555" s="26"/>
    </row>
    <row r="1556" spans="9:10" x14ac:dyDescent="0.25">
      <c r="I1556" s="26"/>
    </row>
    <row r="1557" spans="9:10" x14ac:dyDescent="0.25">
      <c r="I1557" s="26"/>
    </row>
    <row r="1559" spans="9:10" x14ac:dyDescent="0.25">
      <c r="I1559" s="26"/>
    </row>
    <row r="1561" spans="9:10" x14ac:dyDescent="0.25">
      <c r="I1561" s="26"/>
    </row>
    <row r="1562" spans="9:10" x14ac:dyDescent="0.25">
      <c r="I1562" s="26"/>
      <c r="J1562" s="4"/>
    </row>
    <row r="1563" spans="9:10" x14ac:dyDescent="0.25">
      <c r="I1563" s="26"/>
      <c r="J1563" s="4"/>
    </row>
    <row r="1564" spans="9:10" x14ac:dyDescent="0.25">
      <c r="I1564" s="26"/>
    </row>
    <row r="1566" spans="9:10" x14ac:dyDescent="0.25">
      <c r="I1566" s="26"/>
    </row>
    <row r="1567" spans="9:10" x14ac:dyDescent="0.25">
      <c r="I1567" s="26"/>
    </row>
    <row r="1568" spans="9:10" x14ac:dyDescent="0.25">
      <c r="I1568" s="26"/>
    </row>
    <row r="1569" spans="9:10" x14ac:dyDescent="0.25">
      <c r="I1569" s="26"/>
    </row>
    <row r="1570" spans="9:10" x14ac:dyDescent="0.25">
      <c r="I1570" s="26"/>
    </row>
    <row r="1571" spans="9:10" x14ac:dyDescent="0.25">
      <c r="I1571" s="26"/>
      <c r="J1571" s="4"/>
    </row>
    <row r="1572" spans="9:10" x14ac:dyDescent="0.25">
      <c r="I1572" s="26"/>
    </row>
    <row r="1574" spans="9:10" x14ac:dyDescent="0.25">
      <c r="I1574" s="26"/>
    </row>
    <row r="1575" spans="9:10" x14ac:dyDescent="0.25">
      <c r="I1575" s="26"/>
      <c r="J1575" s="4"/>
    </row>
    <row r="1576" spans="9:10" x14ac:dyDescent="0.25">
      <c r="I1576" s="26"/>
    </row>
    <row r="1577" spans="9:10" x14ac:dyDescent="0.25">
      <c r="I1577" s="26"/>
    </row>
    <row r="1578" spans="9:10" x14ac:dyDescent="0.25">
      <c r="I1578" s="26"/>
    </row>
    <row r="1579" spans="9:10" x14ac:dyDescent="0.25">
      <c r="I1579" s="26"/>
      <c r="J1579" s="4"/>
    </row>
    <row r="1580" spans="9:10" x14ac:dyDescent="0.25">
      <c r="I1580" s="26"/>
      <c r="J1580" s="4"/>
    </row>
    <row r="1581" spans="9:10" x14ac:dyDescent="0.25">
      <c r="I1581" s="26"/>
    </row>
    <row r="1582" spans="9:10" x14ac:dyDescent="0.25">
      <c r="I1582" s="26"/>
    </row>
    <row r="1583" spans="9:10" x14ac:dyDescent="0.25">
      <c r="I1583" s="26"/>
    </row>
    <row r="1584" spans="9:10" x14ac:dyDescent="0.25">
      <c r="I1584" s="26"/>
    </row>
    <row r="1585" spans="9:10" x14ac:dyDescent="0.25">
      <c r="I1585" s="26"/>
    </row>
    <row r="1586" spans="9:10" x14ac:dyDescent="0.25">
      <c r="I1586" s="26"/>
    </row>
    <row r="1587" spans="9:10" x14ac:dyDescent="0.25">
      <c r="I1587" s="26"/>
    </row>
    <row r="1588" spans="9:10" x14ac:dyDescent="0.25">
      <c r="I1588" s="26"/>
      <c r="J1588" s="4"/>
    </row>
    <row r="1589" spans="9:10" x14ac:dyDescent="0.25">
      <c r="I1589" s="26"/>
    </row>
    <row r="1590" spans="9:10" x14ac:dyDescent="0.25">
      <c r="I1590" s="26"/>
      <c r="J1590" s="4"/>
    </row>
    <row r="1591" spans="9:10" x14ac:dyDescent="0.25">
      <c r="I1591" s="26"/>
    </row>
    <row r="1593" spans="9:10" x14ac:dyDescent="0.25">
      <c r="I1593" s="26"/>
    </row>
    <row r="1594" spans="9:10" x14ac:dyDescent="0.25">
      <c r="I1594" s="26"/>
    </row>
    <row r="1595" spans="9:10" x14ac:dyDescent="0.25">
      <c r="I1595" s="26"/>
    </row>
    <row r="1596" spans="9:10" x14ac:dyDescent="0.25">
      <c r="I1596" s="26"/>
    </row>
    <row r="1598" spans="9:10" x14ac:dyDescent="0.25">
      <c r="I1598" s="26"/>
    </row>
    <row r="1599" spans="9:10" x14ac:dyDescent="0.25">
      <c r="I1599" s="26"/>
    </row>
    <row r="1600" spans="9:10" x14ac:dyDescent="0.25">
      <c r="I1600" s="26"/>
    </row>
    <row r="1601" spans="9:10" x14ac:dyDescent="0.25">
      <c r="I1601" s="26"/>
    </row>
    <row r="1602" spans="9:10" x14ac:dyDescent="0.25">
      <c r="I1602" s="26"/>
    </row>
    <row r="1603" spans="9:10" x14ac:dyDescent="0.25">
      <c r="I1603" s="26"/>
    </row>
    <row r="1604" spans="9:10" x14ac:dyDescent="0.25">
      <c r="I1604" s="26"/>
    </row>
    <row r="1605" spans="9:10" x14ac:dyDescent="0.25">
      <c r="I1605" s="26"/>
    </row>
    <row r="1606" spans="9:10" x14ac:dyDescent="0.25">
      <c r="I1606" s="26"/>
      <c r="J1606" s="4"/>
    </row>
    <row r="1607" spans="9:10" x14ac:dyDescent="0.25">
      <c r="I1607" s="26"/>
    </row>
    <row r="1608" spans="9:10" x14ac:dyDescent="0.25">
      <c r="I1608" s="26"/>
    </row>
    <row r="1609" spans="9:10" x14ac:dyDescent="0.25">
      <c r="I1609" s="26"/>
    </row>
    <row r="1610" spans="9:10" x14ac:dyDescent="0.25">
      <c r="I1610" s="26"/>
    </row>
    <row r="1611" spans="9:10" x14ac:dyDescent="0.25">
      <c r="I1611" s="26"/>
    </row>
    <row r="1612" spans="9:10" x14ac:dyDescent="0.25">
      <c r="I1612" s="26"/>
    </row>
    <row r="1613" spans="9:10" x14ac:dyDescent="0.25">
      <c r="I1613" s="26"/>
    </row>
    <row r="1614" spans="9:10" x14ac:dyDescent="0.25">
      <c r="I1614" s="26"/>
      <c r="J1614" s="4"/>
    </row>
    <row r="1615" spans="9:10" x14ac:dyDescent="0.25">
      <c r="I1615" s="26"/>
    </row>
    <row r="1616" spans="9:10" x14ac:dyDescent="0.25">
      <c r="I1616" s="26"/>
    </row>
    <row r="1617" spans="9:10" x14ac:dyDescent="0.25">
      <c r="I1617" s="26"/>
    </row>
    <row r="1618" spans="9:10" x14ac:dyDescent="0.25">
      <c r="I1618" s="26"/>
      <c r="J1618" s="4"/>
    </row>
    <row r="1619" spans="9:10" x14ac:dyDescent="0.25">
      <c r="I1619" s="26"/>
    </row>
    <row r="1620" spans="9:10" x14ac:dyDescent="0.25">
      <c r="J1620" s="4"/>
    </row>
    <row r="1621" spans="9:10" x14ac:dyDescent="0.25">
      <c r="I1621" s="26"/>
    </row>
    <row r="1622" spans="9:10" x14ac:dyDescent="0.25">
      <c r="I1622" s="26"/>
    </row>
    <row r="1623" spans="9:10" x14ac:dyDescent="0.25">
      <c r="I1623" s="26"/>
    </row>
    <row r="1624" spans="9:10" x14ac:dyDescent="0.25">
      <c r="I1624" s="26"/>
    </row>
    <row r="1625" spans="9:10" x14ac:dyDescent="0.25">
      <c r="I1625" s="26"/>
    </row>
    <row r="1626" spans="9:10" x14ac:dyDescent="0.25">
      <c r="I1626" s="26"/>
      <c r="J1626" s="4"/>
    </row>
    <row r="1627" spans="9:10" x14ac:dyDescent="0.25">
      <c r="I1627" s="26"/>
    </row>
    <row r="1628" spans="9:10" x14ac:dyDescent="0.25">
      <c r="I1628" s="26"/>
    </row>
    <row r="1629" spans="9:10" x14ac:dyDescent="0.25">
      <c r="I1629" s="26"/>
    </row>
    <row r="1631" spans="9:10" x14ac:dyDescent="0.25">
      <c r="I1631" s="26"/>
    </row>
    <row r="1632" spans="9:10" x14ac:dyDescent="0.25">
      <c r="I1632" s="26"/>
    </row>
    <row r="1633" spans="9:10" x14ac:dyDescent="0.25">
      <c r="I1633" s="26"/>
    </row>
    <row r="1634" spans="9:10" x14ac:dyDescent="0.25">
      <c r="I1634" s="26"/>
    </row>
    <row r="1635" spans="9:10" x14ac:dyDescent="0.25">
      <c r="I1635" s="26"/>
    </row>
    <row r="1636" spans="9:10" x14ac:dyDescent="0.25">
      <c r="I1636" s="26"/>
      <c r="J1636" s="4"/>
    </row>
    <row r="1638" spans="9:10" x14ac:dyDescent="0.25">
      <c r="I1638" s="26"/>
    </row>
    <row r="1639" spans="9:10" x14ac:dyDescent="0.25">
      <c r="I1639" s="26"/>
    </row>
    <row r="1640" spans="9:10" x14ac:dyDescent="0.25">
      <c r="I1640" s="26"/>
      <c r="J1640" s="4"/>
    </row>
    <row r="1641" spans="9:10" x14ac:dyDescent="0.25">
      <c r="I1641" s="26"/>
    </row>
    <row r="1642" spans="9:10" x14ac:dyDescent="0.25">
      <c r="I1642" s="26"/>
    </row>
    <row r="1644" spans="9:10" x14ac:dyDescent="0.25">
      <c r="I1644" s="26"/>
    </row>
    <row r="1645" spans="9:10" x14ac:dyDescent="0.25">
      <c r="I1645" s="26"/>
    </row>
    <row r="1646" spans="9:10" x14ac:dyDescent="0.25">
      <c r="I1646" s="26"/>
    </row>
    <row r="1647" spans="9:10" x14ac:dyDescent="0.25">
      <c r="I1647" s="26"/>
    </row>
    <row r="1648" spans="9:10" x14ac:dyDescent="0.25">
      <c r="I1648" s="26"/>
    </row>
    <row r="1650" spans="1:10" x14ac:dyDescent="0.25">
      <c r="I1650" s="26"/>
    </row>
    <row r="1651" spans="1:10" x14ac:dyDescent="0.25">
      <c r="I1651" s="26"/>
    </row>
    <row r="1652" spans="1:10" x14ac:dyDescent="0.25">
      <c r="I1652" s="26"/>
    </row>
    <row r="1653" spans="1:10" x14ac:dyDescent="0.25">
      <c r="I1653" s="26"/>
    </row>
    <row r="1654" spans="1:10" x14ac:dyDescent="0.25">
      <c r="I1654" s="26"/>
    </row>
    <row r="1655" spans="1:10" x14ac:dyDescent="0.25">
      <c r="A1655" s="4"/>
      <c r="I1655" s="2"/>
      <c r="J1655" s="4"/>
    </row>
    <row r="1656" spans="1:10" x14ac:dyDescent="0.25">
      <c r="I1656" s="26"/>
      <c r="J1656" s="4"/>
    </row>
    <row r="1659" spans="1:10" x14ac:dyDescent="0.25">
      <c r="I1659" s="26"/>
    </row>
    <row r="1660" spans="1:10" x14ac:dyDescent="0.25">
      <c r="I1660" s="26"/>
      <c r="J1660" s="4"/>
    </row>
    <row r="1661" spans="1:10" x14ac:dyDescent="0.25">
      <c r="I1661" s="26"/>
    </row>
    <row r="1662" spans="1:10" x14ac:dyDescent="0.25">
      <c r="I1662" s="26"/>
      <c r="J1662" s="4"/>
    </row>
    <row r="1663" spans="1:10" x14ac:dyDescent="0.25">
      <c r="I1663" s="26"/>
    </row>
    <row r="1664" spans="1:10" x14ac:dyDescent="0.25">
      <c r="I1664" s="26"/>
    </row>
    <row r="1665" spans="9:10" x14ac:dyDescent="0.25">
      <c r="I1665" s="26"/>
    </row>
    <row r="1666" spans="9:10" x14ac:dyDescent="0.25">
      <c r="I1666" s="26"/>
    </row>
    <row r="1667" spans="9:10" x14ac:dyDescent="0.25">
      <c r="I1667" s="26"/>
    </row>
    <row r="1668" spans="9:10" x14ac:dyDescent="0.25">
      <c r="I1668" s="26"/>
    </row>
    <row r="1670" spans="9:10" x14ac:dyDescent="0.25">
      <c r="I1670" s="26"/>
    </row>
    <row r="1672" spans="9:10" x14ac:dyDescent="0.25">
      <c r="I1672" s="26"/>
      <c r="J1672" s="4"/>
    </row>
    <row r="1673" spans="9:10" x14ac:dyDescent="0.25">
      <c r="I1673" s="26"/>
    </row>
    <row r="1674" spans="9:10" x14ac:dyDescent="0.25">
      <c r="I1674" s="26"/>
    </row>
    <row r="1675" spans="9:10" x14ac:dyDescent="0.25">
      <c r="I1675" s="26"/>
    </row>
    <row r="1676" spans="9:10" x14ac:dyDescent="0.25">
      <c r="I1676" s="26"/>
    </row>
    <row r="1677" spans="9:10" x14ac:dyDescent="0.25">
      <c r="I1677" s="26"/>
    </row>
    <row r="1678" spans="9:10" x14ac:dyDescent="0.25">
      <c r="I1678" s="26"/>
    </row>
    <row r="1679" spans="9:10" x14ac:dyDescent="0.25">
      <c r="I1679" s="26"/>
      <c r="J1679" s="4"/>
    </row>
    <row r="1680" spans="9:10" x14ac:dyDescent="0.25">
      <c r="I1680" s="26"/>
    </row>
    <row r="1681" spans="9:10" x14ac:dyDescent="0.25">
      <c r="I1681" s="26"/>
    </row>
    <row r="1683" spans="9:10" x14ac:dyDescent="0.25">
      <c r="I1683" s="26"/>
    </row>
    <row r="1684" spans="9:10" x14ac:dyDescent="0.25">
      <c r="I1684" s="26"/>
    </row>
    <row r="1685" spans="9:10" x14ac:dyDescent="0.25">
      <c r="I1685" s="26"/>
      <c r="J1685" s="4"/>
    </row>
    <row r="1686" spans="9:10" x14ac:dyDescent="0.25">
      <c r="I1686" s="26"/>
      <c r="J1686" s="4"/>
    </row>
    <row r="1688" spans="9:10" x14ac:dyDescent="0.25">
      <c r="I1688" s="26"/>
      <c r="J1688" s="4"/>
    </row>
    <row r="1689" spans="9:10" x14ac:dyDescent="0.25">
      <c r="I1689" s="26"/>
    </row>
    <row r="1690" spans="9:10" x14ac:dyDescent="0.25">
      <c r="I1690" s="26"/>
    </row>
    <row r="1691" spans="9:10" x14ac:dyDescent="0.25">
      <c r="I1691" s="26"/>
    </row>
    <row r="1692" spans="9:10" x14ac:dyDescent="0.25">
      <c r="I1692" s="26"/>
    </row>
    <row r="1693" spans="9:10" x14ac:dyDescent="0.25">
      <c r="I1693" s="26"/>
      <c r="J1693" s="4"/>
    </row>
    <row r="1694" spans="9:10" x14ac:dyDescent="0.25">
      <c r="I1694" s="26"/>
    </row>
    <row r="1696" spans="9:10" x14ac:dyDescent="0.25">
      <c r="I1696" s="26"/>
    </row>
    <row r="1697" spans="9:10" x14ac:dyDescent="0.25">
      <c r="I1697" s="26"/>
      <c r="J1697" s="4"/>
    </row>
    <row r="1698" spans="9:10" x14ac:dyDescent="0.25">
      <c r="I1698" s="26"/>
      <c r="J1698" s="4"/>
    </row>
    <row r="1699" spans="9:10" x14ac:dyDescent="0.25">
      <c r="I1699" s="26"/>
    </row>
    <row r="1700" spans="9:10" x14ac:dyDescent="0.25">
      <c r="I1700" s="26"/>
    </row>
    <row r="1701" spans="9:10" x14ac:dyDescent="0.25">
      <c r="I1701" s="26"/>
      <c r="J1701" s="4"/>
    </row>
    <row r="1702" spans="9:10" x14ac:dyDescent="0.25">
      <c r="I1702" s="26"/>
    </row>
    <row r="1703" spans="9:10" x14ac:dyDescent="0.25">
      <c r="I1703" s="26"/>
    </row>
    <row r="1704" spans="9:10" x14ac:dyDescent="0.25">
      <c r="I1704" s="26"/>
    </row>
    <row r="1705" spans="9:10" x14ac:dyDescent="0.25">
      <c r="I1705" s="26"/>
    </row>
    <row r="1706" spans="9:10" x14ac:dyDescent="0.25">
      <c r="I1706" s="26"/>
    </row>
    <row r="1707" spans="9:10" x14ac:dyDescent="0.25">
      <c r="I1707" s="26"/>
    </row>
    <row r="1708" spans="9:10" x14ac:dyDescent="0.25">
      <c r="I1708" s="26"/>
    </row>
    <row r="1709" spans="9:10" x14ac:dyDescent="0.25">
      <c r="I1709" s="26"/>
    </row>
    <row r="1710" spans="9:10" x14ac:dyDescent="0.25">
      <c r="I1710" s="26"/>
    </row>
    <row r="1711" spans="9:10" x14ac:dyDescent="0.25">
      <c r="I1711" s="26"/>
    </row>
    <row r="1712" spans="9:10" x14ac:dyDescent="0.25">
      <c r="I1712" s="26"/>
    </row>
    <row r="1713" spans="9:10" x14ac:dyDescent="0.25">
      <c r="I1713" s="26"/>
    </row>
    <row r="1714" spans="9:10" x14ac:dyDescent="0.25">
      <c r="I1714" s="26"/>
      <c r="J1714" s="4"/>
    </row>
    <row r="1715" spans="9:10" x14ac:dyDescent="0.25">
      <c r="I1715" s="26"/>
    </row>
    <row r="1717" spans="9:10" x14ac:dyDescent="0.25">
      <c r="I1717" s="26"/>
    </row>
    <row r="1718" spans="9:10" x14ac:dyDescent="0.25">
      <c r="I1718" s="26"/>
    </row>
    <row r="1719" spans="9:10" x14ac:dyDescent="0.25">
      <c r="I1719" s="26"/>
    </row>
    <row r="1720" spans="9:10" x14ac:dyDescent="0.25">
      <c r="I1720" s="26"/>
    </row>
    <row r="1721" spans="9:10" x14ac:dyDescent="0.25">
      <c r="I1721" s="26"/>
    </row>
    <row r="1722" spans="9:10" x14ac:dyDescent="0.25">
      <c r="I1722" s="26"/>
    </row>
    <row r="1723" spans="9:10" x14ac:dyDescent="0.25">
      <c r="I1723" s="26"/>
    </row>
    <row r="1724" spans="9:10" x14ac:dyDescent="0.25">
      <c r="J1724" s="4"/>
    </row>
    <row r="1725" spans="9:10" x14ac:dyDescent="0.25">
      <c r="I1725" s="26"/>
    </row>
    <row r="1726" spans="9:10" x14ac:dyDescent="0.25">
      <c r="I1726" s="26"/>
    </row>
    <row r="1727" spans="9:10" x14ac:dyDescent="0.25">
      <c r="I1727" s="26"/>
    </row>
    <row r="1728" spans="9:10" x14ac:dyDescent="0.25">
      <c r="I1728" s="26"/>
    </row>
    <row r="1729" spans="9:10" x14ac:dyDescent="0.25">
      <c r="I1729" s="26"/>
    </row>
    <row r="1730" spans="9:10" x14ac:dyDescent="0.25">
      <c r="I1730" s="26"/>
      <c r="J1730" s="4"/>
    </row>
    <row r="1731" spans="9:10" x14ac:dyDescent="0.25">
      <c r="I1731" s="26"/>
    </row>
    <row r="1732" spans="9:10" x14ac:dyDescent="0.25">
      <c r="J1732" s="4"/>
    </row>
    <row r="1733" spans="9:10" x14ac:dyDescent="0.25">
      <c r="I1733" s="26"/>
      <c r="J1733" s="4"/>
    </row>
    <row r="1734" spans="9:10" x14ac:dyDescent="0.25">
      <c r="I1734" s="26"/>
    </row>
    <row r="1735" spans="9:10" x14ac:dyDescent="0.25">
      <c r="I1735" s="26"/>
    </row>
    <row r="1736" spans="9:10" x14ac:dyDescent="0.25">
      <c r="I1736" s="26"/>
    </row>
    <row r="1737" spans="9:10" x14ac:dyDescent="0.25">
      <c r="J1737" s="4"/>
    </row>
    <row r="1738" spans="9:10" x14ac:dyDescent="0.25">
      <c r="I1738" s="26"/>
    </row>
    <row r="1739" spans="9:10" x14ac:dyDescent="0.25">
      <c r="I1739" s="26"/>
      <c r="J1739" s="4"/>
    </row>
    <row r="1740" spans="9:10" x14ac:dyDescent="0.25">
      <c r="I1740" s="26"/>
    </row>
    <row r="1741" spans="9:10" x14ac:dyDescent="0.25">
      <c r="I1741" s="26"/>
    </row>
    <row r="1742" spans="9:10" x14ac:dyDescent="0.25">
      <c r="I1742" s="26"/>
    </row>
    <row r="1743" spans="9:10" x14ac:dyDescent="0.25">
      <c r="I1743" s="26"/>
    </row>
    <row r="1744" spans="9:10" x14ac:dyDescent="0.25">
      <c r="I1744" s="26"/>
    </row>
    <row r="1745" spans="9:10" x14ac:dyDescent="0.25">
      <c r="I1745" s="26"/>
    </row>
    <row r="1746" spans="9:10" x14ac:dyDescent="0.25">
      <c r="I1746" s="26"/>
    </row>
    <row r="1747" spans="9:10" x14ac:dyDescent="0.25">
      <c r="I1747" s="26"/>
    </row>
    <row r="1748" spans="9:10" x14ac:dyDescent="0.25">
      <c r="I1748" s="26"/>
    </row>
    <row r="1749" spans="9:10" x14ac:dyDescent="0.25">
      <c r="I1749" s="26"/>
    </row>
    <row r="1750" spans="9:10" x14ac:dyDescent="0.25">
      <c r="J1750" s="4"/>
    </row>
    <row r="1751" spans="9:10" x14ac:dyDescent="0.25">
      <c r="I1751" s="26"/>
    </row>
    <row r="1752" spans="9:10" x14ac:dyDescent="0.25">
      <c r="I1752" s="26"/>
    </row>
    <row r="1754" spans="9:10" x14ac:dyDescent="0.25">
      <c r="I1754" s="26"/>
    </row>
    <row r="1755" spans="9:10" x14ac:dyDescent="0.25">
      <c r="I1755" s="26"/>
      <c r="J1755" s="4"/>
    </row>
    <row r="1756" spans="9:10" x14ac:dyDescent="0.25">
      <c r="I1756" s="26"/>
    </row>
    <row r="1757" spans="9:10" x14ac:dyDescent="0.25">
      <c r="I1757" s="26"/>
    </row>
    <row r="1758" spans="9:10" x14ac:dyDescent="0.25">
      <c r="I1758" s="26"/>
    </row>
    <row r="1759" spans="9:10" x14ac:dyDescent="0.25">
      <c r="I1759" s="26"/>
    </row>
    <row r="1760" spans="9:10" x14ac:dyDescent="0.25">
      <c r="I1760" s="26"/>
    </row>
    <row r="1761" spans="9:10" x14ac:dyDescent="0.25">
      <c r="I1761" s="26"/>
      <c r="J1761" s="4"/>
    </row>
    <row r="1762" spans="9:10" x14ac:dyDescent="0.25">
      <c r="I1762" s="26"/>
      <c r="J1762" s="4"/>
    </row>
    <row r="1763" spans="9:10" x14ac:dyDescent="0.25">
      <c r="I1763" s="26"/>
    </row>
    <row r="1767" spans="9:10" x14ac:dyDescent="0.25">
      <c r="I1767" s="26"/>
    </row>
    <row r="1768" spans="9:10" x14ac:dyDescent="0.25">
      <c r="I1768" s="26"/>
    </row>
    <row r="1769" spans="9:10" x14ac:dyDescent="0.25">
      <c r="I1769" s="26"/>
    </row>
    <row r="1771" spans="9:10" x14ac:dyDescent="0.25">
      <c r="I1771" s="26"/>
    </row>
    <row r="1772" spans="9:10" x14ac:dyDescent="0.25">
      <c r="J1772" s="4"/>
    </row>
    <row r="1773" spans="9:10" x14ac:dyDescent="0.25">
      <c r="I1773" s="26"/>
    </row>
    <row r="1775" spans="9:10" x14ac:dyDescent="0.25">
      <c r="I1775" s="26"/>
    </row>
    <row r="1776" spans="9:10" x14ac:dyDescent="0.25">
      <c r="I1776" s="26"/>
    </row>
    <row r="1777" spans="9:10" x14ac:dyDescent="0.25">
      <c r="I1777" s="26"/>
    </row>
    <row r="1778" spans="9:10" x14ac:dyDescent="0.25">
      <c r="I1778" s="26"/>
    </row>
    <row r="1779" spans="9:10" x14ac:dyDescent="0.25">
      <c r="I1779" s="26"/>
    </row>
    <row r="1780" spans="9:10" x14ac:dyDescent="0.25">
      <c r="J1780" s="4"/>
    </row>
    <row r="1781" spans="9:10" x14ac:dyDescent="0.25">
      <c r="I1781" s="26"/>
    </row>
    <row r="1782" spans="9:10" x14ac:dyDescent="0.25">
      <c r="I1782" s="26"/>
    </row>
    <row r="1783" spans="9:10" x14ac:dyDescent="0.25">
      <c r="I1783" s="26"/>
    </row>
    <row r="1784" spans="9:10" x14ac:dyDescent="0.25">
      <c r="I1784" s="26"/>
    </row>
    <row r="1785" spans="9:10" x14ac:dyDescent="0.25">
      <c r="I1785" s="26"/>
    </row>
    <row r="1786" spans="9:10" x14ac:dyDescent="0.25">
      <c r="I1786" s="26"/>
    </row>
    <row r="1787" spans="9:10" x14ac:dyDescent="0.25">
      <c r="I1787" s="26"/>
    </row>
    <row r="1788" spans="9:10" x14ac:dyDescent="0.25">
      <c r="I1788" s="26"/>
    </row>
    <row r="1789" spans="9:10" x14ac:dyDescent="0.25">
      <c r="J1789" s="4"/>
    </row>
    <row r="1790" spans="9:10" x14ac:dyDescent="0.25">
      <c r="I1790" s="26"/>
    </row>
    <row r="1791" spans="9:10" x14ac:dyDescent="0.25">
      <c r="I1791" s="26"/>
    </row>
    <row r="1792" spans="9:10" x14ac:dyDescent="0.25">
      <c r="I1792" s="26"/>
    </row>
    <row r="1793" spans="1:10" x14ac:dyDescent="0.25">
      <c r="I1793" s="26"/>
    </row>
    <row r="1794" spans="1:10" x14ac:dyDescent="0.25">
      <c r="A1794" s="25"/>
      <c r="I1794" s="26"/>
    </row>
    <row r="1795" spans="1:10" x14ac:dyDescent="0.25">
      <c r="I1795" s="26"/>
    </row>
    <row r="1796" spans="1:10" x14ac:dyDescent="0.25">
      <c r="I1796" s="26"/>
    </row>
    <row r="1797" spans="1:10" x14ac:dyDescent="0.25">
      <c r="I1797" s="26"/>
      <c r="J1797" s="4"/>
    </row>
    <row r="1798" spans="1:10" x14ac:dyDescent="0.25">
      <c r="I1798" s="26"/>
    </row>
    <row r="1799" spans="1:10" x14ac:dyDescent="0.25">
      <c r="I1799" s="26"/>
      <c r="J1799" s="4"/>
    </row>
    <row r="1800" spans="1:10" x14ac:dyDescent="0.25">
      <c r="I1800" s="26"/>
      <c r="J1800" s="4"/>
    </row>
    <row r="1801" spans="1:10" x14ac:dyDescent="0.25">
      <c r="I1801" s="26"/>
    </row>
    <row r="1802" spans="1:10" x14ac:dyDescent="0.25">
      <c r="I1802" s="26"/>
    </row>
    <row r="1803" spans="1:10" x14ac:dyDescent="0.25">
      <c r="I1803" s="26"/>
    </row>
    <row r="1804" spans="1:10" x14ac:dyDescent="0.25">
      <c r="I1804" s="26"/>
      <c r="J1804" s="4"/>
    </row>
    <row r="1806" spans="1:10" x14ac:dyDescent="0.25">
      <c r="I1806" s="26"/>
      <c r="J1806" s="4"/>
    </row>
    <row r="1807" spans="1:10" x14ac:dyDescent="0.25">
      <c r="I1807" s="26"/>
    </row>
    <row r="1809" spans="1:10" x14ac:dyDescent="0.25">
      <c r="I1809" s="26"/>
    </row>
    <row r="1810" spans="1:10" x14ac:dyDescent="0.25">
      <c r="I1810" s="26"/>
    </row>
    <row r="1811" spans="1:10" x14ac:dyDescent="0.25">
      <c r="I1811" s="26"/>
      <c r="J1811" s="4"/>
    </row>
    <row r="1812" spans="1:10" x14ac:dyDescent="0.25">
      <c r="I1812" s="26"/>
    </row>
    <row r="1813" spans="1:10" x14ac:dyDescent="0.25">
      <c r="I1813" s="26"/>
    </row>
    <row r="1814" spans="1:10" x14ac:dyDescent="0.25">
      <c r="I1814" s="26"/>
    </row>
    <row r="1815" spans="1:10" x14ac:dyDescent="0.25">
      <c r="I1815" s="26"/>
    </row>
    <row r="1817" spans="1:10" x14ac:dyDescent="0.25">
      <c r="I1817" s="26"/>
    </row>
    <row r="1818" spans="1:10" x14ac:dyDescent="0.25">
      <c r="I1818" s="26"/>
      <c r="J1818" s="4"/>
    </row>
    <row r="1819" spans="1:10" x14ac:dyDescent="0.25">
      <c r="I1819" s="26"/>
    </row>
    <row r="1820" spans="1:10" x14ac:dyDescent="0.25">
      <c r="I1820" s="26"/>
    </row>
    <row r="1821" spans="1:10" x14ac:dyDescent="0.25">
      <c r="I1821" s="26"/>
    </row>
    <row r="1822" spans="1:10" x14ac:dyDescent="0.25">
      <c r="I1822" s="26"/>
    </row>
    <row r="1823" spans="1:10" x14ac:dyDescent="0.25">
      <c r="A1823" s="5"/>
      <c r="J1823" s="4"/>
    </row>
    <row r="1824" spans="1:10" x14ac:dyDescent="0.25">
      <c r="J1824" s="4"/>
    </row>
    <row r="1825" spans="9:10" x14ac:dyDescent="0.25">
      <c r="I1825" s="26"/>
    </row>
    <row r="1826" spans="9:10" x14ac:dyDescent="0.25">
      <c r="I1826" s="26"/>
    </row>
    <row r="1827" spans="9:10" x14ac:dyDescent="0.25">
      <c r="I1827" s="26"/>
    </row>
    <row r="1829" spans="9:10" x14ac:dyDescent="0.25">
      <c r="I1829" s="26"/>
    </row>
    <row r="1832" spans="9:10" x14ac:dyDescent="0.25">
      <c r="I1832" s="26"/>
      <c r="J1832" s="4"/>
    </row>
    <row r="1833" spans="9:10" x14ac:dyDescent="0.25">
      <c r="I1833" s="26"/>
    </row>
    <row r="1834" spans="9:10" x14ac:dyDescent="0.25">
      <c r="I1834" s="26"/>
      <c r="J1834" s="4"/>
    </row>
    <row r="1835" spans="9:10" x14ac:dyDescent="0.25">
      <c r="I1835" s="26"/>
    </row>
    <row r="1836" spans="9:10" x14ac:dyDescent="0.25">
      <c r="I1836" s="26"/>
    </row>
    <row r="1837" spans="9:10" x14ac:dyDescent="0.25">
      <c r="I1837" s="26"/>
    </row>
    <row r="1838" spans="9:10" x14ac:dyDescent="0.25">
      <c r="I1838" s="26"/>
    </row>
    <row r="1839" spans="9:10" x14ac:dyDescent="0.25">
      <c r="I1839" s="26"/>
    </row>
    <row r="1841" spans="9:10" x14ac:dyDescent="0.25">
      <c r="I1841" s="26"/>
    </row>
    <row r="1842" spans="9:10" x14ac:dyDescent="0.25">
      <c r="I1842" s="26"/>
    </row>
    <row r="1844" spans="9:10" x14ac:dyDescent="0.25">
      <c r="I1844" s="26"/>
    </row>
    <row r="1845" spans="9:10" x14ac:dyDescent="0.25">
      <c r="I1845" s="26"/>
    </row>
    <row r="1846" spans="9:10" x14ac:dyDescent="0.25">
      <c r="I1846" s="26"/>
    </row>
    <row r="1847" spans="9:10" x14ac:dyDescent="0.25">
      <c r="I1847" s="26"/>
      <c r="J1847" s="4"/>
    </row>
    <row r="1848" spans="9:10" x14ac:dyDescent="0.25">
      <c r="I1848" s="26"/>
    </row>
    <row r="1849" spans="9:10" x14ac:dyDescent="0.25">
      <c r="I1849" s="26"/>
    </row>
    <row r="1851" spans="9:10" x14ac:dyDescent="0.25">
      <c r="I1851" s="26"/>
    </row>
    <row r="1852" spans="9:10" x14ac:dyDescent="0.25">
      <c r="I1852" s="26"/>
      <c r="J1852" s="4"/>
    </row>
    <row r="1853" spans="9:10" x14ac:dyDescent="0.25">
      <c r="I1853" s="26"/>
    </row>
    <row r="1855" spans="9:10" x14ac:dyDescent="0.25">
      <c r="I1855" s="26"/>
    </row>
    <row r="1856" spans="9:10" x14ac:dyDescent="0.25">
      <c r="I1856" s="26"/>
    </row>
    <row r="1857" spans="9:10" x14ac:dyDescent="0.25">
      <c r="I1857" s="26"/>
    </row>
    <row r="1858" spans="9:10" x14ac:dyDescent="0.25">
      <c r="I1858" s="26"/>
    </row>
    <row r="1859" spans="9:10" x14ac:dyDescent="0.25">
      <c r="I1859" s="26"/>
    </row>
    <row r="1860" spans="9:10" x14ac:dyDescent="0.25">
      <c r="I1860" s="26"/>
    </row>
    <row r="1861" spans="9:10" x14ac:dyDescent="0.25">
      <c r="J1861" s="4"/>
    </row>
    <row r="1862" spans="9:10" x14ac:dyDescent="0.25">
      <c r="I1862" s="26"/>
      <c r="J1862" s="4"/>
    </row>
    <row r="1863" spans="9:10" x14ac:dyDescent="0.25">
      <c r="I1863" s="26"/>
    </row>
    <row r="1864" spans="9:10" x14ac:dyDescent="0.25">
      <c r="I1864" s="26"/>
    </row>
    <row r="1865" spans="9:10" x14ac:dyDescent="0.25">
      <c r="I1865" s="26"/>
    </row>
    <row r="1866" spans="9:10" x14ac:dyDescent="0.25">
      <c r="I1866" s="26"/>
    </row>
    <row r="1868" spans="9:10" x14ac:dyDescent="0.25">
      <c r="I1868" s="26"/>
    </row>
    <row r="1869" spans="9:10" x14ac:dyDescent="0.25">
      <c r="I1869" s="26"/>
    </row>
    <row r="1870" spans="9:10" x14ac:dyDescent="0.25">
      <c r="I1870" s="26"/>
    </row>
    <row r="1872" spans="9:10" x14ac:dyDescent="0.25">
      <c r="I1872" s="26"/>
    </row>
    <row r="1873" spans="9:10" x14ac:dyDescent="0.25">
      <c r="I1873" s="26"/>
    </row>
    <row r="1874" spans="9:10" x14ac:dyDescent="0.25">
      <c r="I1874" s="26"/>
    </row>
    <row r="1875" spans="9:10" x14ac:dyDescent="0.25">
      <c r="J1875" s="4"/>
    </row>
    <row r="1877" spans="9:10" x14ac:dyDescent="0.25">
      <c r="I1877" s="26"/>
    </row>
    <row r="1878" spans="9:10" x14ac:dyDescent="0.25">
      <c r="I1878" s="26"/>
    </row>
    <row r="1879" spans="9:10" x14ac:dyDescent="0.25">
      <c r="I1879" s="26"/>
    </row>
    <row r="1881" spans="9:10" x14ac:dyDescent="0.25">
      <c r="J1881" s="4"/>
    </row>
    <row r="1882" spans="9:10" x14ac:dyDescent="0.25">
      <c r="I1882" s="26"/>
    </row>
    <row r="1883" spans="9:10" x14ac:dyDescent="0.25">
      <c r="I1883" s="26"/>
      <c r="J1883" s="4"/>
    </row>
    <row r="1884" spans="9:10" x14ac:dyDescent="0.25">
      <c r="I1884" s="26"/>
      <c r="J1884" s="4"/>
    </row>
    <row r="1885" spans="9:10" x14ac:dyDescent="0.25">
      <c r="I1885" s="26"/>
    </row>
    <row r="1886" spans="9:10" x14ac:dyDescent="0.25">
      <c r="I1886" s="26"/>
      <c r="J1886" s="4"/>
    </row>
    <row r="1888" spans="9:10" x14ac:dyDescent="0.25">
      <c r="I1888" s="26"/>
      <c r="J1888" s="4"/>
    </row>
    <row r="1889" spans="9:10" x14ac:dyDescent="0.25">
      <c r="I1889" s="26"/>
    </row>
    <row r="1891" spans="9:10" x14ac:dyDescent="0.25">
      <c r="I1891" s="26"/>
    </row>
    <row r="1892" spans="9:10" x14ac:dyDescent="0.25">
      <c r="J1892" s="4"/>
    </row>
    <row r="1893" spans="9:10" x14ac:dyDescent="0.25">
      <c r="I1893" s="26"/>
    </row>
    <row r="1894" spans="9:10" x14ac:dyDescent="0.25">
      <c r="J1894" s="4"/>
    </row>
    <row r="1895" spans="9:10" x14ac:dyDescent="0.25">
      <c r="I1895" s="26"/>
    </row>
    <row r="1896" spans="9:10" x14ac:dyDescent="0.25">
      <c r="I1896" s="26"/>
    </row>
    <row r="1897" spans="9:10" x14ac:dyDescent="0.25">
      <c r="I1897" s="26"/>
      <c r="J1897" s="4"/>
    </row>
    <row r="1898" spans="9:10" x14ac:dyDescent="0.25">
      <c r="I1898" s="26"/>
    </row>
    <row r="1899" spans="9:10" x14ac:dyDescent="0.25">
      <c r="I1899" s="26"/>
    </row>
    <row r="1900" spans="9:10" x14ac:dyDescent="0.25">
      <c r="J1900" s="4"/>
    </row>
    <row r="1901" spans="9:10" x14ac:dyDescent="0.25">
      <c r="I1901" s="26"/>
    </row>
    <row r="1902" spans="9:10" x14ac:dyDescent="0.25">
      <c r="I1902" s="26"/>
    </row>
    <row r="1903" spans="9:10" x14ac:dyDescent="0.25">
      <c r="I1903" s="26"/>
    </row>
    <row r="1904" spans="9:10" x14ac:dyDescent="0.25">
      <c r="I1904" s="26"/>
    </row>
    <row r="1905" spans="9:9" x14ac:dyDescent="0.25">
      <c r="I1905" s="26"/>
    </row>
    <row r="1908" spans="9:9" x14ac:dyDescent="0.25">
      <c r="I1908" s="26"/>
    </row>
    <row r="1910" spans="9:9" x14ac:dyDescent="0.25">
      <c r="I1910" s="26"/>
    </row>
    <row r="1912" spans="9:9" x14ac:dyDescent="0.25">
      <c r="I1912" s="26"/>
    </row>
    <row r="1913" spans="9:9" x14ac:dyDescent="0.25">
      <c r="I1913" s="26"/>
    </row>
    <row r="1915" spans="9:9" x14ac:dyDescent="0.25">
      <c r="I1915" s="26"/>
    </row>
    <row r="1916" spans="9:9" x14ac:dyDescent="0.25">
      <c r="I1916" s="26"/>
    </row>
    <row r="1917" spans="9:9" x14ac:dyDescent="0.25">
      <c r="I1917" s="26"/>
    </row>
    <row r="1918" spans="9:9" x14ac:dyDescent="0.25">
      <c r="I1918" s="26"/>
    </row>
    <row r="1919" spans="9:9" x14ac:dyDescent="0.25">
      <c r="I1919" s="26"/>
    </row>
    <row r="1920" spans="9:9" x14ac:dyDescent="0.25">
      <c r="I1920" s="26"/>
    </row>
    <row r="1921" spans="9:10" x14ac:dyDescent="0.25">
      <c r="I1921" s="26"/>
    </row>
    <row r="1924" spans="9:10" x14ac:dyDescent="0.25">
      <c r="I1924" s="26"/>
    </row>
    <row r="1925" spans="9:10" x14ac:dyDescent="0.25">
      <c r="I1925" s="26"/>
    </row>
    <row r="1926" spans="9:10" x14ac:dyDescent="0.25">
      <c r="I1926" s="26"/>
    </row>
    <row r="1927" spans="9:10" x14ac:dyDescent="0.25">
      <c r="I1927" s="26"/>
    </row>
    <row r="1928" spans="9:10" x14ac:dyDescent="0.25">
      <c r="I1928" s="26"/>
    </row>
    <row r="1929" spans="9:10" x14ac:dyDescent="0.25">
      <c r="I1929" s="26"/>
    </row>
    <row r="1930" spans="9:10" x14ac:dyDescent="0.25">
      <c r="I1930" s="26"/>
      <c r="J1930" s="4"/>
    </row>
    <row r="1931" spans="9:10" x14ac:dyDescent="0.25">
      <c r="J1931" s="4"/>
    </row>
    <row r="1932" spans="9:10" x14ac:dyDescent="0.25">
      <c r="I1932" s="26"/>
      <c r="J1932" s="4"/>
    </row>
    <row r="1933" spans="9:10" x14ac:dyDescent="0.25">
      <c r="I1933" s="26"/>
    </row>
    <row r="1934" spans="9:10" x14ac:dyDescent="0.25">
      <c r="I1934" s="26"/>
    </row>
    <row r="1935" spans="9:10" x14ac:dyDescent="0.25">
      <c r="I1935" s="26"/>
      <c r="J1935" s="4"/>
    </row>
    <row r="1936" spans="9:10" x14ac:dyDescent="0.25">
      <c r="I1936" s="26"/>
    </row>
    <row r="1937" spans="9:10" x14ac:dyDescent="0.25">
      <c r="I1937" s="26"/>
    </row>
    <row r="1938" spans="9:10" x14ac:dyDescent="0.25">
      <c r="I1938" s="26"/>
    </row>
    <row r="1939" spans="9:10" x14ac:dyDescent="0.25">
      <c r="I1939" s="26"/>
    </row>
    <row r="1940" spans="9:10" x14ac:dyDescent="0.25">
      <c r="I1940" s="26"/>
      <c r="J1940" s="4"/>
    </row>
    <row r="1941" spans="9:10" x14ac:dyDescent="0.25">
      <c r="I1941" s="26"/>
    </row>
    <row r="1942" spans="9:10" x14ac:dyDescent="0.25">
      <c r="I1942" s="26"/>
      <c r="J1942" s="4"/>
    </row>
    <row r="1943" spans="9:10" x14ac:dyDescent="0.25">
      <c r="I1943" s="26"/>
    </row>
    <row r="1944" spans="9:10" x14ac:dyDescent="0.25">
      <c r="J1944" s="4"/>
    </row>
    <row r="1945" spans="9:10" x14ac:dyDescent="0.25">
      <c r="I1945" s="26"/>
    </row>
    <row r="1946" spans="9:10" x14ac:dyDescent="0.25">
      <c r="I1946" s="26"/>
    </row>
    <row r="1948" spans="9:10" x14ac:dyDescent="0.25">
      <c r="I1948" s="26"/>
    </row>
    <row r="1949" spans="9:10" x14ac:dyDescent="0.25">
      <c r="I1949" s="26"/>
    </row>
    <row r="1950" spans="9:10" x14ac:dyDescent="0.25">
      <c r="I1950" s="26"/>
    </row>
    <row r="1952" spans="9:10" x14ac:dyDescent="0.25">
      <c r="I1952" s="26"/>
    </row>
    <row r="1953" spans="9:10" x14ac:dyDescent="0.25">
      <c r="I1953" s="26"/>
      <c r="J1953" s="4"/>
    </row>
    <row r="1954" spans="9:10" x14ac:dyDescent="0.25">
      <c r="I1954" s="26"/>
    </row>
    <row r="1955" spans="9:10" x14ac:dyDescent="0.25">
      <c r="I1955" s="26"/>
    </row>
    <row r="1956" spans="9:10" x14ac:dyDescent="0.25">
      <c r="I1956" s="26"/>
    </row>
    <row r="1957" spans="9:10" x14ac:dyDescent="0.25">
      <c r="I1957" s="26"/>
    </row>
    <row r="1958" spans="9:10" x14ac:dyDescent="0.25">
      <c r="I1958" s="26"/>
    </row>
    <row r="1959" spans="9:10" x14ac:dyDescent="0.25">
      <c r="I1959" s="26"/>
    </row>
    <row r="1960" spans="9:10" x14ac:dyDescent="0.25">
      <c r="I1960" s="26"/>
    </row>
    <row r="1961" spans="9:10" x14ac:dyDescent="0.25">
      <c r="I1961" s="26"/>
    </row>
    <row r="1962" spans="9:10" x14ac:dyDescent="0.25">
      <c r="I1962" s="26"/>
    </row>
    <row r="1963" spans="9:10" x14ac:dyDescent="0.25">
      <c r="J1963" s="4"/>
    </row>
    <row r="1965" spans="9:10" x14ac:dyDescent="0.25">
      <c r="J1965" s="4"/>
    </row>
    <row r="1966" spans="9:10" x14ac:dyDescent="0.25">
      <c r="I1966" s="26"/>
    </row>
    <row r="1967" spans="9:10" x14ac:dyDescent="0.25">
      <c r="I1967" s="26"/>
    </row>
    <row r="1968" spans="9:10" x14ac:dyDescent="0.25">
      <c r="I1968" s="26"/>
      <c r="J1968" s="4"/>
    </row>
    <row r="1969" spans="9:10" x14ac:dyDescent="0.25">
      <c r="I1969" s="26"/>
      <c r="J1969" s="4"/>
    </row>
    <row r="1970" spans="9:10" x14ac:dyDescent="0.25">
      <c r="I1970" s="26"/>
    </row>
    <row r="1971" spans="9:10" x14ac:dyDescent="0.25">
      <c r="I1971" s="26"/>
      <c r="J1971" s="4"/>
    </row>
    <row r="1972" spans="9:10" x14ac:dyDescent="0.25">
      <c r="I1972" s="26"/>
    </row>
    <row r="1973" spans="9:10" x14ac:dyDescent="0.25">
      <c r="I1973" s="26"/>
    </row>
    <row r="1974" spans="9:10" x14ac:dyDescent="0.25">
      <c r="I1974" s="26"/>
    </row>
    <row r="1975" spans="9:10" x14ac:dyDescent="0.25">
      <c r="I1975" s="26"/>
    </row>
    <row r="1976" spans="9:10" x14ac:dyDescent="0.25">
      <c r="I1976" s="26"/>
    </row>
    <row r="1977" spans="9:10" x14ac:dyDescent="0.25">
      <c r="I1977" s="26"/>
    </row>
    <row r="1978" spans="9:10" x14ac:dyDescent="0.25">
      <c r="I1978" s="26"/>
    </row>
    <row r="1979" spans="9:10" x14ac:dyDescent="0.25">
      <c r="I1979" s="26"/>
    </row>
    <row r="1980" spans="9:10" x14ac:dyDescent="0.25">
      <c r="I1980" s="26"/>
    </row>
    <row r="1982" spans="9:10" x14ac:dyDescent="0.25">
      <c r="I1982" s="26"/>
    </row>
    <row r="1983" spans="9:10" x14ac:dyDescent="0.25">
      <c r="I1983" s="26"/>
    </row>
    <row r="1984" spans="9:10" x14ac:dyDescent="0.25">
      <c r="I1984" s="26"/>
    </row>
    <row r="1985" spans="9:10" x14ac:dyDescent="0.25">
      <c r="I1985" s="26"/>
    </row>
    <row r="1986" spans="9:10" x14ac:dyDescent="0.25">
      <c r="I1986" s="26"/>
    </row>
    <row r="1988" spans="9:10" x14ac:dyDescent="0.25">
      <c r="I1988" s="26"/>
      <c r="J1988" s="4"/>
    </row>
    <row r="1989" spans="9:10" x14ac:dyDescent="0.25">
      <c r="J1989" s="4"/>
    </row>
    <row r="1990" spans="9:10" x14ac:dyDescent="0.25">
      <c r="I1990" s="26"/>
    </row>
    <row r="1991" spans="9:10" x14ac:dyDescent="0.25">
      <c r="I1991" s="26"/>
    </row>
    <row r="1992" spans="9:10" x14ac:dyDescent="0.25">
      <c r="I1992" s="26"/>
    </row>
    <row r="1993" spans="9:10" x14ac:dyDescent="0.25">
      <c r="I1993" s="26"/>
    </row>
    <row r="1994" spans="9:10" x14ac:dyDescent="0.25">
      <c r="I1994" s="26"/>
      <c r="J1994" s="4"/>
    </row>
    <row r="1995" spans="9:10" x14ac:dyDescent="0.25">
      <c r="I1995" s="26"/>
    </row>
    <row r="1996" spans="9:10" x14ac:dyDescent="0.25">
      <c r="I1996" s="26"/>
      <c r="J1996" s="4"/>
    </row>
    <row r="1998" spans="9:10" x14ac:dyDescent="0.25">
      <c r="I1998" s="26"/>
    </row>
    <row r="1999" spans="9:10" x14ac:dyDescent="0.25">
      <c r="I1999" s="26"/>
      <c r="J1999" s="4"/>
    </row>
    <row r="2000" spans="9:10" x14ac:dyDescent="0.25">
      <c r="I2000" s="26"/>
    </row>
    <row r="2001" spans="9:10" x14ac:dyDescent="0.25">
      <c r="I2001" s="26"/>
      <c r="J2001" s="4"/>
    </row>
    <row r="2002" spans="9:10" x14ac:dyDescent="0.25">
      <c r="I2002" s="26"/>
    </row>
    <row r="2003" spans="9:10" x14ac:dyDescent="0.25">
      <c r="J2003" s="4"/>
    </row>
    <row r="2004" spans="9:10" x14ac:dyDescent="0.25">
      <c r="I2004" s="26"/>
    </row>
    <row r="2005" spans="9:10" x14ac:dyDescent="0.25">
      <c r="I2005" s="26"/>
    </row>
    <row r="2006" spans="9:10" x14ac:dyDescent="0.25">
      <c r="I2006" s="26"/>
    </row>
    <row r="2007" spans="9:10" x14ac:dyDescent="0.25">
      <c r="I2007" s="26"/>
    </row>
    <row r="2008" spans="9:10" x14ac:dyDescent="0.25">
      <c r="I2008" s="26"/>
      <c r="J2008" s="4"/>
    </row>
    <row r="2010" spans="9:10" x14ac:dyDescent="0.25">
      <c r="I2010" s="26"/>
    </row>
    <row r="2012" spans="9:10" x14ac:dyDescent="0.25">
      <c r="I2012" s="26"/>
    </row>
    <row r="2013" spans="9:10" x14ac:dyDescent="0.25">
      <c r="I2013" s="26"/>
    </row>
    <row r="2014" spans="9:10" x14ac:dyDescent="0.25">
      <c r="I2014" s="26"/>
    </row>
    <row r="2015" spans="9:10" x14ac:dyDescent="0.25">
      <c r="I2015" s="26"/>
    </row>
    <row r="2016" spans="9:10" x14ac:dyDescent="0.25">
      <c r="I2016" s="26"/>
    </row>
    <row r="2017" spans="1:10" x14ac:dyDescent="0.25">
      <c r="I2017" s="26"/>
    </row>
    <row r="2018" spans="1:10" x14ac:dyDescent="0.25">
      <c r="I2018" s="26"/>
      <c r="J2018" s="4"/>
    </row>
    <row r="2019" spans="1:10" x14ac:dyDescent="0.25">
      <c r="I2019" s="26"/>
    </row>
    <row r="2020" spans="1:10" x14ac:dyDescent="0.25">
      <c r="I2020" s="26"/>
    </row>
    <row r="2021" spans="1:10" x14ac:dyDescent="0.25">
      <c r="I2021" s="26"/>
    </row>
    <row r="2022" spans="1:10" x14ac:dyDescent="0.25">
      <c r="A2022" s="6"/>
      <c r="I2022" s="26"/>
    </row>
    <row r="2024" spans="1:10" x14ac:dyDescent="0.25">
      <c r="I2024" s="26"/>
    </row>
    <row r="2025" spans="1:10" x14ac:dyDescent="0.25">
      <c r="I2025" s="26"/>
    </row>
    <row r="2026" spans="1:10" x14ac:dyDescent="0.25">
      <c r="I2026" s="26"/>
    </row>
    <row r="2027" spans="1:10" x14ac:dyDescent="0.25">
      <c r="I2027" s="26"/>
    </row>
    <row r="2028" spans="1:10" x14ac:dyDescent="0.25">
      <c r="I2028" s="26"/>
      <c r="J2028" s="4"/>
    </row>
    <row r="2029" spans="1:10" x14ac:dyDescent="0.25">
      <c r="J2029" s="4"/>
    </row>
    <row r="2030" spans="1:10" x14ac:dyDescent="0.25">
      <c r="I2030" s="26"/>
    </row>
    <row r="2031" spans="1:10" x14ac:dyDescent="0.25">
      <c r="I2031" s="26"/>
    </row>
    <row r="2032" spans="1:10" x14ac:dyDescent="0.25">
      <c r="I2032" s="26"/>
    </row>
    <row r="2033" spans="9:10" x14ac:dyDescent="0.25">
      <c r="I2033" s="26"/>
    </row>
    <row r="2034" spans="9:10" x14ac:dyDescent="0.25">
      <c r="I2034" s="26"/>
    </row>
    <row r="2035" spans="9:10" x14ac:dyDescent="0.25">
      <c r="I2035" s="26"/>
      <c r="J2035" s="4"/>
    </row>
    <row r="2036" spans="9:10" x14ac:dyDescent="0.25">
      <c r="I2036" s="26"/>
    </row>
    <row r="2037" spans="9:10" x14ac:dyDescent="0.25">
      <c r="J2037" s="4"/>
    </row>
    <row r="2038" spans="9:10" x14ac:dyDescent="0.25">
      <c r="I2038" s="26"/>
      <c r="J2038" s="4"/>
    </row>
    <row r="2039" spans="9:10" x14ac:dyDescent="0.25">
      <c r="I2039" s="26"/>
      <c r="J2039" s="4"/>
    </row>
    <row r="2040" spans="9:10" x14ac:dyDescent="0.25">
      <c r="I2040" s="26"/>
    </row>
    <row r="2041" spans="9:10" x14ac:dyDescent="0.25">
      <c r="I2041" s="26"/>
      <c r="J2041" s="4"/>
    </row>
    <row r="2043" spans="9:10" x14ac:dyDescent="0.25">
      <c r="I2043" s="26"/>
      <c r="J2043" s="4"/>
    </row>
    <row r="2044" spans="9:10" x14ac:dyDescent="0.25">
      <c r="I2044" s="26"/>
    </row>
    <row r="2046" spans="9:10" x14ac:dyDescent="0.25">
      <c r="I2046" s="26"/>
    </row>
    <row r="2047" spans="9:10" x14ac:dyDescent="0.25">
      <c r="I2047" s="26"/>
    </row>
    <row r="2048" spans="9:10" x14ac:dyDescent="0.25">
      <c r="I2048" s="26"/>
    </row>
    <row r="2049" spans="9:10" x14ac:dyDescent="0.25">
      <c r="I2049" s="26"/>
    </row>
    <row r="2050" spans="9:10" x14ac:dyDescent="0.25">
      <c r="I2050" s="26"/>
    </row>
    <row r="2051" spans="9:10" x14ac:dyDescent="0.25">
      <c r="I2051" s="26"/>
    </row>
    <row r="2052" spans="9:10" x14ac:dyDescent="0.25">
      <c r="I2052" s="26"/>
    </row>
    <row r="2053" spans="9:10" x14ac:dyDescent="0.25">
      <c r="I2053" s="26"/>
    </row>
    <row r="2054" spans="9:10" x14ac:dyDescent="0.25">
      <c r="J2054" s="4"/>
    </row>
    <row r="2055" spans="9:10" x14ac:dyDescent="0.25">
      <c r="I2055" s="26"/>
      <c r="J2055" s="4"/>
    </row>
    <row r="2056" spans="9:10" x14ac:dyDescent="0.25">
      <c r="I2056" s="26"/>
    </row>
    <row r="2058" spans="9:10" x14ac:dyDescent="0.25">
      <c r="I2058" s="26"/>
    </row>
    <row r="2059" spans="9:10" x14ac:dyDescent="0.25">
      <c r="I2059" s="26"/>
      <c r="J2059" s="4"/>
    </row>
    <row r="2061" spans="9:10" x14ac:dyDescent="0.25">
      <c r="I2061" s="26"/>
    </row>
    <row r="2062" spans="9:10" x14ac:dyDescent="0.25">
      <c r="I2062" s="26"/>
    </row>
    <row r="2063" spans="9:10" x14ac:dyDescent="0.25">
      <c r="I2063" s="26"/>
    </row>
    <row r="2064" spans="9:10" x14ac:dyDescent="0.25">
      <c r="I2064" s="26"/>
      <c r="J2064" s="4"/>
    </row>
    <row r="2065" spans="9:10" x14ac:dyDescent="0.25">
      <c r="I2065" s="26"/>
    </row>
    <row r="2066" spans="9:10" x14ac:dyDescent="0.25">
      <c r="I2066" s="26"/>
    </row>
    <row r="2067" spans="9:10" x14ac:dyDescent="0.25">
      <c r="I2067" s="26"/>
    </row>
    <row r="2068" spans="9:10" x14ac:dyDescent="0.25">
      <c r="I2068" s="26"/>
    </row>
    <row r="2069" spans="9:10" x14ac:dyDescent="0.25">
      <c r="I2069" s="26"/>
      <c r="J2069" s="4"/>
    </row>
    <row r="2070" spans="9:10" x14ac:dyDescent="0.25">
      <c r="I2070" s="26"/>
    </row>
    <row r="2071" spans="9:10" x14ac:dyDescent="0.25">
      <c r="I2071" s="26"/>
    </row>
    <row r="2072" spans="9:10" x14ac:dyDescent="0.25">
      <c r="I2072" s="26"/>
    </row>
    <row r="2073" spans="9:10" x14ac:dyDescent="0.25">
      <c r="I2073" s="26"/>
    </row>
    <row r="2074" spans="9:10" x14ac:dyDescent="0.25">
      <c r="I2074" s="26"/>
    </row>
    <row r="2075" spans="9:10" x14ac:dyDescent="0.25">
      <c r="I2075" s="26"/>
    </row>
    <row r="2076" spans="9:10" x14ac:dyDescent="0.25">
      <c r="I2076" s="26"/>
    </row>
    <row r="2077" spans="9:10" x14ac:dyDescent="0.25">
      <c r="I2077" s="26"/>
    </row>
    <row r="2078" spans="9:10" x14ac:dyDescent="0.25">
      <c r="I2078" s="26"/>
      <c r="J2078" s="4"/>
    </row>
    <row r="2079" spans="9:10" x14ac:dyDescent="0.25">
      <c r="I2079" s="26"/>
      <c r="J2079" s="4"/>
    </row>
    <row r="2080" spans="9:10" x14ac:dyDescent="0.25">
      <c r="I2080" s="26"/>
    </row>
    <row r="2081" spans="9:10" x14ac:dyDescent="0.25">
      <c r="I2081" s="26"/>
    </row>
    <row r="2082" spans="9:10" x14ac:dyDescent="0.25">
      <c r="I2082" s="26"/>
      <c r="J2082" s="4"/>
    </row>
    <row r="2083" spans="9:10" x14ac:dyDescent="0.25">
      <c r="I2083" s="26"/>
    </row>
    <row r="2084" spans="9:10" x14ac:dyDescent="0.25">
      <c r="I2084" s="26"/>
    </row>
    <row r="2085" spans="9:10" x14ac:dyDescent="0.25">
      <c r="I2085" s="26"/>
    </row>
    <row r="2086" spans="9:10" x14ac:dyDescent="0.25">
      <c r="I2086" s="26"/>
    </row>
    <row r="2087" spans="9:10" x14ac:dyDescent="0.25">
      <c r="I2087" s="26"/>
    </row>
    <row r="2088" spans="9:10" x14ac:dyDescent="0.25">
      <c r="I2088" s="26"/>
    </row>
    <row r="2089" spans="9:10" x14ac:dyDescent="0.25">
      <c r="I2089" s="26"/>
    </row>
    <row r="2090" spans="9:10" x14ac:dyDescent="0.25">
      <c r="I2090" s="26"/>
    </row>
    <row r="2091" spans="9:10" x14ac:dyDescent="0.25">
      <c r="I2091" s="26"/>
      <c r="J2091" s="4"/>
    </row>
    <row r="2092" spans="9:10" x14ac:dyDescent="0.25">
      <c r="I2092" s="26"/>
    </row>
    <row r="2093" spans="9:10" x14ac:dyDescent="0.25">
      <c r="I2093" s="26"/>
    </row>
    <row r="2094" spans="9:10" x14ac:dyDescent="0.25">
      <c r="I2094" s="26"/>
    </row>
    <row r="2095" spans="9:10" x14ac:dyDescent="0.25">
      <c r="I2095" s="26"/>
    </row>
    <row r="2096" spans="9:10" x14ac:dyDescent="0.25">
      <c r="I2096" s="26"/>
    </row>
    <row r="2097" spans="9:10" x14ac:dyDescent="0.25">
      <c r="I2097" s="26"/>
    </row>
    <row r="2098" spans="9:10" x14ac:dyDescent="0.25">
      <c r="I2098" s="26"/>
    </row>
    <row r="2099" spans="9:10" x14ac:dyDescent="0.25">
      <c r="I2099" s="26"/>
    </row>
    <row r="2100" spans="9:10" x14ac:dyDescent="0.25">
      <c r="I2100" s="26"/>
      <c r="J2100" s="4"/>
    </row>
    <row r="2101" spans="9:10" x14ac:dyDescent="0.25">
      <c r="I2101" s="26"/>
    </row>
    <row r="2102" spans="9:10" x14ac:dyDescent="0.25">
      <c r="I2102" s="26"/>
      <c r="J2102" s="4"/>
    </row>
    <row r="2103" spans="9:10" x14ac:dyDescent="0.25">
      <c r="J2103" s="4"/>
    </row>
    <row r="2104" spans="9:10" x14ac:dyDescent="0.25">
      <c r="I2104" s="26"/>
    </row>
    <row r="2105" spans="9:10" x14ac:dyDescent="0.25">
      <c r="I2105" s="26"/>
    </row>
    <row r="2106" spans="9:10" x14ac:dyDescent="0.25">
      <c r="I2106" s="26"/>
    </row>
    <row r="2107" spans="9:10" x14ac:dyDescent="0.25">
      <c r="I2107" s="26"/>
    </row>
    <row r="2108" spans="9:10" x14ac:dyDescent="0.25">
      <c r="I2108" s="26"/>
      <c r="J2108" s="4"/>
    </row>
    <row r="2109" spans="9:10" x14ac:dyDescent="0.25">
      <c r="I2109" s="26"/>
      <c r="J2109" s="4"/>
    </row>
    <row r="2110" spans="9:10" x14ac:dyDescent="0.25">
      <c r="I2110" s="26"/>
    </row>
    <row r="2111" spans="9:10" x14ac:dyDescent="0.25">
      <c r="I2111" s="26"/>
    </row>
    <row r="2112" spans="9:10" x14ac:dyDescent="0.25">
      <c r="I2112" s="26"/>
      <c r="J2112" s="4"/>
    </row>
    <row r="2113" spans="9:10" x14ac:dyDescent="0.25">
      <c r="I2113" s="26"/>
    </row>
    <row r="2114" spans="9:10" x14ac:dyDescent="0.25">
      <c r="I2114" s="26"/>
    </row>
    <row r="2115" spans="9:10" x14ac:dyDescent="0.25">
      <c r="I2115" s="26"/>
    </row>
    <row r="2116" spans="9:10" x14ac:dyDescent="0.25">
      <c r="I2116" s="26"/>
      <c r="J2116" s="4"/>
    </row>
    <row r="2117" spans="9:10" x14ac:dyDescent="0.25">
      <c r="I2117" s="26"/>
      <c r="J2117" s="4"/>
    </row>
    <row r="2118" spans="9:10" x14ac:dyDescent="0.25">
      <c r="I2118" s="26"/>
    </row>
    <row r="2119" spans="9:10" x14ac:dyDescent="0.25">
      <c r="I2119" s="26"/>
    </row>
    <row r="2120" spans="9:10" x14ac:dyDescent="0.25">
      <c r="I2120" s="26"/>
    </row>
    <row r="2121" spans="9:10" x14ac:dyDescent="0.25">
      <c r="I2121" s="26"/>
      <c r="J2121" s="4"/>
    </row>
    <row r="2122" spans="9:10" x14ac:dyDescent="0.25">
      <c r="I2122" s="26"/>
    </row>
    <row r="2123" spans="9:10" x14ac:dyDescent="0.25">
      <c r="I2123" s="26"/>
      <c r="J2123" s="4"/>
    </row>
    <row r="2124" spans="9:10" x14ac:dyDescent="0.25">
      <c r="I2124" s="26"/>
      <c r="J2124" s="4"/>
    </row>
    <row r="2125" spans="9:10" x14ac:dyDescent="0.25">
      <c r="I2125" s="26"/>
      <c r="J2125" s="4"/>
    </row>
    <row r="2126" spans="9:10" x14ac:dyDescent="0.25">
      <c r="I2126" s="26"/>
    </row>
    <row r="2127" spans="9:10" x14ac:dyDescent="0.25">
      <c r="I2127" s="26"/>
    </row>
    <row r="2128" spans="9:10" x14ac:dyDescent="0.25">
      <c r="I2128" s="26"/>
      <c r="J2128" s="4"/>
    </row>
    <row r="2129" spans="9:10" x14ac:dyDescent="0.25">
      <c r="I2129" s="26"/>
    </row>
    <row r="2130" spans="9:10" x14ac:dyDescent="0.25">
      <c r="I2130" s="26"/>
    </row>
    <row r="2131" spans="9:10" x14ac:dyDescent="0.25">
      <c r="I2131" s="26"/>
      <c r="J2131" s="4"/>
    </row>
    <row r="2133" spans="9:10" x14ac:dyDescent="0.25">
      <c r="I2133" s="26"/>
    </row>
    <row r="2134" spans="9:10" x14ac:dyDescent="0.25">
      <c r="I2134" s="26"/>
    </row>
    <row r="2135" spans="9:10" x14ac:dyDescent="0.25">
      <c r="I2135" s="26"/>
    </row>
    <row r="2136" spans="9:10" x14ac:dyDescent="0.25">
      <c r="I2136" s="26"/>
    </row>
    <row r="2137" spans="9:10" x14ac:dyDescent="0.25">
      <c r="I2137" s="26"/>
    </row>
    <row r="2138" spans="9:10" x14ac:dyDescent="0.25">
      <c r="I2138" s="26"/>
    </row>
    <row r="2139" spans="9:10" x14ac:dyDescent="0.25">
      <c r="I2139" s="26"/>
    </row>
    <row r="2140" spans="9:10" x14ac:dyDescent="0.25">
      <c r="I2140" s="26"/>
    </row>
    <row r="2141" spans="9:10" x14ac:dyDescent="0.25">
      <c r="I2141" s="26"/>
    </row>
    <row r="2142" spans="9:10" x14ac:dyDescent="0.25">
      <c r="I2142" s="26"/>
    </row>
    <row r="2143" spans="9:10" x14ac:dyDescent="0.25">
      <c r="I2143" s="26"/>
      <c r="J2143" s="4"/>
    </row>
    <row r="2144" spans="9:10" x14ac:dyDescent="0.25">
      <c r="I2144" s="26"/>
      <c r="J2144" s="4"/>
    </row>
    <row r="2145" spans="9:10" x14ac:dyDescent="0.25">
      <c r="I2145" s="26"/>
    </row>
    <row r="2147" spans="9:10" x14ac:dyDescent="0.25">
      <c r="I2147" s="26"/>
    </row>
    <row r="2148" spans="9:10" x14ac:dyDescent="0.25">
      <c r="I2148" s="26"/>
    </row>
    <row r="2149" spans="9:10" x14ac:dyDescent="0.25">
      <c r="I2149" s="26"/>
    </row>
    <row r="2150" spans="9:10" x14ac:dyDescent="0.25">
      <c r="I2150" s="26"/>
    </row>
    <row r="2151" spans="9:10" x14ac:dyDescent="0.25">
      <c r="I2151" s="26"/>
    </row>
    <row r="2152" spans="9:10" x14ac:dyDescent="0.25">
      <c r="I2152" s="26"/>
    </row>
    <row r="2153" spans="9:10" x14ac:dyDescent="0.25">
      <c r="I2153" s="26"/>
    </row>
    <row r="2154" spans="9:10" x14ac:dyDescent="0.25">
      <c r="I2154" s="26"/>
    </row>
    <row r="2155" spans="9:10" x14ac:dyDescent="0.25">
      <c r="I2155" s="26"/>
      <c r="J2155" s="4"/>
    </row>
    <row r="2156" spans="9:10" x14ac:dyDescent="0.25">
      <c r="I2156" s="26"/>
    </row>
    <row r="2157" spans="9:10" x14ac:dyDescent="0.25">
      <c r="I2157" s="26"/>
    </row>
    <row r="2158" spans="9:10" x14ac:dyDescent="0.25">
      <c r="I2158" s="26"/>
    </row>
    <row r="2159" spans="9:10" x14ac:dyDescent="0.25">
      <c r="I2159" s="26"/>
    </row>
    <row r="2160" spans="9:10" x14ac:dyDescent="0.25">
      <c r="J2160" s="4"/>
    </row>
    <row r="2161" spans="1:9" x14ac:dyDescent="0.25">
      <c r="I2161" s="26"/>
    </row>
    <row r="2162" spans="1:9" x14ac:dyDescent="0.25">
      <c r="I2162" s="26"/>
    </row>
    <row r="2163" spans="1:9" x14ac:dyDescent="0.25">
      <c r="I2163" s="26"/>
    </row>
    <row r="2164" spans="1:9" x14ac:dyDescent="0.25">
      <c r="I2164" s="26"/>
    </row>
    <row r="2166" spans="1:9" x14ac:dyDescent="0.25">
      <c r="I2166" s="26"/>
    </row>
    <row r="2167" spans="1:9" x14ac:dyDescent="0.25">
      <c r="I2167" s="26"/>
    </row>
    <row r="2168" spans="1:9" x14ac:dyDescent="0.25">
      <c r="I2168" s="26"/>
    </row>
    <row r="2169" spans="1:9" x14ac:dyDescent="0.25">
      <c r="I2169" s="26"/>
    </row>
    <row r="2170" spans="1:9" x14ac:dyDescent="0.25">
      <c r="I2170" s="26"/>
    </row>
    <row r="2171" spans="1:9" x14ac:dyDescent="0.25">
      <c r="I2171" s="26"/>
    </row>
    <row r="2172" spans="1:9" x14ac:dyDescent="0.25">
      <c r="I2172" s="26"/>
    </row>
    <row r="2173" spans="1:9" x14ac:dyDescent="0.25">
      <c r="I2173" s="26"/>
    </row>
    <row r="2174" spans="1:9" x14ac:dyDescent="0.25">
      <c r="I2174" s="26"/>
    </row>
    <row r="2176" spans="1:9" x14ac:dyDescent="0.25">
      <c r="A2176" s="25"/>
      <c r="I2176" s="26"/>
    </row>
    <row r="2177" spans="9:10" x14ac:dyDescent="0.25">
      <c r="I2177" s="26"/>
      <c r="J2177" s="4"/>
    </row>
    <row r="2178" spans="9:10" x14ac:dyDescent="0.25">
      <c r="I2178" s="26"/>
    </row>
    <row r="2179" spans="9:10" x14ac:dyDescent="0.25">
      <c r="I2179" s="26"/>
      <c r="J2179" s="4"/>
    </row>
    <row r="2180" spans="9:10" x14ac:dyDescent="0.25">
      <c r="I2180" s="26"/>
    </row>
    <row r="2181" spans="9:10" x14ac:dyDescent="0.25">
      <c r="I2181" s="26"/>
    </row>
    <row r="2182" spans="9:10" x14ac:dyDescent="0.25">
      <c r="I2182" s="26"/>
    </row>
    <row r="2183" spans="9:10" x14ac:dyDescent="0.25">
      <c r="I2183" s="26"/>
      <c r="J2183" s="4"/>
    </row>
    <row r="2184" spans="9:10" x14ac:dyDescent="0.25">
      <c r="I2184" s="26"/>
      <c r="J2184" s="4"/>
    </row>
    <row r="2185" spans="9:10" x14ac:dyDescent="0.25">
      <c r="I2185" s="26"/>
    </row>
    <row r="2186" spans="9:10" x14ac:dyDescent="0.25">
      <c r="I2186" s="26"/>
    </row>
    <row r="2187" spans="9:10" x14ac:dyDescent="0.25">
      <c r="I2187" s="26"/>
    </row>
    <row r="2188" spans="9:10" x14ac:dyDescent="0.25">
      <c r="I2188" s="26"/>
    </row>
  </sheetData>
  <sortState ref="A2:Z1077">
    <sortCondition ref="I2:I1077"/>
    <sortCondition ref="T2:T1077"/>
  </sortState>
  <hyperlinks>
    <hyperlink ref="V711" display="researchgate.net/profile/Haifeng_Qian4"/>
    <hyperlink ref="V1025" r:id="rId1" display="https://www.researchgate.net/profile/Thomas_Sanchez"/>
    <hyperlink ref="X1025" r:id="rId2" display="www.linkedin.com/in/tomwsanchez"/>
    <hyperlink ref="Y1025" r:id="rId3" display="www.twitter.com/tomwsanchez"/>
    <hyperlink ref="Z1025" r:id="rId4" display="www.tomwsanchez.com/"/>
    <hyperlink ref="V3" r:id="rId5" display="https://www.researchgate.net/profile/Berneece_Herbert"/>
    <hyperlink ref="V6" r:id="rId6" display="https://www.researchgate.net/profile/Jacob_Oluwoye"/>
    <hyperlink ref="X6" r:id="rId7" display="https://www.linkedin.com/in/jacob-oluwoye-b3965440"/>
    <hyperlink ref="V13" r:id="rId8" display="https://www.researchgate.net/profile/Kelli_Larson"/>
    <hyperlink ref="V685" r:id="rId9"/>
    <hyperlink ref="V696" r:id="rId10"/>
    <hyperlink ref="X685" r:id="rId11"/>
    <hyperlink ref="H302" r:id="rId12"/>
    <hyperlink ref="H199" r:id="rId13"/>
    <hyperlink ref="H316" r:id="rId14"/>
    <hyperlink ref="H275" r:id="rId15"/>
    <hyperlink ref="H241" r:id="rId16"/>
    <hyperlink ref="H139" r:id="rId17"/>
    <hyperlink ref="H861" r:id="rId18"/>
    <hyperlink ref="H178" r:id="rId19"/>
    <hyperlink ref="H56" r:id="rId20"/>
    <hyperlink ref="H588" r:id="rId21"/>
    <hyperlink ref="H446" r:id="rId22"/>
    <hyperlink ref="H394" r:id="rId23"/>
    <hyperlink ref="H888" r:id="rId24"/>
    <hyperlink ref="H545" r:id="rId25"/>
    <hyperlink ref="H984" r:id="rId26"/>
    <hyperlink ref="H46" r:id="rId27"/>
    <hyperlink ref="H294" r:id="rId28"/>
    <hyperlink ref="H204" r:id="rId29"/>
    <hyperlink ref="H38" r:id="rId30"/>
    <hyperlink ref="H233" r:id="rId31"/>
    <hyperlink ref="H775" r:id="rId32"/>
    <hyperlink ref="H496" r:id="rId33"/>
    <hyperlink ref="H927" r:id="rId34"/>
    <hyperlink ref="H427" r:id="rId35"/>
    <hyperlink ref="H633" r:id="rId36"/>
    <hyperlink ref="H165" r:id="rId37"/>
    <hyperlink ref="H699" r:id="rId38"/>
    <hyperlink ref="H942" r:id="rId39"/>
    <hyperlink ref="H625" r:id="rId40"/>
    <hyperlink ref="H523" r:id="rId41"/>
    <hyperlink ref="H265" r:id="rId42"/>
    <hyperlink ref="H155" r:id="rId43"/>
    <hyperlink ref="H142" r:id="rId44"/>
    <hyperlink ref="H466" r:id="rId45"/>
    <hyperlink ref="H390" r:id="rId46"/>
    <hyperlink ref="H243" r:id="rId47"/>
    <hyperlink ref="H111" r:id="rId48"/>
    <hyperlink ref="H257" r:id="rId49"/>
    <hyperlink ref="H735" r:id="rId50"/>
    <hyperlink ref="H579" r:id="rId51"/>
    <hyperlink ref="H696" r:id="rId52"/>
    <hyperlink ref="H582" r:id="rId53"/>
    <hyperlink ref="H369" r:id="rId54"/>
    <hyperlink ref="H556" r:id="rId55"/>
    <hyperlink ref="H979" r:id="rId56"/>
    <hyperlink ref="H626" r:id="rId57"/>
    <hyperlink ref="H824" r:id="rId58"/>
    <hyperlink ref="H285" r:id="rId59"/>
    <hyperlink ref="H322" r:id="rId60"/>
    <hyperlink ref="H705" r:id="rId61"/>
    <hyperlink ref="H902" r:id="rId62"/>
    <hyperlink ref="H714" r:id="rId63"/>
    <hyperlink ref="H868" r:id="rId64"/>
    <hyperlink ref="H240" r:id="rId65"/>
    <hyperlink ref="H963" r:id="rId66"/>
    <hyperlink ref="H74" r:id="rId67"/>
    <hyperlink ref="H506" r:id="rId68"/>
    <hyperlink ref="H416" r:id="rId69"/>
    <hyperlink ref="H145" r:id="rId70"/>
    <hyperlink ref="H820" r:id="rId71" display="https://scholar.google.com/citations?user=qDjmiRoAAAAJ&amp;hl=en&amp;authuser=2"/>
    <hyperlink ref="H432" r:id="rId72"/>
    <hyperlink ref="H555" r:id="rId73"/>
    <hyperlink ref="H701" r:id="rId74"/>
    <hyperlink ref="H110" r:id="rId75"/>
    <hyperlink ref="H788" r:id="rId76"/>
    <hyperlink ref="H170" r:id="rId77"/>
    <hyperlink ref="H464" r:id="rId78"/>
    <hyperlink ref="H876" r:id="rId79"/>
    <hyperlink ref="H1034" r:id="rId80" display="https://scholar.google.com/citations?user=RjhjeEEAAAAJ&amp;hl=en&amp;authuser=2"/>
    <hyperlink ref="H623" r:id="rId81"/>
    <hyperlink ref="H622" r:id="rId82" display="https://scholar.google.com/citations?user=JYxqf2gAAAAJ&amp;hl=en&amp;authuser=2"/>
    <hyperlink ref="H971" r:id="rId83"/>
    <hyperlink ref="H736" r:id="rId84"/>
    <hyperlink ref="H421" r:id="rId85"/>
    <hyperlink ref="H454" r:id="rId86"/>
    <hyperlink ref="H872" r:id="rId87"/>
    <hyperlink ref="H507" r:id="rId88"/>
    <hyperlink ref="H129" r:id="rId89"/>
    <hyperlink ref="H543" r:id="rId90"/>
    <hyperlink ref="H327" r:id="rId91"/>
    <hyperlink ref="H524" r:id="rId92"/>
    <hyperlink ref="H570" r:id="rId93"/>
    <hyperlink ref="H1014" r:id="rId94"/>
    <hyperlink ref="H366" r:id="rId95"/>
    <hyperlink ref="H458" r:id="rId96"/>
    <hyperlink ref="H719" r:id="rId97"/>
    <hyperlink ref="H554" r:id="rId98"/>
    <hyperlink ref="H798" r:id="rId99"/>
    <hyperlink ref="H465" r:id="rId100" display="https://scholar.google.com/citations?user=YmyOoaYAAAAJ&amp;hl=en&amp;authuser=2"/>
    <hyperlink ref="H704" r:id="rId101"/>
    <hyperlink ref="H618" r:id="rId102"/>
    <hyperlink ref="H936" r:id="rId103"/>
    <hyperlink ref="H18" r:id="rId104"/>
    <hyperlink ref="H748" r:id="rId105"/>
    <hyperlink ref="H442" r:id="rId106"/>
    <hyperlink ref="H1019" r:id="rId107" display="https://scholar.google.com/citations?user=l_KyksEAAAAJ&amp;hl=en&amp;authuser=2"/>
    <hyperlink ref="H611" r:id="rId108"/>
    <hyperlink ref="H474" r:id="rId109"/>
    <hyperlink ref="H232" r:id="rId110"/>
    <hyperlink ref="H323" r:id="rId111"/>
    <hyperlink ref="H444" r:id="rId112"/>
    <hyperlink ref="H234" r:id="rId113"/>
    <hyperlink ref="H722" r:id="rId114"/>
    <hyperlink ref="H11" r:id="rId115"/>
    <hyperlink ref="H983" r:id="rId116"/>
    <hyperlink ref="H851" r:id="rId117" display="https://scholar.google.com/citations?user=6EYtzVEAAAAJ&amp;hl=en&amp;authuser=2"/>
    <hyperlink ref="H17" r:id="rId118"/>
    <hyperlink ref="H728" r:id="rId119"/>
    <hyperlink ref="H350" r:id="rId120"/>
    <hyperlink ref="H203" r:id="rId121"/>
    <hyperlink ref="H420" r:id="rId122"/>
    <hyperlink ref="H376" r:id="rId123"/>
    <hyperlink ref="H501" r:id="rId124"/>
    <hyperlink ref="H16" r:id="rId125"/>
    <hyperlink ref="H153" r:id="rId126"/>
    <hyperlink ref="H931" r:id="rId127"/>
    <hyperlink ref="H1039" r:id="rId128"/>
    <hyperlink ref="H767" r:id="rId129"/>
    <hyperlink ref="H1004" r:id="rId130"/>
    <hyperlink ref="H831" r:id="rId131"/>
    <hyperlink ref="H436" r:id="rId132"/>
    <hyperlink ref="H744" r:id="rId133"/>
    <hyperlink ref="H998" r:id="rId134"/>
    <hyperlink ref="H462" r:id="rId135"/>
    <hyperlink ref="H20" r:id="rId136"/>
    <hyperlink ref="H83" r:id="rId137"/>
    <hyperlink ref="H1012" r:id="rId138"/>
    <hyperlink ref="H514" r:id="rId139"/>
    <hyperlink ref="H994" r:id="rId140"/>
    <hyperlink ref="H552" r:id="rId141"/>
    <hyperlink ref="H226" r:id="rId142"/>
    <hyperlink ref="H411" r:id="rId143"/>
    <hyperlink ref="H120" r:id="rId144"/>
    <hyperlink ref="H236" r:id="rId145"/>
    <hyperlink ref="H66" r:id="rId146"/>
    <hyperlink ref="H213" r:id="rId147"/>
    <hyperlink ref="H840" r:id="rId148"/>
    <hyperlink ref="H563" r:id="rId149"/>
    <hyperlink ref="H838" r:id="rId150"/>
    <hyperlink ref="H208" r:id="rId151"/>
    <hyperlink ref="H875" r:id="rId152"/>
    <hyperlink ref="H487" r:id="rId153"/>
    <hyperlink ref="H387" r:id="rId154"/>
    <hyperlink ref="H702" r:id="rId155"/>
    <hyperlink ref="H542" r:id="rId156"/>
    <hyperlink ref="H424" r:id="rId157"/>
    <hyperlink ref="H837" r:id="rId158"/>
    <hyperlink ref="H548" r:id="rId159"/>
    <hyperlink ref="H721" r:id="rId160"/>
    <hyperlink ref="H228" r:id="rId161"/>
    <hyperlink ref="H425" r:id="rId162"/>
    <hyperlink ref="H670" r:id="rId163" display="https://scholar.google.com/citations?user=pxMRFR4AAAAJ&amp;hl=en&amp;authuser=2"/>
    <hyperlink ref="H1005" r:id="rId164"/>
    <hyperlink ref="H583" r:id="rId165"/>
    <hyperlink ref="H180" r:id="rId166"/>
    <hyperlink ref="H540" r:id="rId167"/>
    <hyperlink ref="H999" r:id="rId168"/>
    <hyperlink ref="H849" r:id="rId169" display="https://scholar.google.com/citations?user=Y-Ne1ugAAAAJ&amp;hl=en&amp;authuser=2"/>
    <hyperlink ref="H429" r:id="rId170"/>
    <hyperlink ref="H742" r:id="rId171"/>
    <hyperlink ref="H434" r:id="rId172"/>
    <hyperlink ref="H371" r:id="rId173"/>
    <hyperlink ref="H192" r:id="rId174"/>
    <hyperlink ref="H308" r:id="rId175"/>
    <hyperlink ref="H1055" r:id="rId176"/>
    <hyperlink ref="H278" r:id="rId177"/>
    <hyperlink ref="H941" r:id="rId178"/>
    <hyperlink ref="H711" r:id="rId179"/>
    <hyperlink ref="H762" r:id="rId180"/>
    <hyperlink ref="H980" r:id="rId181"/>
    <hyperlink ref="H373" r:id="rId182"/>
    <hyperlink ref="H954" r:id="rId183"/>
    <hyperlink ref="H741" r:id="rId184"/>
    <hyperlink ref="H258" r:id="rId185" display="https://scholar.google.com/citations?user=-GG7MfEAAAAJ&amp;hl=en&amp;authuser=2"/>
    <hyperlink ref="H536" r:id="rId186"/>
    <hyperlink ref="H881" r:id="rId187"/>
    <hyperlink ref="H490" r:id="rId188"/>
    <hyperlink ref="H352" r:id="rId189" display="https://scholar.google.com/citations?user=1DMN1tcAAAAJ&amp;hl=en&amp;authuser=2"/>
    <hyperlink ref="H6" r:id="rId190"/>
    <hyperlink ref="H795" r:id="rId191"/>
    <hyperlink ref="H895" r:id="rId192" display="https://scholar.google.com/citations?user=BG5iIkoAAAAJ&amp;hl=en&amp;authuser=2"/>
    <hyperlink ref="H982" r:id="rId193"/>
    <hyperlink ref="H5" r:id="rId194"/>
    <hyperlink ref="H68" r:id="rId195"/>
    <hyperlink ref="H612" r:id="rId196"/>
    <hyperlink ref="H959" r:id="rId197"/>
    <hyperlink ref="H179" r:id="rId198"/>
    <hyperlink ref="H237" r:id="rId199"/>
    <hyperlink ref="H730" r:id="rId200"/>
    <hyperlink ref="H783" r:id="rId201"/>
    <hyperlink ref="H252" r:id="rId202"/>
    <hyperlink ref="H459" r:id="rId203"/>
    <hyperlink ref="H921" r:id="rId204"/>
    <hyperlink ref="H367" r:id="rId205"/>
    <hyperlink ref="H292" r:id="rId206"/>
    <hyperlink ref="H24" r:id="rId207"/>
    <hyperlink ref="H541" r:id="rId208"/>
    <hyperlink ref="H345" r:id="rId209"/>
    <hyperlink ref="H547" r:id="rId210"/>
    <hyperlink ref="H532" r:id="rId211"/>
    <hyperlink ref="H569" r:id="rId212"/>
    <hyperlink ref="H279" r:id="rId213"/>
    <hyperlink ref="H406" r:id="rId214"/>
    <hyperlink ref="H435" r:id="rId215"/>
    <hyperlink ref="H137" r:id="rId216"/>
    <hyperlink ref="H962" r:id="rId217"/>
    <hyperlink ref="H298" r:id="rId218"/>
    <hyperlink ref="H468" r:id="rId219"/>
    <hyperlink ref="H423" r:id="rId220"/>
    <hyperlink ref="H624" r:id="rId221"/>
    <hyperlink ref="H974" r:id="rId222"/>
    <hyperlink ref="H789" r:id="rId223"/>
    <hyperlink ref="H261" r:id="rId224"/>
    <hyperlink ref="H125" r:id="rId225"/>
    <hyperlink ref="H289" r:id="rId226"/>
    <hyperlink ref="H282" r:id="rId227"/>
    <hyperlink ref="H101" r:id="rId228"/>
    <hyperlink ref="H250" r:id="rId229"/>
    <hyperlink ref="H558" r:id="rId230"/>
    <hyperlink ref="H70" r:id="rId231"/>
    <hyperlink ref="H132" r:id="rId232"/>
    <hyperlink ref="H63" r:id="rId233"/>
    <hyperlink ref="H720" r:id="rId234"/>
    <hyperlink ref="H630" r:id="rId235"/>
    <hyperlink ref="H870" r:id="rId236"/>
    <hyperlink ref="H770" r:id="rId237"/>
    <hyperlink ref="H772" r:id="rId238"/>
    <hyperlink ref="H386" r:id="rId239"/>
    <hyperlink ref="H377" r:id="rId240"/>
    <hyperlink ref="H592" r:id="rId241"/>
    <hyperlink ref="H1003" r:id="rId242"/>
    <hyperlink ref="H230" r:id="rId243"/>
    <hyperlink ref="H682" r:id="rId244"/>
    <hyperlink ref="H771" r:id="rId245"/>
    <hyperlink ref="H448" r:id="rId246"/>
    <hyperlink ref="H929" r:id="rId247"/>
    <hyperlink ref="H778" r:id="rId248"/>
    <hyperlink ref="H887" r:id="rId249"/>
    <hyperlink ref="H450" r:id="rId250"/>
    <hyperlink ref="H244" r:id="rId251"/>
    <hyperlink ref="H920" r:id="rId252"/>
    <hyperlink ref="H301" r:id="rId253"/>
    <hyperlink ref="H383" r:id="rId254"/>
    <hyperlink ref="H668" r:id="rId255"/>
    <hyperlink ref="H663" r:id="rId256"/>
    <hyperlink ref="H335" r:id="rId257"/>
    <hyperlink ref="H637" r:id="rId258"/>
    <hyperlink ref="H1013" r:id="rId259"/>
    <hyperlink ref="H787" r:id="rId260"/>
    <hyperlink ref="H930" r:id="rId261"/>
    <hyperlink ref="H337" r:id="rId262"/>
    <hyperlink ref="H13" r:id="rId263"/>
    <hyperlink ref="H724" r:id="rId264"/>
    <hyperlink ref="H492" r:id="rId265"/>
    <hyperlink ref="H84" r:id="rId266"/>
    <hyperlink ref="H768" r:id="rId267"/>
    <hyperlink ref="H716" r:id="rId268"/>
    <hyperlink ref="H580" r:id="rId269"/>
    <hyperlink ref="H568" r:id="rId270"/>
    <hyperlink ref="H864" r:id="rId271"/>
    <hyperlink ref="H1057" r:id="rId272"/>
    <hyperlink ref="H760" r:id="rId273"/>
    <hyperlink ref="H80" r:id="rId274"/>
    <hyperlink ref="H769" r:id="rId275"/>
    <hyperlink ref="H805" r:id="rId276" display="https://scholar.google.com/citations?user=vhnVsuwAAAAJ&amp;hl=en&amp;authuser=2"/>
    <hyperlink ref="H349" r:id="rId277"/>
    <hyperlink ref="H212" r:id="rId278"/>
    <hyperlink ref="H1075" r:id="rId279"/>
    <hyperlink ref="H867" r:id="rId280"/>
    <hyperlink ref="H245" r:id="rId281"/>
    <hyperlink ref="H82" r:id="rId282"/>
    <hyperlink ref="H970" r:id="rId283"/>
    <hyperlink ref="H571" r:id="rId284"/>
    <hyperlink ref="H586" r:id="rId285"/>
    <hyperlink ref="H766" r:id="rId286"/>
    <hyperlink ref="H669" r:id="rId287" display="https://scholar.google.com/citations?user=d9KrbTsAAAAJ&amp;hl=en&amp;authuser=2"/>
    <hyperlink ref="H310" r:id="rId288"/>
    <hyperlink ref="H98" r:id="rId289"/>
    <hyperlink ref="H297" r:id="rId290"/>
    <hyperlink ref="H1007" r:id="rId291"/>
    <hyperlink ref="H505" r:id="rId292"/>
    <hyperlink ref="H671" r:id="rId293"/>
    <hyperlink ref="H122" r:id="rId294"/>
    <hyperlink ref="H710" r:id="rId295"/>
    <hyperlink ref="H967" r:id="rId296"/>
    <hyperlink ref="H408" r:id="rId297" display="https://scholar.google.com/citations?user=trL3_roAAAAJ&amp;hl=en&amp;authuser=2"/>
    <hyperlink ref="H196" r:id="rId298"/>
    <hyperlink ref="H597" r:id="rId299"/>
    <hyperlink ref="H1021" r:id="rId300"/>
    <hyperlink ref="H879" r:id="rId301"/>
    <hyperlink ref="H516" r:id="rId302"/>
    <hyperlink ref="H576" r:id="rId303" display="https://scholar.google.com/citations?user=g2lYgo0AAAAJ&amp;hl=en&amp;authuser=2"/>
    <hyperlink ref="H549" r:id="rId304"/>
    <hyperlink ref="H697" r:id="rId305"/>
    <hyperlink ref="H834" r:id="rId306"/>
    <hyperlink ref="H852" r:id="rId307" display="https://scholar.google.com/citations?user=cFcDO2wAAAAJ&amp;hl=en&amp;authuser=2"/>
    <hyperlink ref="H283" r:id="rId308"/>
    <hyperlink ref="H884" r:id="rId309"/>
    <hyperlink ref="H483" r:id="rId310"/>
    <hyperlink ref="H225" r:id="rId311"/>
    <hyperlink ref="H947" r:id="rId312"/>
    <hyperlink ref="H311" r:id="rId313"/>
    <hyperlink ref="H817" r:id="rId314"/>
    <hyperlink ref="H957" r:id="rId315"/>
    <hyperlink ref="H388" r:id="rId316"/>
    <hyperlink ref="H776" r:id="rId317"/>
    <hyperlink ref="H972" r:id="rId318"/>
    <hyperlink ref="H996" r:id="rId319"/>
    <hyperlink ref="H473" r:id="rId320"/>
    <hyperlink ref="H1067" r:id="rId321"/>
    <hyperlink ref="H1002" r:id="rId322"/>
    <hyperlink ref="H960" r:id="rId323"/>
    <hyperlink ref="H698" r:id="rId324"/>
    <hyperlink ref="H1042" r:id="rId325"/>
    <hyperlink ref="H361" r:id="rId326"/>
    <hyperlink ref="H291" r:id="rId327"/>
    <hyperlink ref="H469" r:id="rId328"/>
    <hyperlink ref="H8" r:id="rId329"/>
    <hyperlink ref="H521" r:id="rId330"/>
    <hyperlink ref="H1041" r:id="rId331"/>
    <hyperlink ref="H303" r:id="rId332"/>
    <hyperlink ref="H844" r:id="rId333"/>
    <hyperlink ref="H1011" r:id="rId334"/>
    <hyperlink ref="H339" r:id="rId335"/>
    <hyperlink ref="H35" r:id="rId336"/>
    <hyperlink ref="H964" r:id="rId337"/>
    <hyperlink ref="H131" r:id="rId338"/>
    <hyperlink ref="H791" r:id="rId339"/>
    <hyperlink ref="H12" r:id="rId340" display="https://scholar.google.com/citations?user=nGcuwnMAAAAJ&amp;hl=en&amp;authuser=2"/>
    <hyperlink ref="H594" r:id="rId341"/>
    <hyperlink ref="H495" r:id="rId342" display="https://scholar.google.com/citations?user=BNAax5UAAAAJ&amp;hl=en&amp;authuser=2"/>
    <hyperlink ref="H497" r:id="rId343"/>
    <hyperlink ref="H340" r:id="rId344"/>
    <hyperlink ref="H504" r:id="rId345"/>
    <hyperlink ref="H65" r:id="rId346"/>
    <hyperlink ref="H100" r:id="rId347"/>
    <hyperlink ref="H898" r:id="rId348"/>
    <hyperlink ref="H422" r:id="rId349"/>
    <hyperlink ref="H59" r:id="rId350"/>
    <hyperlink ref="H109" r:id="rId351"/>
    <hyperlink ref="H269" r:id="rId352"/>
    <hyperlink ref="H253" r:id="rId353"/>
    <hyperlink ref="H804" r:id="rId354"/>
    <hyperlink ref="H175" r:id="rId355"/>
    <hyperlink ref="H182" r:id="rId356"/>
    <hyperlink ref="H268" r:id="rId357"/>
    <hyperlink ref="H306" r:id="rId358"/>
    <hyperlink ref="H691" r:id="rId359"/>
    <hyperlink ref="H286" r:id="rId360"/>
    <hyperlink ref="H150" r:id="rId361"/>
    <hyperlink ref="H94" r:id="rId362"/>
    <hyperlink ref="H485" r:id="rId363"/>
    <hyperlink ref="H690" r:id="rId364"/>
    <hyperlink ref="H511" r:id="rId365"/>
    <hyperlink ref="H356" r:id="rId366"/>
    <hyperlink ref="H136" r:id="rId367"/>
    <hyperlink ref="H515" r:id="rId368"/>
    <hyperlink ref="H732" r:id="rId369"/>
    <hyperlink ref="H498" r:id="rId370"/>
    <hyperlink ref="H360" r:id="rId371"/>
    <hyperlink ref="H320" r:id="rId372"/>
    <hyperlink ref="H896" r:id="rId373"/>
    <hyperlink ref="H600" r:id="rId374"/>
    <hyperlink ref="H922" r:id="rId375"/>
    <hyperlink ref="H530" r:id="rId376"/>
    <hyperlink ref="H500" r:id="rId377"/>
    <hyperlink ref="H271" r:id="rId378"/>
    <hyperlink ref="H467" r:id="rId379"/>
    <hyperlink ref="H533" r:id="rId380"/>
    <hyperlink ref="H207" r:id="rId381"/>
    <hyperlink ref="H148" r:id="rId382"/>
    <hyperlink ref="H130" r:id="rId383"/>
    <hyperlink ref="H679" r:id="rId384"/>
    <hyperlink ref="H585" r:id="rId385"/>
    <hyperlink ref="H965" r:id="rId386"/>
    <hyperlink ref="H958" r:id="rId387"/>
    <hyperlink ref="H437" r:id="rId388"/>
    <hyperlink ref="H949" r:id="rId389"/>
    <hyperlink ref="H288" r:id="rId390"/>
    <hyperlink ref="H445" r:id="rId391"/>
    <hyperlink ref="H358" r:id="rId392"/>
    <hyperlink ref="H1020" r:id="rId393"/>
    <hyperlink ref="H1022" r:id="rId394"/>
    <hyperlink ref="H488" r:id="rId395"/>
    <hyperlink ref="H140" r:id="rId396"/>
    <hyperlink ref="H215" r:id="rId397"/>
    <hyperlink ref="H26" r:id="rId398"/>
    <hyperlink ref="H932" r:id="rId399"/>
    <hyperlink ref="H107" r:id="rId400"/>
    <hyperlink ref="H987" r:id="rId401"/>
    <hyperlink ref="H774" r:id="rId402"/>
    <hyperlink ref="H202" r:id="rId403"/>
    <hyperlink ref="H51" r:id="rId404"/>
    <hyperlink ref="H575" r:id="rId405"/>
    <hyperlink ref="H1060" r:id="rId406"/>
    <hyperlink ref="H415" r:id="rId407"/>
    <hyperlink ref="H431" r:id="rId408"/>
    <hyperlink ref="H763" r:id="rId409"/>
    <hyperlink ref="H764" r:id="rId410"/>
    <hyperlink ref="H332" r:id="rId411"/>
    <hyperlink ref="H703" r:id="rId412"/>
    <hyperlink ref="H517" r:id="rId413"/>
    <hyperlink ref="H874" r:id="rId414"/>
    <hyperlink ref="H484" r:id="rId415"/>
    <hyperlink ref="H77" r:id="rId416" display="https://scholar.google.com/citations?user=0zKTrQcAAAAJ&amp;hl=en&amp;authuser=2"/>
    <hyperlink ref="H544" r:id="rId417"/>
    <hyperlink ref="H655" r:id="rId418"/>
    <hyperlink ref="H848" r:id="rId419" display="https://scholar.google.com/citations?user=83x28PgAAAAJ&amp;hl=en&amp;authuser=2"/>
    <hyperlink ref="H254" r:id="rId420"/>
    <hyperlink ref="H560" r:id="rId421"/>
    <hyperlink ref="H414" r:id="rId422"/>
    <hyperlink ref="H71" r:id="rId423"/>
    <hyperlink ref="H566" r:id="rId424"/>
    <hyperlink ref="H934" r:id="rId425"/>
    <hyperlink ref="H827" r:id="rId426"/>
    <hyperlink ref="H757" r:id="rId427"/>
    <hyperlink ref="H712" r:id="rId428"/>
    <hyperlink ref="H531" r:id="rId429"/>
    <hyperlink ref="H1024" r:id="rId430"/>
    <hyperlink ref="H430" r:id="rId431"/>
    <hyperlink ref="H452" r:id="rId432"/>
    <hyperlink ref="H397" r:id="rId433"/>
    <hyperlink ref="H882" r:id="rId434"/>
    <hyperlink ref="H453" r:id="rId435"/>
    <hyperlink ref="H740" r:id="rId436"/>
    <hyperlink ref="H717" r:id="rId437"/>
    <hyperlink ref="H700" r:id="rId438"/>
    <hyperlink ref="H790" r:id="rId439"/>
    <hyperlink ref="H75" r:id="rId440"/>
    <hyperlink ref="H873" r:id="rId441"/>
    <hyperlink ref="H933" r:id="rId442"/>
    <hyperlink ref="H1023" r:id="rId443" display="https://scholar.google.com/citations?user=HLK7uAkAAAAJ&amp;hl=en&amp;authuser=2"/>
    <hyperlink ref="H344" r:id="rId444"/>
    <hyperlink ref="H725" r:id="rId445"/>
    <hyperlink ref="H713" r:id="rId446" display="https://scholar.google.com/citations?user=fzDyhcgAAAAJ&amp;hl=en&amp;authuser=2"/>
    <hyperlink ref="H9" r:id="rId447"/>
    <hyperlink ref="H141" r:id="rId448"/>
    <hyperlink ref="H750" r:id="rId449"/>
    <hyperlink ref="H793" r:id="rId450"/>
    <hyperlink ref="H925" r:id="rId451"/>
    <hyperlink ref="H493" r:id="rId452"/>
    <hyperlink ref="H914" r:id="rId453"/>
    <hyperlink ref="H666" r:id="rId454"/>
    <hyperlink ref="H90" r:id="rId455"/>
    <hyperlink ref="H21" r:id="rId456"/>
    <hyperlink ref="H512" r:id="rId457"/>
    <hyperlink ref="H418" r:id="rId458"/>
    <hyperlink ref="H574" r:id="rId459"/>
    <hyperlink ref="H262" r:id="rId460"/>
    <hyperlink ref="H915" r:id="rId461"/>
    <hyperlink ref="H456" r:id="rId462"/>
    <hyperlink ref="H681" r:id="rId463"/>
    <hyperlink ref="H572" r:id="rId464"/>
    <hyperlink ref="H89" r:id="rId465"/>
    <hyperlink ref="H1025" r:id="rId466"/>
    <hyperlink ref="H940" r:id="rId467"/>
    <hyperlink ref="H1063" r:id="rId468"/>
    <hyperlink ref="H595" r:id="rId469"/>
    <hyperlink ref="H147" r:id="rId470"/>
    <hyperlink ref="H510" r:id="rId471"/>
    <hyperlink ref="H1026" r:id="rId472"/>
    <hyperlink ref="H403" r:id="rId473"/>
    <hyperlink ref="H995" r:id="rId474"/>
    <hyperlink ref="H41" r:id="rId475"/>
    <hyperlink ref="H617" r:id="rId476"/>
    <hyperlink ref="H843" r:id="rId477"/>
    <hyperlink ref="H309" r:id="rId478"/>
    <hyperlink ref="H481" r:id="rId479"/>
    <hyperlink ref="H426" r:id="rId480"/>
    <hyperlink ref="H715" r:id="rId481"/>
    <hyperlink ref="H85" r:id="rId482"/>
    <hyperlink ref="H73" r:id="rId483"/>
    <hyperlink ref="H1032" r:id="rId484"/>
    <hyperlink ref="H69" r:id="rId485" display="https://scholar.google.com/citations?user=z361kwcAAAAJ&amp;hl=en&amp;authuser=2"/>
    <hyperlink ref="H518" r:id="rId486"/>
    <hyperlink ref="H743" r:id="rId487"/>
    <hyperlink ref="H620" r:id="rId488"/>
    <hyperlink ref="H519" r:id="rId489"/>
    <hyperlink ref="H910" r:id="rId490"/>
    <hyperlink ref="H784" r:id="rId491"/>
    <hyperlink ref="H299" r:id="rId492"/>
    <hyperlink ref="H396" r:id="rId493"/>
    <hyperlink ref="H981" r:id="rId494"/>
    <hyperlink ref="H25" r:id="rId495"/>
    <hyperlink ref="H210" r:id="rId496"/>
    <hyperlink ref="H209" r:id="rId497"/>
    <hyperlink ref="H267" r:id="rId498"/>
    <hyperlink ref="H281" r:id="rId499"/>
    <hyperlink ref="H553" r:id="rId500"/>
    <hyperlink ref="H1008" r:id="rId501"/>
    <hyperlink ref="H684" r:id="rId502"/>
    <hyperlink ref="H905" r:id="rId503"/>
    <hyperlink ref="H685" r:id="rId504"/>
    <hyperlink ref="H639" r:id="rId505"/>
  </hyperlinks>
  <pageMargins left="0.7" right="0.7" top="0.75" bottom="0.75" header="0.3" footer="0.3"/>
  <pageSetup orientation="portrait" horizontalDpi="4294967293" verticalDpi="4294967293" r:id="rId50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01"/>
  <sheetViews>
    <sheetView workbookViewId="0">
      <selection activeCell="L19" sqref="L19"/>
    </sheetView>
  </sheetViews>
  <sheetFormatPr defaultRowHeight="15.75" x14ac:dyDescent="0.25"/>
  <cols>
    <col min="1" max="1" width="9.140625" style="17" customWidth="1"/>
    <col min="2" max="2" width="25.42578125" style="18" customWidth="1"/>
    <col min="3" max="3" width="29.5703125" style="18" customWidth="1"/>
    <col min="4" max="4" width="11" style="19" customWidth="1"/>
  </cols>
  <sheetData>
    <row r="1" spans="1:4" thickBot="1" x14ac:dyDescent="0.3">
      <c r="A1" s="22" t="s">
        <v>3062</v>
      </c>
      <c r="B1" s="23" t="s">
        <v>0</v>
      </c>
      <c r="C1" s="23" t="s">
        <v>3063</v>
      </c>
      <c r="D1" s="24" t="s">
        <v>3064</v>
      </c>
    </row>
    <row r="2" spans="1:4" ht="15" customHeight="1" x14ac:dyDescent="0.25">
      <c r="A2" s="20">
        <v>1</v>
      </c>
      <c r="B2" s="18" t="s">
        <v>389</v>
      </c>
      <c r="C2" s="26" t="s">
        <v>88</v>
      </c>
      <c r="D2" s="19">
        <v>39048</v>
      </c>
    </row>
    <row r="3" spans="1:4" ht="15" customHeight="1" x14ac:dyDescent="0.25">
      <c r="A3" s="20">
        <v>2</v>
      </c>
      <c r="B3" s="18" t="s">
        <v>33</v>
      </c>
      <c r="C3" s="26" t="s">
        <v>34</v>
      </c>
      <c r="D3" s="19">
        <v>27675</v>
      </c>
    </row>
    <row r="4" spans="1:4" ht="15" customHeight="1" x14ac:dyDescent="0.25">
      <c r="A4" s="20">
        <v>3</v>
      </c>
      <c r="B4" s="18" t="s">
        <v>1544</v>
      </c>
      <c r="C4" s="26" t="s">
        <v>41</v>
      </c>
      <c r="D4" s="38">
        <v>26687</v>
      </c>
    </row>
    <row r="5" spans="1:4" ht="15" customHeight="1" x14ac:dyDescent="0.25">
      <c r="A5" s="20">
        <v>4</v>
      </c>
      <c r="B5" s="18" t="s">
        <v>4998</v>
      </c>
      <c r="C5" s="26" t="s">
        <v>277</v>
      </c>
      <c r="D5" s="19">
        <v>26245</v>
      </c>
    </row>
    <row r="6" spans="1:4" ht="15" customHeight="1" x14ac:dyDescent="0.25">
      <c r="A6" s="20">
        <v>5</v>
      </c>
      <c r="B6" s="18" t="s">
        <v>289</v>
      </c>
      <c r="C6" s="26" t="s">
        <v>290</v>
      </c>
      <c r="D6" s="19">
        <v>20470</v>
      </c>
    </row>
    <row r="7" spans="1:4" ht="15" customHeight="1" x14ac:dyDescent="0.25">
      <c r="A7" s="20">
        <v>6</v>
      </c>
      <c r="B7" s="18" t="s">
        <v>907</v>
      </c>
      <c r="C7" s="26" t="s">
        <v>140</v>
      </c>
      <c r="D7" s="19">
        <v>19111</v>
      </c>
    </row>
    <row r="8" spans="1:4" ht="15" customHeight="1" x14ac:dyDescent="0.25">
      <c r="A8" s="20">
        <v>7</v>
      </c>
      <c r="B8" s="18" t="s">
        <v>133</v>
      </c>
      <c r="C8" s="26" t="s">
        <v>134</v>
      </c>
      <c r="D8" s="19">
        <v>18927</v>
      </c>
    </row>
    <row r="9" spans="1:4" ht="15" customHeight="1" x14ac:dyDescent="0.25">
      <c r="A9" s="20">
        <v>8</v>
      </c>
      <c r="B9" s="18" t="s">
        <v>4960</v>
      </c>
      <c r="C9" s="26" t="s">
        <v>119</v>
      </c>
      <c r="D9" s="19">
        <v>16870</v>
      </c>
    </row>
    <row r="10" spans="1:4" ht="15" customHeight="1" x14ac:dyDescent="0.25">
      <c r="A10" s="20">
        <v>9</v>
      </c>
      <c r="B10" s="18" t="s">
        <v>2175</v>
      </c>
      <c r="C10" s="26" t="s">
        <v>152</v>
      </c>
      <c r="D10" s="19">
        <v>15604</v>
      </c>
    </row>
    <row r="11" spans="1:4" ht="15" customHeight="1" x14ac:dyDescent="0.25">
      <c r="A11" s="20">
        <v>10</v>
      </c>
      <c r="B11" s="18" t="s">
        <v>526</v>
      </c>
      <c r="C11" s="18" t="s">
        <v>181</v>
      </c>
      <c r="D11" s="19">
        <v>15502</v>
      </c>
    </row>
    <row r="12" spans="1:4" ht="15" customHeight="1" x14ac:dyDescent="0.25">
      <c r="A12" s="20">
        <v>11</v>
      </c>
      <c r="B12" s="18" t="s">
        <v>2772</v>
      </c>
      <c r="C12" s="26" t="s">
        <v>25</v>
      </c>
      <c r="D12" s="38">
        <v>13989</v>
      </c>
    </row>
    <row r="13" spans="1:4" ht="15" customHeight="1" x14ac:dyDescent="0.25">
      <c r="A13" s="20">
        <v>12</v>
      </c>
      <c r="B13" s="18" t="s">
        <v>807</v>
      </c>
      <c r="C13" s="18" t="s">
        <v>779</v>
      </c>
      <c r="D13" s="19">
        <v>12375</v>
      </c>
    </row>
    <row r="14" spans="1:4" ht="15" customHeight="1" x14ac:dyDescent="0.25">
      <c r="A14" s="20">
        <v>13</v>
      </c>
      <c r="B14" s="18" t="s">
        <v>4838</v>
      </c>
      <c r="C14" s="26" t="s">
        <v>123</v>
      </c>
      <c r="D14" s="19">
        <v>12260</v>
      </c>
    </row>
    <row r="15" spans="1:4" ht="15" customHeight="1" x14ac:dyDescent="0.25">
      <c r="A15" s="20">
        <v>14</v>
      </c>
      <c r="B15" s="18" t="s">
        <v>5134</v>
      </c>
      <c r="C15" s="26" t="s">
        <v>728</v>
      </c>
      <c r="D15" s="38">
        <v>12229</v>
      </c>
    </row>
    <row r="16" spans="1:4" ht="15" customHeight="1" x14ac:dyDescent="0.25">
      <c r="A16" s="20">
        <v>15</v>
      </c>
      <c r="B16" s="18" t="s">
        <v>2129</v>
      </c>
      <c r="C16" s="26" t="s">
        <v>41</v>
      </c>
      <c r="D16" s="38">
        <v>11284</v>
      </c>
    </row>
    <row r="17" spans="1:4" ht="15" customHeight="1" x14ac:dyDescent="0.25">
      <c r="A17" s="20">
        <v>16</v>
      </c>
      <c r="B17" s="18" t="s">
        <v>330</v>
      </c>
      <c r="C17" s="26" t="s">
        <v>331</v>
      </c>
      <c r="D17" s="19">
        <v>10494</v>
      </c>
    </row>
    <row r="18" spans="1:4" ht="15" customHeight="1" x14ac:dyDescent="0.25">
      <c r="A18" s="20">
        <v>17</v>
      </c>
      <c r="B18" s="18" t="s">
        <v>593</v>
      </c>
      <c r="C18" s="26" t="s">
        <v>168</v>
      </c>
      <c r="D18" s="19">
        <v>9456</v>
      </c>
    </row>
    <row r="19" spans="1:4" ht="15" customHeight="1" x14ac:dyDescent="0.25">
      <c r="A19" s="20">
        <v>18</v>
      </c>
      <c r="B19" s="18" t="s">
        <v>196</v>
      </c>
      <c r="C19" s="26" t="s">
        <v>123</v>
      </c>
      <c r="D19" s="19">
        <v>9396</v>
      </c>
    </row>
    <row r="20" spans="1:4" ht="15" customHeight="1" x14ac:dyDescent="0.25">
      <c r="A20" s="20">
        <v>19</v>
      </c>
      <c r="B20" s="18" t="s">
        <v>376</v>
      </c>
      <c r="C20" s="26" t="s">
        <v>192</v>
      </c>
      <c r="D20" s="19">
        <v>9220</v>
      </c>
    </row>
    <row r="21" spans="1:4" ht="15" customHeight="1" x14ac:dyDescent="0.25">
      <c r="A21" s="20">
        <v>20</v>
      </c>
      <c r="B21" s="18" t="s">
        <v>940</v>
      </c>
      <c r="C21" s="26" t="s">
        <v>94</v>
      </c>
      <c r="D21" s="19">
        <v>9136</v>
      </c>
    </row>
    <row r="22" spans="1:4" ht="15" customHeight="1" x14ac:dyDescent="0.25">
      <c r="A22" s="20">
        <v>21</v>
      </c>
      <c r="B22" s="18" t="s">
        <v>5007</v>
      </c>
      <c r="C22" s="18" t="s">
        <v>874</v>
      </c>
      <c r="D22" s="19">
        <v>9025</v>
      </c>
    </row>
    <row r="23" spans="1:4" ht="15" customHeight="1" x14ac:dyDescent="0.25">
      <c r="A23" s="20">
        <v>22</v>
      </c>
      <c r="B23" s="18" t="s">
        <v>534</v>
      </c>
      <c r="C23" s="26" t="s">
        <v>41</v>
      </c>
      <c r="D23" s="19">
        <v>9020</v>
      </c>
    </row>
    <row r="24" spans="1:4" ht="15" customHeight="1" x14ac:dyDescent="0.25">
      <c r="A24" s="20">
        <v>23</v>
      </c>
      <c r="B24" s="18" t="s">
        <v>5112</v>
      </c>
      <c r="C24" s="26" t="s">
        <v>88</v>
      </c>
      <c r="D24" s="19">
        <v>8787</v>
      </c>
    </row>
    <row r="25" spans="1:4" ht="15" customHeight="1" x14ac:dyDescent="0.25">
      <c r="A25" s="20">
        <v>24</v>
      </c>
      <c r="B25" s="18" t="s">
        <v>1009</v>
      </c>
      <c r="C25" s="26" t="s">
        <v>114</v>
      </c>
      <c r="D25" s="19">
        <v>8523</v>
      </c>
    </row>
    <row r="26" spans="1:4" ht="15" customHeight="1" x14ac:dyDescent="0.25">
      <c r="A26" s="20">
        <v>25</v>
      </c>
      <c r="B26" s="18" t="s">
        <v>1418</v>
      </c>
      <c r="C26" s="26" t="s">
        <v>41</v>
      </c>
      <c r="D26" s="19">
        <v>8426</v>
      </c>
    </row>
    <row r="27" spans="1:4" x14ac:dyDescent="0.25">
      <c r="A27" s="17">
        <v>26</v>
      </c>
      <c r="B27" s="18" t="s">
        <v>850</v>
      </c>
      <c r="C27" s="26" t="s">
        <v>192</v>
      </c>
      <c r="D27" s="19">
        <v>8242</v>
      </c>
    </row>
    <row r="28" spans="1:4" x14ac:dyDescent="0.25">
      <c r="A28" s="17">
        <v>27</v>
      </c>
      <c r="B28" s="18" t="s">
        <v>1113</v>
      </c>
      <c r="C28" s="26" t="s">
        <v>382</v>
      </c>
      <c r="D28" s="19">
        <v>7899</v>
      </c>
    </row>
    <row r="29" spans="1:4" x14ac:dyDescent="0.25">
      <c r="A29" s="17">
        <v>28</v>
      </c>
      <c r="B29" s="18" t="s">
        <v>1249</v>
      </c>
      <c r="C29" s="26" t="s">
        <v>331</v>
      </c>
      <c r="D29" s="19">
        <v>7673</v>
      </c>
    </row>
    <row r="30" spans="1:4" x14ac:dyDescent="0.25">
      <c r="A30" s="17">
        <v>29</v>
      </c>
      <c r="B30" s="18" t="s">
        <v>1515</v>
      </c>
      <c r="C30" s="26" t="s">
        <v>88</v>
      </c>
      <c r="D30" s="19">
        <v>7625</v>
      </c>
    </row>
    <row r="31" spans="1:4" x14ac:dyDescent="0.25">
      <c r="A31" s="17">
        <v>30</v>
      </c>
      <c r="B31" s="18" t="s">
        <v>5049</v>
      </c>
      <c r="C31" s="26" t="s">
        <v>161</v>
      </c>
      <c r="D31" s="19">
        <v>7539</v>
      </c>
    </row>
    <row r="32" spans="1:4" x14ac:dyDescent="0.25">
      <c r="A32" s="17">
        <v>31</v>
      </c>
      <c r="B32" s="18" t="s">
        <v>2262</v>
      </c>
      <c r="C32" s="26" t="s">
        <v>788</v>
      </c>
      <c r="D32" s="38">
        <v>7530</v>
      </c>
    </row>
    <row r="33" spans="1:4" x14ac:dyDescent="0.25">
      <c r="A33" s="17">
        <v>32</v>
      </c>
      <c r="B33" s="18" t="s">
        <v>4843</v>
      </c>
      <c r="C33" s="26" t="s">
        <v>385</v>
      </c>
      <c r="D33" s="19">
        <v>7378</v>
      </c>
    </row>
    <row r="34" spans="1:4" x14ac:dyDescent="0.25">
      <c r="A34" s="17">
        <v>33</v>
      </c>
      <c r="B34" s="18" t="s">
        <v>2376</v>
      </c>
      <c r="C34" s="26" t="s">
        <v>277</v>
      </c>
      <c r="D34" s="19">
        <v>7309</v>
      </c>
    </row>
    <row r="35" spans="1:4" x14ac:dyDescent="0.25">
      <c r="A35" s="17">
        <v>34</v>
      </c>
      <c r="B35" s="18" t="s">
        <v>5102</v>
      </c>
      <c r="C35" s="26" t="s">
        <v>277</v>
      </c>
      <c r="D35" s="19">
        <v>6974</v>
      </c>
    </row>
    <row r="36" spans="1:4" x14ac:dyDescent="0.25">
      <c r="A36" s="17">
        <v>35</v>
      </c>
      <c r="B36" s="18" t="s">
        <v>664</v>
      </c>
      <c r="C36" s="26" t="s">
        <v>41</v>
      </c>
      <c r="D36" s="19">
        <v>6898</v>
      </c>
    </row>
    <row r="37" spans="1:4" x14ac:dyDescent="0.25">
      <c r="A37" s="17">
        <v>36</v>
      </c>
      <c r="B37" s="18" t="s">
        <v>585</v>
      </c>
      <c r="C37" s="26" t="s">
        <v>192</v>
      </c>
      <c r="D37" s="19">
        <v>6881</v>
      </c>
    </row>
    <row r="38" spans="1:4" x14ac:dyDescent="0.25">
      <c r="A38" s="17">
        <v>37</v>
      </c>
      <c r="B38" s="18" t="s">
        <v>424</v>
      </c>
      <c r="C38" s="26" t="s">
        <v>94</v>
      </c>
      <c r="D38" s="19">
        <v>6769</v>
      </c>
    </row>
    <row r="39" spans="1:4" x14ac:dyDescent="0.25">
      <c r="A39" s="17">
        <v>38</v>
      </c>
      <c r="B39" s="18" t="s">
        <v>1308</v>
      </c>
      <c r="C39" s="26" t="s">
        <v>77</v>
      </c>
      <c r="D39" s="19">
        <v>6590</v>
      </c>
    </row>
    <row r="40" spans="1:4" x14ac:dyDescent="0.25">
      <c r="A40" s="17">
        <v>39</v>
      </c>
      <c r="B40" s="18" t="s">
        <v>649</v>
      </c>
      <c r="C40" s="26" t="s">
        <v>123</v>
      </c>
      <c r="D40" s="19">
        <v>6359</v>
      </c>
    </row>
    <row r="41" spans="1:4" x14ac:dyDescent="0.25">
      <c r="A41" s="17">
        <v>40</v>
      </c>
      <c r="B41" s="18" t="s">
        <v>5061</v>
      </c>
      <c r="C41" s="26" t="s">
        <v>88</v>
      </c>
      <c r="D41" s="38">
        <v>6182</v>
      </c>
    </row>
    <row r="42" spans="1:4" x14ac:dyDescent="0.25">
      <c r="A42" s="17">
        <v>41</v>
      </c>
      <c r="B42" s="18" t="s">
        <v>660</v>
      </c>
      <c r="C42" s="26" t="s">
        <v>152</v>
      </c>
      <c r="D42" s="19">
        <v>6085</v>
      </c>
    </row>
    <row r="43" spans="1:4" x14ac:dyDescent="0.25">
      <c r="A43" s="17">
        <v>42</v>
      </c>
      <c r="B43" s="18" t="s">
        <v>688</v>
      </c>
      <c r="C43" s="26" t="s">
        <v>106</v>
      </c>
      <c r="D43" s="19">
        <v>6071</v>
      </c>
    </row>
    <row r="44" spans="1:4" x14ac:dyDescent="0.25">
      <c r="A44" s="17">
        <v>43</v>
      </c>
      <c r="B44" s="18" t="s">
        <v>1894</v>
      </c>
      <c r="C44" s="26" t="s">
        <v>788</v>
      </c>
      <c r="D44" s="38">
        <v>5964</v>
      </c>
    </row>
    <row r="45" spans="1:4" x14ac:dyDescent="0.25">
      <c r="A45" s="17">
        <v>44</v>
      </c>
      <c r="B45" s="18" t="s">
        <v>5083</v>
      </c>
      <c r="C45" s="18" t="s">
        <v>858</v>
      </c>
      <c r="D45" s="19">
        <v>5962</v>
      </c>
    </row>
    <row r="46" spans="1:4" x14ac:dyDescent="0.25">
      <c r="A46" s="17">
        <v>45</v>
      </c>
      <c r="B46" s="18" t="s">
        <v>614</v>
      </c>
      <c r="C46" s="26" t="s">
        <v>34</v>
      </c>
      <c r="D46" s="19">
        <v>5940</v>
      </c>
    </row>
    <row r="47" spans="1:4" x14ac:dyDescent="0.25">
      <c r="A47" s="17">
        <v>46</v>
      </c>
      <c r="B47" s="18" t="s">
        <v>4832</v>
      </c>
      <c r="C47" s="26" t="s">
        <v>296</v>
      </c>
      <c r="D47" s="19">
        <v>5915</v>
      </c>
    </row>
    <row r="48" spans="1:4" x14ac:dyDescent="0.25">
      <c r="A48" s="17">
        <v>47</v>
      </c>
      <c r="B48" s="18" t="s">
        <v>2461</v>
      </c>
      <c r="C48" s="26" t="s">
        <v>220</v>
      </c>
      <c r="D48" s="38">
        <v>5889</v>
      </c>
    </row>
    <row r="49" spans="1:4" x14ac:dyDescent="0.25">
      <c r="A49" s="17">
        <v>48</v>
      </c>
      <c r="B49" s="18" t="s">
        <v>745</v>
      </c>
      <c r="C49" s="26" t="s">
        <v>168</v>
      </c>
      <c r="D49" s="19">
        <v>5870</v>
      </c>
    </row>
    <row r="50" spans="1:4" x14ac:dyDescent="0.25">
      <c r="A50" s="17">
        <v>49</v>
      </c>
      <c r="B50" s="18" t="s">
        <v>1599</v>
      </c>
      <c r="C50" s="26" t="s">
        <v>77</v>
      </c>
      <c r="D50" s="19">
        <v>5836</v>
      </c>
    </row>
    <row r="51" spans="1:4" x14ac:dyDescent="0.25">
      <c r="A51" s="17">
        <v>50</v>
      </c>
      <c r="B51" s="18" t="s">
        <v>5069</v>
      </c>
      <c r="C51" s="26" t="s">
        <v>72</v>
      </c>
      <c r="D51" s="19">
        <v>5808</v>
      </c>
    </row>
    <row r="52" spans="1:4" x14ac:dyDescent="0.25">
      <c r="A52" s="17">
        <v>51</v>
      </c>
      <c r="B52" s="18" t="s">
        <v>838</v>
      </c>
      <c r="C52" s="26" t="s">
        <v>119</v>
      </c>
      <c r="D52" s="19">
        <v>5772</v>
      </c>
    </row>
    <row r="53" spans="1:4" x14ac:dyDescent="0.25">
      <c r="A53" s="17">
        <v>52</v>
      </c>
      <c r="B53" s="18" t="s">
        <v>3012</v>
      </c>
      <c r="C53" s="26" t="s">
        <v>94</v>
      </c>
      <c r="D53" s="19">
        <v>5586</v>
      </c>
    </row>
    <row r="54" spans="1:4" x14ac:dyDescent="0.25">
      <c r="A54" s="17">
        <v>53</v>
      </c>
      <c r="B54" s="18" t="s">
        <v>172</v>
      </c>
      <c r="C54" s="26" t="s">
        <v>123</v>
      </c>
      <c r="D54" s="19">
        <v>5567</v>
      </c>
    </row>
    <row r="55" spans="1:4" x14ac:dyDescent="0.25">
      <c r="A55" s="17">
        <v>54</v>
      </c>
      <c r="B55" s="18" t="s">
        <v>1278</v>
      </c>
      <c r="C55" s="26" t="s">
        <v>88</v>
      </c>
      <c r="D55" s="19">
        <v>5396</v>
      </c>
    </row>
    <row r="56" spans="1:4" x14ac:dyDescent="0.25">
      <c r="A56" s="17">
        <v>55</v>
      </c>
      <c r="B56" s="18" t="s">
        <v>5091</v>
      </c>
      <c r="C56" s="26" t="s">
        <v>161</v>
      </c>
      <c r="D56" s="19">
        <v>5314</v>
      </c>
    </row>
    <row r="57" spans="1:4" x14ac:dyDescent="0.25">
      <c r="A57" s="17">
        <v>56</v>
      </c>
      <c r="B57" s="18" t="s">
        <v>701</v>
      </c>
      <c r="C57" s="26" t="s">
        <v>128</v>
      </c>
      <c r="D57" s="19">
        <v>5242</v>
      </c>
    </row>
    <row r="58" spans="1:4" x14ac:dyDescent="0.25">
      <c r="A58" s="17">
        <v>57</v>
      </c>
      <c r="B58" s="18" t="s">
        <v>336</v>
      </c>
      <c r="C58" s="26" t="s">
        <v>337</v>
      </c>
      <c r="D58" s="19">
        <v>5109</v>
      </c>
    </row>
    <row r="59" spans="1:4" x14ac:dyDescent="0.25">
      <c r="A59" s="17">
        <v>58</v>
      </c>
      <c r="B59" s="18" t="s">
        <v>127</v>
      </c>
      <c r="C59" s="26" t="s">
        <v>128</v>
      </c>
      <c r="D59" s="19">
        <v>4990</v>
      </c>
    </row>
    <row r="60" spans="1:4" x14ac:dyDescent="0.25">
      <c r="A60" s="17">
        <v>59</v>
      </c>
      <c r="B60" s="18" t="s">
        <v>4967</v>
      </c>
      <c r="C60" s="26" t="s">
        <v>220</v>
      </c>
      <c r="D60" s="19">
        <v>4978</v>
      </c>
    </row>
    <row r="61" spans="1:4" x14ac:dyDescent="0.25">
      <c r="A61" s="17">
        <v>60</v>
      </c>
      <c r="B61" s="18" t="s">
        <v>787</v>
      </c>
      <c r="C61" s="26" t="s">
        <v>788</v>
      </c>
      <c r="D61" s="19">
        <v>4960</v>
      </c>
    </row>
    <row r="62" spans="1:4" x14ac:dyDescent="0.25">
      <c r="A62" s="17">
        <v>61</v>
      </c>
      <c r="B62" s="18" t="s">
        <v>4931</v>
      </c>
      <c r="C62" s="26" t="s">
        <v>1266</v>
      </c>
      <c r="D62" s="19">
        <v>4927</v>
      </c>
    </row>
    <row r="63" spans="1:4" x14ac:dyDescent="0.25">
      <c r="A63" s="17">
        <v>62</v>
      </c>
      <c r="B63" s="18" t="s">
        <v>4999</v>
      </c>
      <c r="C63" s="18" t="s">
        <v>779</v>
      </c>
      <c r="D63" s="19">
        <v>4884</v>
      </c>
    </row>
    <row r="64" spans="1:4" x14ac:dyDescent="0.25">
      <c r="A64" s="17">
        <v>63</v>
      </c>
      <c r="B64" s="18" t="s">
        <v>1087</v>
      </c>
      <c r="C64" s="26" t="s">
        <v>123</v>
      </c>
      <c r="D64" s="19">
        <v>4815</v>
      </c>
    </row>
    <row r="65" spans="1:4" x14ac:dyDescent="0.25">
      <c r="A65" s="17">
        <v>64</v>
      </c>
      <c r="B65" s="18" t="s">
        <v>900</v>
      </c>
      <c r="C65" s="18" t="s">
        <v>901</v>
      </c>
      <c r="D65" s="19">
        <v>4814</v>
      </c>
    </row>
    <row r="66" spans="1:4" x14ac:dyDescent="0.25">
      <c r="A66" s="17">
        <v>65</v>
      </c>
      <c r="B66" s="18" t="s">
        <v>487</v>
      </c>
      <c r="C66" s="26" t="s">
        <v>151</v>
      </c>
      <c r="D66" s="19">
        <v>4777</v>
      </c>
    </row>
    <row r="67" spans="1:4" x14ac:dyDescent="0.25">
      <c r="A67" s="17">
        <v>66</v>
      </c>
      <c r="B67" s="18" t="s">
        <v>672</v>
      </c>
      <c r="C67" s="26" t="s">
        <v>88</v>
      </c>
      <c r="D67" s="19">
        <v>4702</v>
      </c>
    </row>
    <row r="68" spans="1:4" x14ac:dyDescent="0.25">
      <c r="A68" s="17">
        <v>67</v>
      </c>
      <c r="B68" s="18" t="s">
        <v>3056</v>
      </c>
      <c r="C68" s="26" t="s">
        <v>830</v>
      </c>
      <c r="D68" s="19">
        <v>4687</v>
      </c>
    </row>
    <row r="69" spans="1:4" x14ac:dyDescent="0.25">
      <c r="A69" s="17">
        <v>68</v>
      </c>
      <c r="B69" s="18" t="s">
        <v>4922</v>
      </c>
      <c r="C69" s="18" t="s">
        <v>59</v>
      </c>
      <c r="D69" s="19">
        <v>4634</v>
      </c>
    </row>
    <row r="70" spans="1:4" x14ac:dyDescent="0.25">
      <c r="A70" s="17">
        <v>69</v>
      </c>
      <c r="B70" s="18" t="s">
        <v>5106</v>
      </c>
      <c r="C70" s="26" t="s">
        <v>145</v>
      </c>
      <c r="D70" s="19">
        <v>4442</v>
      </c>
    </row>
    <row r="71" spans="1:4" x14ac:dyDescent="0.25">
      <c r="A71" s="17">
        <v>70</v>
      </c>
      <c r="B71" s="18" t="s">
        <v>1368</v>
      </c>
      <c r="C71" s="26" t="s">
        <v>764</v>
      </c>
      <c r="D71" s="19">
        <v>4424</v>
      </c>
    </row>
    <row r="72" spans="1:4" x14ac:dyDescent="0.25">
      <c r="A72" s="17">
        <v>71</v>
      </c>
      <c r="B72" s="18" t="s">
        <v>4889</v>
      </c>
      <c r="C72" s="18" t="s">
        <v>157</v>
      </c>
      <c r="D72" s="19">
        <v>4372</v>
      </c>
    </row>
    <row r="73" spans="1:4" x14ac:dyDescent="0.25">
      <c r="A73" s="17">
        <v>72</v>
      </c>
      <c r="B73" s="18" t="s">
        <v>561</v>
      </c>
      <c r="C73" s="26" t="s">
        <v>277</v>
      </c>
      <c r="D73" s="19">
        <v>4364</v>
      </c>
    </row>
    <row r="74" spans="1:4" x14ac:dyDescent="0.25">
      <c r="A74" s="17">
        <v>73</v>
      </c>
      <c r="B74" s="18" t="s">
        <v>622</v>
      </c>
      <c r="C74" s="26" t="s">
        <v>123</v>
      </c>
      <c r="D74" s="19">
        <v>4278</v>
      </c>
    </row>
    <row r="75" spans="1:4" x14ac:dyDescent="0.25">
      <c r="A75" s="17">
        <v>74</v>
      </c>
      <c r="B75" s="18" t="s">
        <v>2543</v>
      </c>
      <c r="C75" s="26" t="s">
        <v>88</v>
      </c>
      <c r="D75" s="19">
        <v>4252</v>
      </c>
    </row>
    <row r="76" spans="1:4" x14ac:dyDescent="0.25">
      <c r="A76" s="17">
        <v>75</v>
      </c>
      <c r="B76" s="18" t="s">
        <v>122</v>
      </c>
      <c r="C76" s="26" t="s">
        <v>88</v>
      </c>
      <c r="D76" s="19">
        <v>4166</v>
      </c>
    </row>
    <row r="77" spans="1:4" x14ac:dyDescent="0.25">
      <c r="A77" s="17">
        <v>76</v>
      </c>
      <c r="B77" s="18" t="s">
        <v>293</v>
      </c>
      <c r="C77" s="26" t="s">
        <v>192</v>
      </c>
      <c r="D77" s="19">
        <v>4115</v>
      </c>
    </row>
    <row r="78" spans="1:4" x14ac:dyDescent="0.25">
      <c r="A78" s="17">
        <v>77</v>
      </c>
      <c r="B78" s="18" t="s">
        <v>4887</v>
      </c>
      <c r="C78" s="26" t="s">
        <v>192</v>
      </c>
      <c r="D78" s="19">
        <v>4099</v>
      </c>
    </row>
    <row r="79" spans="1:4" x14ac:dyDescent="0.25">
      <c r="A79" s="17">
        <v>78</v>
      </c>
      <c r="B79" s="18" t="s">
        <v>5071</v>
      </c>
      <c r="C79" s="26" t="s">
        <v>67</v>
      </c>
      <c r="D79" s="19">
        <v>4028</v>
      </c>
    </row>
    <row r="80" spans="1:4" x14ac:dyDescent="0.25">
      <c r="A80" s="17">
        <v>79</v>
      </c>
      <c r="B80" s="18" t="s">
        <v>5128</v>
      </c>
      <c r="C80" s="26" t="s">
        <v>161</v>
      </c>
      <c r="D80" s="19">
        <v>4010</v>
      </c>
    </row>
    <row r="81" spans="1:4" x14ac:dyDescent="0.25">
      <c r="A81" s="17">
        <v>80</v>
      </c>
      <c r="B81" s="18" t="s">
        <v>5056</v>
      </c>
      <c r="C81" s="26" t="s">
        <v>219</v>
      </c>
      <c r="D81" s="19">
        <v>3875</v>
      </c>
    </row>
    <row r="82" spans="1:4" x14ac:dyDescent="0.25">
      <c r="A82" s="17">
        <v>81</v>
      </c>
      <c r="B82" s="18" t="s">
        <v>1269</v>
      </c>
      <c r="C82" s="26" t="s">
        <v>88</v>
      </c>
      <c r="D82" s="19">
        <v>3866</v>
      </c>
    </row>
    <row r="83" spans="1:4" x14ac:dyDescent="0.25">
      <c r="A83" s="17">
        <v>82</v>
      </c>
      <c r="B83" s="18" t="s">
        <v>543</v>
      </c>
      <c r="C83" s="26" t="s">
        <v>219</v>
      </c>
      <c r="D83" s="19">
        <v>3838</v>
      </c>
    </row>
    <row r="84" spans="1:4" x14ac:dyDescent="0.25">
      <c r="A84" s="17">
        <v>83</v>
      </c>
      <c r="B84" s="18" t="s">
        <v>4973</v>
      </c>
      <c r="C84" s="26" t="s">
        <v>34</v>
      </c>
      <c r="D84" s="19">
        <v>3808</v>
      </c>
    </row>
    <row r="85" spans="1:4" x14ac:dyDescent="0.25">
      <c r="A85" s="17">
        <v>84</v>
      </c>
      <c r="B85" s="18" t="s">
        <v>2471</v>
      </c>
      <c r="C85" s="26" t="s">
        <v>788</v>
      </c>
      <c r="D85" s="38">
        <v>3742</v>
      </c>
    </row>
    <row r="86" spans="1:4" x14ac:dyDescent="0.25">
      <c r="A86" s="17">
        <v>85</v>
      </c>
      <c r="B86" s="18" t="s">
        <v>4896</v>
      </c>
      <c r="C86" s="26" t="s">
        <v>119</v>
      </c>
      <c r="D86" s="19">
        <v>3718</v>
      </c>
    </row>
    <row r="87" spans="1:4" x14ac:dyDescent="0.25">
      <c r="A87" s="17">
        <v>86</v>
      </c>
      <c r="B87" s="18" t="s">
        <v>413</v>
      </c>
      <c r="C87" s="26" t="s">
        <v>72</v>
      </c>
      <c r="D87" s="19">
        <v>3671</v>
      </c>
    </row>
    <row r="88" spans="1:4" x14ac:dyDescent="0.25">
      <c r="A88" s="17">
        <v>87</v>
      </c>
      <c r="B88" s="18" t="s">
        <v>5011</v>
      </c>
      <c r="C88" s="26" t="s">
        <v>98</v>
      </c>
      <c r="D88" s="19">
        <v>3647</v>
      </c>
    </row>
    <row r="89" spans="1:4" x14ac:dyDescent="0.25">
      <c r="A89" s="17">
        <v>88</v>
      </c>
      <c r="B89" s="18" t="s">
        <v>1144</v>
      </c>
      <c r="C89" s="26" t="s">
        <v>788</v>
      </c>
      <c r="D89" s="19">
        <v>3627</v>
      </c>
    </row>
    <row r="90" spans="1:4" x14ac:dyDescent="0.25">
      <c r="A90" s="17">
        <v>89</v>
      </c>
      <c r="B90" s="18" t="s">
        <v>5053</v>
      </c>
      <c r="C90" s="26" t="s">
        <v>119</v>
      </c>
      <c r="D90" s="19">
        <v>3580</v>
      </c>
    </row>
    <row r="91" spans="1:4" x14ac:dyDescent="0.25">
      <c r="A91" s="17">
        <v>90</v>
      </c>
      <c r="B91" s="18" t="s">
        <v>574</v>
      </c>
      <c r="C91" s="26" t="s">
        <v>88</v>
      </c>
      <c r="D91" s="19">
        <v>3556</v>
      </c>
    </row>
    <row r="92" spans="1:4" x14ac:dyDescent="0.25">
      <c r="A92" s="17">
        <v>91</v>
      </c>
      <c r="B92" s="18" t="s">
        <v>5082</v>
      </c>
      <c r="C92" s="26" t="s">
        <v>134</v>
      </c>
      <c r="D92" s="19">
        <v>3530</v>
      </c>
    </row>
    <row r="93" spans="1:4" x14ac:dyDescent="0.25">
      <c r="A93" s="17">
        <v>92</v>
      </c>
      <c r="B93" s="18" t="s">
        <v>1384</v>
      </c>
      <c r="C93" s="26" t="s">
        <v>259</v>
      </c>
      <c r="D93" s="19">
        <v>3478</v>
      </c>
    </row>
    <row r="94" spans="1:4" x14ac:dyDescent="0.25">
      <c r="A94" s="17">
        <v>93</v>
      </c>
      <c r="B94" s="18" t="s">
        <v>191</v>
      </c>
      <c r="C94" s="26" t="s">
        <v>192</v>
      </c>
      <c r="D94" s="19">
        <v>3472</v>
      </c>
    </row>
    <row r="95" spans="1:4" x14ac:dyDescent="0.25">
      <c r="A95" s="17">
        <v>94</v>
      </c>
      <c r="B95" s="18" t="s">
        <v>1185</v>
      </c>
      <c r="C95" s="26" t="s">
        <v>140</v>
      </c>
      <c r="D95" s="19">
        <v>3441</v>
      </c>
    </row>
    <row r="96" spans="1:4" x14ac:dyDescent="0.25">
      <c r="A96" s="17">
        <v>95</v>
      </c>
      <c r="B96" s="18" t="s">
        <v>5095</v>
      </c>
      <c r="C96" s="26" t="s">
        <v>77</v>
      </c>
      <c r="D96" s="19">
        <v>3433</v>
      </c>
    </row>
    <row r="97" spans="1:4" x14ac:dyDescent="0.25">
      <c r="A97" s="17">
        <v>96</v>
      </c>
      <c r="B97" s="18" t="s">
        <v>2412</v>
      </c>
      <c r="C97" s="26" t="s">
        <v>337</v>
      </c>
      <c r="D97" s="19">
        <v>3400</v>
      </c>
    </row>
    <row r="98" spans="1:4" x14ac:dyDescent="0.25">
      <c r="A98" s="17">
        <v>97</v>
      </c>
      <c r="B98" s="18" t="s">
        <v>955</v>
      </c>
      <c r="C98" s="26" t="s">
        <v>186</v>
      </c>
      <c r="D98" s="19">
        <v>3382</v>
      </c>
    </row>
    <row r="99" spans="1:4" x14ac:dyDescent="0.25">
      <c r="A99" s="17">
        <v>98</v>
      </c>
      <c r="B99" s="18" t="s">
        <v>4883</v>
      </c>
      <c r="C99" s="18" t="s">
        <v>111</v>
      </c>
      <c r="D99" s="19">
        <v>3324</v>
      </c>
    </row>
    <row r="100" spans="1:4" x14ac:dyDescent="0.25">
      <c r="A100" s="17">
        <v>99</v>
      </c>
      <c r="B100" s="18" t="s">
        <v>5081</v>
      </c>
      <c r="C100" s="26" t="s">
        <v>94</v>
      </c>
      <c r="D100" s="19">
        <v>3283</v>
      </c>
    </row>
    <row r="101" spans="1:4" x14ac:dyDescent="0.25">
      <c r="A101" s="17">
        <v>100</v>
      </c>
      <c r="B101" s="18" t="s">
        <v>1236</v>
      </c>
      <c r="C101" s="18" t="s">
        <v>874</v>
      </c>
      <c r="D101" s="19">
        <v>3274</v>
      </c>
    </row>
    <row r="102" spans="1:4" x14ac:dyDescent="0.25">
      <c r="A102" s="17">
        <v>101</v>
      </c>
      <c r="B102" s="18" t="s">
        <v>1988</v>
      </c>
      <c r="C102" s="26" t="s">
        <v>1688</v>
      </c>
      <c r="D102" s="19">
        <v>3265</v>
      </c>
    </row>
    <row r="103" spans="1:4" x14ac:dyDescent="0.25">
      <c r="A103" s="17">
        <v>102</v>
      </c>
      <c r="B103" s="18" t="s">
        <v>3636</v>
      </c>
      <c r="C103" s="26" t="s">
        <v>192</v>
      </c>
      <c r="D103" s="19">
        <v>3263</v>
      </c>
    </row>
    <row r="104" spans="1:4" x14ac:dyDescent="0.25">
      <c r="A104" s="17">
        <v>103</v>
      </c>
      <c r="B104" s="18" t="s">
        <v>2604</v>
      </c>
      <c r="C104" s="26" t="s">
        <v>41</v>
      </c>
      <c r="D104" s="38">
        <v>3245</v>
      </c>
    </row>
    <row r="105" spans="1:4" x14ac:dyDescent="0.25">
      <c r="A105" s="17">
        <v>104</v>
      </c>
      <c r="B105" s="18" t="s">
        <v>5003</v>
      </c>
      <c r="C105" s="26" t="s">
        <v>220</v>
      </c>
      <c r="D105" s="38">
        <v>3232</v>
      </c>
    </row>
    <row r="106" spans="1:4" x14ac:dyDescent="0.25">
      <c r="A106" s="17">
        <v>105</v>
      </c>
      <c r="B106" s="18" t="s">
        <v>5000</v>
      </c>
      <c r="C106" s="26" t="s">
        <v>123</v>
      </c>
      <c r="D106" s="19">
        <v>3217</v>
      </c>
    </row>
    <row r="107" spans="1:4" x14ac:dyDescent="0.25">
      <c r="A107" s="17">
        <v>106</v>
      </c>
      <c r="B107" s="18" t="s">
        <v>1832</v>
      </c>
      <c r="C107" s="26" t="s">
        <v>67</v>
      </c>
      <c r="D107" s="19">
        <v>3175</v>
      </c>
    </row>
    <row r="108" spans="1:4" x14ac:dyDescent="0.25">
      <c r="A108" s="17">
        <v>107</v>
      </c>
      <c r="B108" s="18" t="s">
        <v>1451</v>
      </c>
      <c r="C108" s="26" t="s">
        <v>88</v>
      </c>
      <c r="D108" s="19">
        <v>3174</v>
      </c>
    </row>
    <row r="109" spans="1:4" x14ac:dyDescent="0.25">
      <c r="A109" s="17">
        <v>108</v>
      </c>
      <c r="B109" s="18" t="s">
        <v>167</v>
      </c>
      <c r="C109" s="26" t="s">
        <v>161</v>
      </c>
      <c r="D109" s="19">
        <v>3158</v>
      </c>
    </row>
    <row r="110" spans="1:4" x14ac:dyDescent="0.25">
      <c r="A110" s="17">
        <v>109</v>
      </c>
      <c r="B110" s="18" t="s">
        <v>2668</v>
      </c>
      <c r="C110" s="18" t="s">
        <v>858</v>
      </c>
      <c r="D110" s="19">
        <v>3125</v>
      </c>
    </row>
    <row r="111" spans="1:4" x14ac:dyDescent="0.25">
      <c r="A111" s="17">
        <v>110</v>
      </c>
      <c r="B111" s="18" t="s">
        <v>2980</v>
      </c>
      <c r="C111" s="26" t="s">
        <v>192</v>
      </c>
      <c r="D111" s="19">
        <v>3097</v>
      </c>
    </row>
    <row r="112" spans="1:4" x14ac:dyDescent="0.25">
      <c r="A112" s="17">
        <v>111</v>
      </c>
      <c r="B112" s="18" t="s">
        <v>2477</v>
      </c>
      <c r="C112" s="26" t="s">
        <v>77</v>
      </c>
      <c r="D112" s="38">
        <v>3082</v>
      </c>
    </row>
    <row r="113" spans="1:4" x14ac:dyDescent="0.25">
      <c r="A113" s="17">
        <v>112</v>
      </c>
      <c r="B113" s="18" t="s">
        <v>2680</v>
      </c>
      <c r="C113" s="26" t="s">
        <v>168</v>
      </c>
      <c r="D113" s="19">
        <v>3078</v>
      </c>
    </row>
    <row r="114" spans="1:4" x14ac:dyDescent="0.25">
      <c r="A114" s="17">
        <v>113</v>
      </c>
      <c r="B114" s="18" t="s">
        <v>4844</v>
      </c>
      <c r="C114" s="26" t="s">
        <v>448</v>
      </c>
      <c r="D114" s="19">
        <v>3063</v>
      </c>
    </row>
    <row r="115" spans="1:4" x14ac:dyDescent="0.25">
      <c r="A115" s="17">
        <v>114</v>
      </c>
      <c r="B115" s="18" t="s">
        <v>866</v>
      </c>
      <c r="C115" s="26" t="s">
        <v>867</v>
      </c>
      <c r="D115" s="19">
        <v>3057</v>
      </c>
    </row>
    <row r="116" spans="1:4" x14ac:dyDescent="0.25">
      <c r="A116" s="17">
        <v>115</v>
      </c>
      <c r="B116" s="18" t="s">
        <v>589</v>
      </c>
      <c r="C116" s="26" t="s">
        <v>72</v>
      </c>
      <c r="D116" s="19">
        <v>3048</v>
      </c>
    </row>
    <row r="117" spans="1:4" x14ac:dyDescent="0.25">
      <c r="A117" s="17">
        <v>116</v>
      </c>
      <c r="B117" s="18" t="s">
        <v>2984</v>
      </c>
      <c r="C117" s="26" t="s">
        <v>140</v>
      </c>
      <c r="D117" s="38">
        <v>2997</v>
      </c>
    </row>
    <row r="118" spans="1:4" x14ac:dyDescent="0.25">
      <c r="A118" s="17">
        <v>117</v>
      </c>
      <c r="B118" s="18" t="s">
        <v>1721</v>
      </c>
      <c r="C118" s="26" t="s">
        <v>59</v>
      </c>
      <c r="D118" s="19">
        <v>2993</v>
      </c>
    </row>
    <row r="119" spans="1:4" x14ac:dyDescent="0.25">
      <c r="A119" s="17">
        <v>118</v>
      </c>
      <c r="B119" s="18" t="s">
        <v>2239</v>
      </c>
      <c r="C119" s="26" t="s">
        <v>1627</v>
      </c>
      <c r="D119" s="38">
        <v>2989</v>
      </c>
    </row>
    <row r="120" spans="1:4" x14ac:dyDescent="0.25">
      <c r="A120" s="17">
        <v>119</v>
      </c>
      <c r="B120" s="28" t="s">
        <v>4846</v>
      </c>
      <c r="C120" s="26" t="s">
        <v>1255</v>
      </c>
      <c r="D120" s="19">
        <v>2985</v>
      </c>
    </row>
    <row r="121" spans="1:4" x14ac:dyDescent="0.25">
      <c r="A121" s="17">
        <v>120</v>
      </c>
      <c r="B121" s="18" t="s">
        <v>432</v>
      </c>
      <c r="C121" s="26" t="s">
        <v>41</v>
      </c>
      <c r="D121" s="19">
        <v>2983</v>
      </c>
    </row>
    <row r="122" spans="1:4" x14ac:dyDescent="0.25">
      <c r="A122" s="17">
        <v>121</v>
      </c>
      <c r="B122" s="18" t="s">
        <v>4936</v>
      </c>
      <c r="C122" s="26" t="s">
        <v>67</v>
      </c>
      <c r="D122" s="19">
        <v>2976</v>
      </c>
    </row>
    <row r="123" spans="1:4" x14ac:dyDescent="0.25">
      <c r="A123" s="17">
        <v>122</v>
      </c>
      <c r="B123" s="18" t="s">
        <v>2771</v>
      </c>
      <c r="C123" s="26" t="s">
        <v>161</v>
      </c>
      <c r="D123" s="38">
        <v>2934</v>
      </c>
    </row>
    <row r="124" spans="1:4" x14ac:dyDescent="0.25">
      <c r="A124" s="17">
        <v>123</v>
      </c>
      <c r="B124" s="18" t="s">
        <v>2080</v>
      </c>
      <c r="C124" s="26" t="s">
        <v>67</v>
      </c>
      <c r="D124" s="19">
        <v>2893</v>
      </c>
    </row>
    <row r="125" spans="1:4" x14ac:dyDescent="0.25">
      <c r="A125" s="17">
        <v>124</v>
      </c>
      <c r="B125" s="18" t="s">
        <v>5048</v>
      </c>
      <c r="C125" s="26" t="s">
        <v>34</v>
      </c>
      <c r="D125" s="19">
        <v>2890</v>
      </c>
    </row>
    <row r="126" spans="1:4" x14ac:dyDescent="0.25">
      <c r="A126" s="17">
        <v>125</v>
      </c>
      <c r="B126" s="18" t="s">
        <v>2718</v>
      </c>
      <c r="C126" s="26" t="s">
        <v>867</v>
      </c>
      <c r="D126" s="19">
        <v>2851</v>
      </c>
    </row>
    <row r="127" spans="1:4" x14ac:dyDescent="0.25">
      <c r="A127" s="17">
        <v>126</v>
      </c>
      <c r="B127" s="18" t="s">
        <v>1658</v>
      </c>
      <c r="C127" s="26" t="s">
        <v>219</v>
      </c>
      <c r="D127" s="19">
        <v>2768</v>
      </c>
    </row>
    <row r="128" spans="1:4" x14ac:dyDescent="0.25">
      <c r="A128" s="17">
        <v>127</v>
      </c>
      <c r="B128" s="18" t="s">
        <v>501</v>
      </c>
      <c r="C128" s="26" t="s">
        <v>140</v>
      </c>
      <c r="D128" s="19">
        <v>2761</v>
      </c>
    </row>
    <row r="129" spans="1:4" x14ac:dyDescent="0.25">
      <c r="A129" s="17">
        <v>128</v>
      </c>
      <c r="B129" s="18" t="s">
        <v>1097</v>
      </c>
      <c r="C129" s="26" t="s">
        <v>788</v>
      </c>
      <c r="D129" s="19">
        <v>2754</v>
      </c>
    </row>
    <row r="130" spans="1:4" x14ac:dyDescent="0.25">
      <c r="A130" s="17">
        <v>129</v>
      </c>
      <c r="B130" s="18" t="s">
        <v>778</v>
      </c>
      <c r="C130" s="18" t="s">
        <v>779</v>
      </c>
      <c r="D130" s="19">
        <v>2720</v>
      </c>
    </row>
    <row r="131" spans="1:4" x14ac:dyDescent="0.25">
      <c r="A131" s="17">
        <v>130</v>
      </c>
      <c r="B131" s="18" t="s">
        <v>4953</v>
      </c>
      <c r="C131" s="18" t="s">
        <v>1032</v>
      </c>
      <c r="D131" s="19">
        <v>2717</v>
      </c>
    </row>
    <row r="132" spans="1:4" x14ac:dyDescent="0.25">
      <c r="A132" s="17">
        <v>131</v>
      </c>
      <c r="B132" s="18" t="s">
        <v>4892</v>
      </c>
      <c r="C132" s="26" t="s">
        <v>34</v>
      </c>
      <c r="D132" s="19">
        <v>2715</v>
      </c>
    </row>
    <row r="133" spans="1:4" x14ac:dyDescent="0.25">
      <c r="A133" s="17">
        <v>132</v>
      </c>
      <c r="B133" s="18" t="s">
        <v>496</v>
      </c>
      <c r="C133" s="26" t="s">
        <v>123</v>
      </c>
      <c r="D133" s="19">
        <v>2690</v>
      </c>
    </row>
    <row r="134" spans="1:4" x14ac:dyDescent="0.25">
      <c r="A134" s="17">
        <v>133</v>
      </c>
      <c r="B134" s="18" t="s">
        <v>341</v>
      </c>
      <c r="C134" s="26" t="s">
        <v>94</v>
      </c>
      <c r="D134" s="19">
        <v>2668</v>
      </c>
    </row>
    <row r="135" spans="1:4" x14ac:dyDescent="0.25">
      <c r="A135" s="17">
        <v>134</v>
      </c>
      <c r="B135" s="18" t="s">
        <v>656</v>
      </c>
      <c r="C135" s="26" t="s">
        <v>219</v>
      </c>
      <c r="D135" s="19">
        <v>2621</v>
      </c>
    </row>
    <row r="136" spans="1:4" x14ac:dyDescent="0.25">
      <c r="A136" s="17">
        <v>135</v>
      </c>
      <c r="B136" s="18" t="s">
        <v>71</v>
      </c>
      <c r="C136" s="26" t="s">
        <v>72</v>
      </c>
      <c r="D136" s="19">
        <v>2590</v>
      </c>
    </row>
    <row r="137" spans="1:4" x14ac:dyDescent="0.25">
      <c r="A137" s="17">
        <v>136</v>
      </c>
      <c r="B137" s="18" t="s">
        <v>4917</v>
      </c>
      <c r="C137" s="26" t="s">
        <v>192</v>
      </c>
      <c r="D137" s="19">
        <v>2574</v>
      </c>
    </row>
    <row r="138" spans="1:4" x14ac:dyDescent="0.25">
      <c r="A138" s="17">
        <v>137</v>
      </c>
      <c r="B138" s="18" t="s">
        <v>2058</v>
      </c>
      <c r="C138" s="26" t="s">
        <v>88</v>
      </c>
      <c r="D138" s="19">
        <v>2547</v>
      </c>
    </row>
    <row r="139" spans="1:4" x14ac:dyDescent="0.25">
      <c r="A139" s="17">
        <v>138</v>
      </c>
      <c r="B139" s="18" t="s">
        <v>176</v>
      </c>
      <c r="C139" s="26" t="s">
        <v>40</v>
      </c>
      <c r="D139" s="19">
        <v>2481</v>
      </c>
    </row>
    <row r="140" spans="1:4" x14ac:dyDescent="0.25">
      <c r="A140" s="17">
        <v>139</v>
      </c>
      <c r="B140" s="18" t="s">
        <v>2304</v>
      </c>
      <c r="C140" s="26" t="s">
        <v>140</v>
      </c>
      <c r="D140" s="19">
        <v>2454</v>
      </c>
    </row>
    <row r="141" spans="1:4" x14ac:dyDescent="0.25">
      <c r="A141" s="17">
        <v>140</v>
      </c>
      <c r="B141" s="18" t="s">
        <v>2691</v>
      </c>
      <c r="C141" s="18" t="s">
        <v>1327</v>
      </c>
      <c r="D141" s="19">
        <v>2401</v>
      </c>
    </row>
    <row r="142" spans="1:4" x14ac:dyDescent="0.25">
      <c r="A142" s="17">
        <v>141</v>
      </c>
      <c r="B142" s="18" t="s">
        <v>384</v>
      </c>
      <c r="C142" s="26" t="s">
        <v>385</v>
      </c>
      <c r="D142" s="19">
        <v>2383</v>
      </c>
    </row>
    <row r="143" spans="1:4" x14ac:dyDescent="0.25">
      <c r="A143" s="17">
        <v>142</v>
      </c>
      <c r="B143" s="18" t="s">
        <v>4870</v>
      </c>
      <c r="C143" s="26" t="s">
        <v>67</v>
      </c>
      <c r="D143" s="19">
        <v>2382</v>
      </c>
    </row>
    <row r="144" spans="1:4" x14ac:dyDescent="0.25">
      <c r="A144" s="17">
        <v>143</v>
      </c>
      <c r="B144" s="18" t="s">
        <v>39</v>
      </c>
      <c r="C144" s="26" t="s">
        <v>40</v>
      </c>
      <c r="D144" s="19">
        <v>2382</v>
      </c>
    </row>
    <row r="145" spans="1:4" x14ac:dyDescent="0.25">
      <c r="A145" s="17">
        <v>144</v>
      </c>
      <c r="B145" s="18" t="s">
        <v>1317</v>
      </c>
      <c r="C145" s="18" t="s">
        <v>157</v>
      </c>
      <c r="D145" s="19">
        <v>2377</v>
      </c>
    </row>
    <row r="146" spans="1:4" x14ac:dyDescent="0.25">
      <c r="A146" s="17">
        <v>145</v>
      </c>
      <c r="B146" s="18" t="s">
        <v>4913</v>
      </c>
      <c r="C146" s="26" t="s">
        <v>67</v>
      </c>
      <c r="D146" s="19">
        <v>2375</v>
      </c>
    </row>
    <row r="147" spans="1:4" x14ac:dyDescent="0.25">
      <c r="A147" s="17">
        <v>146</v>
      </c>
      <c r="B147" s="18" t="s">
        <v>2527</v>
      </c>
      <c r="C147" s="26" t="s">
        <v>83</v>
      </c>
      <c r="D147" s="19">
        <v>2361</v>
      </c>
    </row>
    <row r="148" spans="1:4" x14ac:dyDescent="0.25">
      <c r="A148" s="17">
        <v>147</v>
      </c>
      <c r="B148" s="18" t="s">
        <v>4881</v>
      </c>
      <c r="C148" s="26" t="s">
        <v>66</v>
      </c>
      <c r="D148" s="19">
        <v>2359</v>
      </c>
    </row>
    <row r="149" spans="1:4" x14ac:dyDescent="0.25">
      <c r="A149" s="17">
        <v>148</v>
      </c>
      <c r="B149" s="18" t="s">
        <v>2571</v>
      </c>
      <c r="C149" s="26" t="s">
        <v>1266</v>
      </c>
      <c r="D149" s="19">
        <v>2357</v>
      </c>
    </row>
    <row r="150" spans="1:4" x14ac:dyDescent="0.25">
      <c r="A150" s="17">
        <v>149</v>
      </c>
      <c r="B150" s="18" t="s">
        <v>1512</v>
      </c>
      <c r="C150" s="26" t="s">
        <v>220</v>
      </c>
      <c r="D150" s="19">
        <v>2341</v>
      </c>
    </row>
    <row r="151" spans="1:4" x14ac:dyDescent="0.25">
      <c r="A151" s="17">
        <v>150</v>
      </c>
      <c r="B151" s="18" t="s">
        <v>4992</v>
      </c>
      <c r="C151" s="26" t="s">
        <v>114</v>
      </c>
      <c r="D151" s="19">
        <v>2335</v>
      </c>
    </row>
    <row r="152" spans="1:4" x14ac:dyDescent="0.25">
      <c r="A152" s="17">
        <v>151</v>
      </c>
      <c r="B152" s="18" t="s">
        <v>5063</v>
      </c>
      <c r="C152" s="26" t="s">
        <v>60</v>
      </c>
      <c r="D152" s="19">
        <v>2331</v>
      </c>
    </row>
    <row r="153" spans="1:4" x14ac:dyDescent="0.25">
      <c r="A153" s="17">
        <v>152</v>
      </c>
      <c r="B153" s="18" t="s">
        <v>4864</v>
      </c>
      <c r="C153" s="26" t="s">
        <v>867</v>
      </c>
      <c r="D153" s="19">
        <v>2325</v>
      </c>
    </row>
    <row r="154" spans="1:4" x14ac:dyDescent="0.25">
      <c r="A154" s="17">
        <v>153</v>
      </c>
      <c r="B154" s="18" t="s">
        <v>5119</v>
      </c>
      <c r="C154" s="26" t="s">
        <v>106</v>
      </c>
      <c r="D154" s="19">
        <v>2301</v>
      </c>
    </row>
    <row r="155" spans="1:4" x14ac:dyDescent="0.25">
      <c r="A155" s="17">
        <v>154</v>
      </c>
      <c r="B155" s="18" t="s">
        <v>258</v>
      </c>
      <c r="C155" s="26" t="s">
        <v>259</v>
      </c>
      <c r="D155" s="19">
        <v>2276</v>
      </c>
    </row>
    <row r="156" spans="1:4" x14ac:dyDescent="0.25">
      <c r="A156" s="17">
        <v>155</v>
      </c>
      <c r="B156" s="18" t="s">
        <v>4806</v>
      </c>
      <c r="C156" s="18" t="s">
        <v>181</v>
      </c>
      <c r="D156" s="38">
        <v>2273</v>
      </c>
    </row>
    <row r="157" spans="1:4" x14ac:dyDescent="0.25">
      <c r="A157" s="17">
        <v>156</v>
      </c>
      <c r="B157" s="18" t="s">
        <v>1422</v>
      </c>
      <c r="C157" s="26" t="s">
        <v>140</v>
      </c>
      <c r="D157" s="19">
        <v>2269</v>
      </c>
    </row>
    <row r="158" spans="1:4" x14ac:dyDescent="0.25">
      <c r="A158" s="17">
        <v>157</v>
      </c>
      <c r="B158" s="18" t="s">
        <v>2408</v>
      </c>
      <c r="C158" s="26" t="s">
        <v>88</v>
      </c>
      <c r="D158" s="19">
        <v>2258</v>
      </c>
    </row>
    <row r="159" spans="1:4" x14ac:dyDescent="0.25">
      <c r="A159" s="17">
        <v>158</v>
      </c>
      <c r="B159" s="18" t="s">
        <v>2213</v>
      </c>
      <c r="C159" s="26" t="s">
        <v>77</v>
      </c>
      <c r="D159" s="19">
        <v>2252</v>
      </c>
    </row>
    <row r="160" spans="1:4" x14ac:dyDescent="0.25">
      <c r="A160" s="17">
        <v>159</v>
      </c>
      <c r="B160" s="18" t="s">
        <v>5066</v>
      </c>
      <c r="C160" s="26" t="s">
        <v>34</v>
      </c>
      <c r="D160" s="19">
        <v>2223</v>
      </c>
    </row>
    <row r="161" spans="1:4" x14ac:dyDescent="0.25">
      <c r="A161" s="17">
        <v>160</v>
      </c>
      <c r="B161" s="18" t="s">
        <v>4857</v>
      </c>
      <c r="C161" s="26" t="s">
        <v>201</v>
      </c>
      <c r="D161" s="19">
        <v>2204</v>
      </c>
    </row>
    <row r="162" spans="1:4" x14ac:dyDescent="0.25">
      <c r="A162" s="17">
        <v>161</v>
      </c>
      <c r="B162" s="18" t="s">
        <v>326</v>
      </c>
      <c r="C162" s="26" t="s">
        <v>88</v>
      </c>
      <c r="D162" s="19">
        <v>2181</v>
      </c>
    </row>
    <row r="163" spans="1:4" x14ac:dyDescent="0.25">
      <c r="A163" s="17">
        <v>162</v>
      </c>
      <c r="B163" s="18" t="s">
        <v>5118</v>
      </c>
      <c r="C163" s="26" t="s">
        <v>277</v>
      </c>
      <c r="D163" s="19">
        <v>2170</v>
      </c>
    </row>
    <row r="164" spans="1:4" x14ac:dyDescent="0.25">
      <c r="A164" s="17">
        <v>163</v>
      </c>
      <c r="B164" s="18" t="s">
        <v>2357</v>
      </c>
      <c r="C164" s="26" t="s">
        <v>564</v>
      </c>
      <c r="D164" s="38">
        <v>2152</v>
      </c>
    </row>
    <row r="165" spans="1:4" x14ac:dyDescent="0.25">
      <c r="A165" s="17">
        <v>164</v>
      </c>
      <c r="B165" s="18" t="s">
        <v>420</v>
      </c>
      <c r="C165" s="26" t="s">
        <v>77</v>
      </c>
      <c r="D165" s="19">
        <v>2141</v>
      </c>
    </row>
    <row r="166" spans="1:4" x14ac:dyDescent="0.25">
      <c r="A166" s="17">
        <v>165</v>
      </c>
      <c r="B166" s="18" t="s">
        <v>2726</v>
      </c>
      <c r="C166" s="26" t="s">
        <v>83</v>
      </c>
      <c r="D166" s="19">
        <v>2125</v>
      </c>
    </row>
    <row r="167" spans="1:4" x14ac:dyDescent="0.25">
      <c r="A167" s="17">
        <v>166</v>
      </c>
      <c r="B167" s="18" t="s">
        <v>1265</v>
      </c>
      <c r="C167" s="26" t="s">
        <v>1266</v>
      </c>
      <c r="D167" s="19">
        <v>2125</v>
      </c>
    </row>
    <row r="168" spans="1:4" x14ac:dyDescent="0.25">
      <c r="A168" s="17">
        <v>167</v>
      </c>
      <c r="B168" s="18" t="s">
        <v>1322</v>
      </c>
      <c r="C168" s="26" t="s">
        <v>114</v>
      </c>
      <c r="D168" s="19">
        <v>2110</v>
      </c>
    </row>
    <row r="169" spans="1:4" x14ac:dyDescent="0.25">
      <c r="A169" s="17">
        <v>168</v>
      </c>
      <c r="B169" s="18" t="s">
        <v>987</v>
      </c>
      <c r="C169" s="26" t="s">
        <v>988</v>
      </c>
      <c r="D169" s="19">
        <v>2096</v>
      </c>
    </row>
    <row r="170" spans="1:4" x14ac:dyDescent="0.25">
      <c r="A170" s="17">
        <v>169</v>
      </c>
      <c r="B170" s="18" t="s">
        <v>4924</v>
      </c>
      <c r="C170" s="26" t="s">
        <v>119</v>
      </c>
      <c r="D170" s="19">
        <v>2085</v>
      </c>
    </row>
    <row r="171" spans="1:4" x14ac:dyDescent="0.25">
      <c r="A171" s="17">
        <v>170</v>
      </c>
      <c r="B171" s="18" t="s">
        <v>4923</v>
      </c>
      <c r="C171" s="26" t="s">
        <v>25</v>
      </c>
      <c r="D171" s="19">
        <v>2078</v>
      </c>
    </row>
    <row r="172" spans="1:4" x14ac:dyDescent="0.25">
      <c r="A172" s="17">
        <v>171</v>
      </c>
      <c r="B172" s="18" t="s">
        <v>5074</v>
      </c>
      <c r="C172" s="26" t="s">
        <v>67</v>
      </c>
      <c r="D172" s="19">
        <v>2070</v>
      </c>
    </row>
    <row r="173" spans="1:4" x14ac:dyDescent="0.25">
      <c r="A173" s="17">
        <v>172</v>
      </c>
      <c r="B173" s="18" t="s">
        <v>4863</v>
      </c>
      <c r="C173" s="26" t="s">
        <v>59</v>
      </c>
      <c r="D173" s="19">
        <v>2046</v>
      </c>
    </row>
    <row r="174" spans="1:4" x14ac:dyDescent="0.25">
      <c r="A174" s="17">
        <v>173</v>
      </c>
      <c r="B174" s="18" t="s">
        <v>943</v>
      </c>
      <c r="C174" s="26" t="s">
        <v>88</v>
      </c>
      <c r="D174" s="19">
        <v>2038</v>
      </c>
    </row>
    <row r="175" spans="1:4" x14ac:dyDescent="0.25">
      <c r="A175" s="17">
        <v>174</v>
      </c>
      <c r="B175" s="18" t="s">
        <v>65</v>
      </c>
      <c r="C175" s="26" t="s">
        <v>66</v>
      </c>
      <c r="D175" s="19">
        <v>2036</v>
      </c>
    </row>
    <row r="176" spans="1:4" x14ac:dyDescent="0.25">
      <c r="A176" s="17">
        <v>175</v>
      </c>
      <c r="B176" s="18" t="s">
        <v>2858</v>
      </c>
      <c r="C176" s="26" t="s">
        <v>788</v>
      </c>
      <c r="D176" s="38">
        <v>2035</v>
      </c>
    </row>
    <row r="177" spans="1:4" x14ac:dyDescent="0.25">
      <c r="A177" s="17">
        <v>176</v>
      </c>
      <c r="B177" s="18" t="s">
        <v>110</v>
      </c>
      <c r="C177" s="26" t="s">
        <v>40</v>
      </c>
      <c r="D177" s="19">
        <v>2031</v>
      </c>
    </row>
    <row r="178" spans="1:4" x14ac:dyDescent="0.25">
      <c r="A178" s="17">
        <v>177</v>
      </c>
      <c r="B178" s="18" t="s">
        <v>2278</v>
      </c>
      <c r="C178" s="26" t="s">
        <v>1266</v>
      </c>
      <c r="D178" s="19">
        <v>2022</v>
      </c>
    </row>
    <row r="179" spans="1:4" x14ac:dyDescent="0.25">
      <c r="A179" s="17">
        <v>178</v>
      </c>
      <c r="B179" s="18" t="s">
        <v>317</v>
      </c>
      <c r="C179" s="26" t="s">
        <v>318</v>
      </c>
      <c r="D179" s="19">
        <v>2009</v>
      </c>
    </row>
    <row r="180" spans="1:4" x14ac:dyDescent="0.25">
      <c r="A180" s="17">
        <v>179</v>
      </c>
      <c r="B180" s="18" t="s">
        <v>1783</v>
      </c>
      <c r="C180" s="26" t="s">
        <v>88</v>
      </c>
      <c r="D180" s="19">
        <v>2008</v>
      </c>
    </row>
    <row r="181" spans="1:4" x14ac:dyDescent="0.25">
      <c r="A181" s="17">
        <v>180</v>
      </c>
      <c r="B181" s="18" t="s">
        <v>860</v>
      </c>
      <c r="C181" s="26" t="s">
        <v>98</v>
      </c>
      <c r="D181" s="19">
        <v>2007</v>
      </c>
    </row>
    <row r="182" spans="1:4" x14ac:dyDescent="0.25">
      <c r="A182" s="17">
        <v>181</v>
      </c>
      <c r="B182" s="18" t="s">
        <v>2103</v>
      </c>
      <c r="C182" s="26" t="s">
        <v>225</v>
      </c>
      <c r="D182" s="19">
        <v>2001</v>
      </c>
    </row>
    <row r="183" spans="1:4" x14ac:dyDescent="0.25">
      <c r="A183" s="17">
        <v>182</v>
      </c>
      <c r="B183" s="18" t="s">
        <v>4986</v>
      </c>
      <c r="C183" s="26" t="s">
        <v>693</v>
      </c>
      <c r="D183" s="19">
        <v>1997</v>
      </c>
    </row>
    <row r="184" spans="1:4" x14ac:dyDescent="0.25">
      <c r="A184" s="17">
        <v>183</v>
      </c>
      <c r="B184" s="18" t="s">
        <v>2558</v>
      </c>
      <c r="C184" s="26" t="s">
        <v>304</v>
      </c>
      <c r="D184" s="19">
        <v>1993</v>
      </c>
    </row>
    <row r="185" spans="1:4" x14ac:dyDescent="0.25">
      <c r="A185" s="17">
        <v>184</v>
      </c>
      <c r="B185" s="18" t="s">
        <v>5116</v>
      </c>
      <c r="C185" s="26" t="s">
        <v>152</v>
      </c>
      <c r="D185" s="19">
        <v>1986</v>
      </c>
    </row>
    <row r="186" spans="1:4" x14ac:dyDescent="0.25">
      <c r="A186" s="17">
        <v>185</v>
      </c>
      <c r="B186" s="18" t="s">
        <v>2900</v>
      </c>
      <c r="C186" s="18" t="s">
        <v>858</v>
      </c>
      <c r="D186" s="19">
        <v>1986</v>
      </c>
    </row>
    <row r="187" spans="1:4" x14ac:dyDescent="0.25">
      <c r="A187" s="17">
        <v>186</v>
      </c>
      <c r="B187" s="18" t="s">
        <v>1477</v>
      </c>
      <c r="C187" s="26" t="s">
        <v>259</v>
      </c>
      <c r="D187" s="19">
        <v>1977</v>
      </c>
    </row>
    <row r="188" spans="1:4" x14ac:dyDescent="0.25">
      <c r="A188" s="17">
        <v>187</v>
      </c>
      <c r="B188" s="18" t="s">
        <v>2587</v>
      </c>
      <c r="C188" s="26" t="s">
        <v>151</v>
      </c>
      <c r="D188" s="38">
        <v>1969</v>
      </c>
    </row>
    <row r="189" spans="1:4" x14ac:dyDescent="0.25">
      <c r="A189" s="17">
        <v>188</v>
      </c>
      <c r="B189" s="18" t="s">
        <v>5094</v>
      </c>
      <c r="C189" s="26" t="s">
        <v>134</v>
      </c>
      <c r="D189" s="19">
        <v>1959</v>
      </c>
    </row>
    <row r="190" spans="1:4" x14ac:dyDescent="0.25">
      <c r="A190" s="17">
        <v>189</v>
      </c>
      <c r="B190" s="18" t="s">
        <v>1591</v>
      </c>
      <c r="C190" s="26" t="s">
        <v>123</v>
      </c>
      <c r="D190" s="19">
        <v>1950</v>
      </c>
    </row>
    <row r="191" spans="1:4" x14ac:dyDescent="0.25">
      <c r="A191" s="17">
        <v>190</v>
      </c>
      <c r="B191" s="18" t="s">
        <v>4969</v>
      </c>
      <c r="C191" s="26" t="s">
        <v>145</v>
      </c>
      <c r="D191" s="19">
        <v>1934</v>
      </c>
    </row>
    <row r="192" spans="1:4" x14ac:dyDescent="0.25">
      <c r="A192" s="17">
        <v>191</v>
      </c>
      <c r="B192" s="18" t="s">
        <v>1376</v>
      </c>
      <c r="C192" s="26" t="s">
        <v>114</v>
      </c>
      <c r="D192" s="19">
        <v>1924</v>
      </c>
    </row>
    <row r="193" spans="1:4" x14ac:dyDescent="0.25">
      <c r="A193" s="17">
        <v>192</v>
      </c>
      <c r="B193" s="18" t="s">
        <v>2485</v>
      </c>
      <c r="C193" s="26" t="s">
        <v>77</v>
      </c>
      <c r="D193" s="19">
        <v>1912</v>
      </c>
    </row>
    <row r="194" spans="1:4" x14ac:dyDescent="0.25">
      <c r="A194" s="17">
        <v>193</v>
      </c>
      <c r="B194" s="18" t="s">
        <v>1440</v>
      </c>
      <c r="C194" s="26" t="s">
        <v>123</v>
      </c>
      <c r="D194" s="19">
        <v>1909</v>
      </c>
    </row>
    <row r="195" spans="1:4" x14ac:dyDescent="0.25">
      <c r="A195" s="17">
        <v>194</v>
      </c>
      <c r="B195" s="18" t="s">
        <v>4888</v>
      </c>
      <c r="C195" s="26" t="s">
        <v>186</v>
      </c>
      <c r="D195" s="19">
        <v>1901</v>
      </c>
    </row>
    <row r="196" spans="1:4" x14ac:dyDescent="0.25">
      <c r="A196" s="17">
        <v>195</v>
      </c>
      <c r="B196" s="18" t="s">
        <v>1238</v>
      </c>
      <c r="C196" s="26" t="s">
        <v>788</v>
      </c>
      <c r="D196" s="19">
        <v>1888</v>
      </c>
    </row>
    <row r="197" spans="1:4" x14ac:dyDescent="0.25">
      <c r="A197" s="17">
        <v>196</v>
      </c>
      <c r="B197" s="18" t="s">
        <v>5075</v>
      </c>
      <c r="C197" s="18" t="s">
        <v>798</v>
      </c>
      <c r="D197" s="19">
        <v>1867</v>
      </c>
    </row>
    <row r="198" spans="1:4" x14ac:dyDescent="0.25">
      <c r="A198" s="17">
        <v>197</v>
      </c>
      <c r="B198" s="18" t="s">
        <v>4907</v>
      </c>
      <c r="C198" s="26" t="s">
        <v>220</v>
      </c>
      <c r="D198" s="19">
        <v>1860</v>
      </c>
    </row>
    <row r="199" spans="1:4" x14ac:dyDescent="0.25">
      <c r="A199" s="17">
        <v>198</v>
      </c>
      <c r="B199" s="18" t="s">
        <v>1042</v>
      </c>
      <c r="C199" s="26" t="s">
        <v>259</v>
      </c>
      <c r="D199" s="19">
        <v>1850</v>
      </c>
    </row>
    <row r="200" spans="1:4" x14ac:dyDescent="0.25">
      <c r="A200" s="17">
        <v>199</v>
      </c>
      <c r="B200" s="18" t="s">
        <v>1430</v>
      </c>
      <c r="C200" s="26" t="s">
        <v>146</v>
      </c>
      <c r="D200" s="19">
        <v>1823</v>
      </c>
    </row>
    <row r="201" spans="1:4" x14ac:dyDescent="0.25">
      <c r="A201" s="17">
        <v>200</v>
      </c>
      <c r="B201" s="18" t="s">
        <v>3024</v>
      </c>
      <c r="C201" s="26" t="s">
        <v>106</v>
      </c>
      <c r="D201" s="19">
        <v>1822</v>
      </c>
    </row>
    <row r="202" spans="1:4" x14ac:dyDescent="0.25">
      <c r="A202" s="17">
        <v>201</v>
      </c>
      <c r="B202" s="18" t="s">
        <v>1349</v>
      </c>
      <c r="C202" s="26" t="s">
        <v>94</v>
      </c>
      <c r="D202" s="19">
        <v>1818</v>
      </c>
    </row>
    <row r="203" spans="1:4" x14ac:dyDescent="0.25">
      <c r="A203" s="17">
        <v>202</v>
      </c>
      <c r="B203" s="18" t="s">
        <v>557</v>
      </c>
      <c r="C203" s="26" t="s">
        <v>60</v>
      </c>
      <c r="D203" s="19">
        <v>1802</v>
      </c>
    </row>
    <row r="204" spans="1:4" x14ac:dyDescent="0.25">
      <c r="A204" s="17">
        <v>203</v>
      </c>
      <c r="B204" s="18" t="s">
        <v>1206</v>
      </c>
      <c r="C204" s="26" t="s">
        <v>134</v>
      </c>
      <c r="D204" s="19">
        <v>1770</v>
      </c>
    </row>
    <row r="205" spans="1:4" x14ac:dyDescent="0.25">
      <c r="A205" s="17">
        <v>204</v>
      </c>
      <c r="B205" s="18" t="s">
        <v>4962</v>
      </c>
      <c r="C205" s="18" t="s">
        <v>775</v>
      </c>
      <c r="D205" s="19">
        <v>1751</v>
      </c>
    </row>
    <row r="206" spans="1:4" x14ac:dyDescent="0.25">
      <c r="A206" s="17">
        <v>205</v>
      </c>
      <c r="B206" s="18" t="s">
        <v>675</v>
      </c>
      <c r="C206" s="26" t="s">
        <v>168</v>
      </c>
      <c r="D206" s="19">
        <v>1750</v>
      </c>
    </row>
    <row r="207" spans="1:4" x14ac:dyDescent="0.25">
      <c r="A207" s="17">
        <v>206</v>
      </c>
      <c r="B207" s="28" t="s">
        <v>4875</v>
      </c>
      <c r="C207" s="26" t="s">
        <v>693</v>
      </c>
      <c r="D207" s="19">
        <v>1735</v>
      </c>
    </row>
    <row r="208" spans="1:4" x14ac:dyDescent="0.25">
      <c r="A208" s="17">
        <v>207</v>
      </c>
      <c r="B208" s="18" t="s">
        <v>1210</v>
      </c>
      <c r="C208" s="26" t="s">
        <v>337</v>
      </c>
      <c r="D208" s="19">
        <v>1726</v>
      </c>
    </row>
    <row r="209" spans="1:4" x14ac:dyDescent="0.25">
      <c r="A209" s="17">
        <v>208</v>
      </c>
      <c r="B209" s="18" t="s">
        <v>2650</v>
      </c>
      <c r="C209" s="18" t="s">
        <v>901</v>
      </c>
      <c r="D209" s="19">
        <v>1714</v>
      </c>
    </row>
    <row r="210" spans="1:4" x14ac:dyDescent="0.25">
      <c r="A210" s="17">
        <v>209</v>
      </c>
      <c r="B210" s="18" t="s">
        <v>2733</v>
      </c>
      <c r="C210" s="26" t="s">
        <v>60</v>
      </c>
      <c r="D210" s="38">
        <v>1711</v>
      </c>
    </row>
    <row r="211" spans="1:4" x14ac:dyDescent="0.25">
      <c r="A211" s="17">
        <v>210</v>
      </c>
      <c r="B211" s="18" t="s">
        <v>1138</v>
      </c>
      <c r="C211" s="26" t="s">
        <v>259</v>
      </c>
      <c r="D211" s="19">
        <v>1705</v>
      </c>
    </row>
    <row r="212" spans="1:4" x14ac:dyDescent="0.25">
      <c r="A212" s="17">
        <v>211</v>
      </c>
      <c r="B212" s="18" t="s">
        <v>1099</v>
      </c>
      <c r="C212" s="26" t="s">
        <v>867</v>
      </c>
      <c r="D212" s="19">
        <v>1699</v>
      </c>
    </row>
    <row r="213" spans="1:4" x14ac:dyDescent="0.25">
      <c r="A213" s="17">
        <v>212</v>
      </c>
      <c r="B213" s="18" t="s">
        <v>518</v>
      </c>
      <c r="C213" s="26" t="s">
        <v>140</v>
      </c>
      <c r="D213" s="19">
        <v>1638</v>
      </c>
    </row>
    <row r="214" spans="1:4" x14ac:dyDescent="0.25">
      <c r="A214" s="17">
        <v>213</v>
      </c>
      <c r="B214" s="18" t="s">
        <v>2084</v>
      </c>
      <c r="C214" s="26" t="s">
        <v>1614</v>
      </c>
      <c r="D214" s="38">
        <v>1636</v>
      </c>
    </row>
    <row r="215" spans="1:4" x14ac:dyDescent="0.25">
      <c r="A215" s="17">
        <v>214</v>
      </c>
      <c r="B215" s="18" t="s">
        <v>2355</v>
      </c>
      <c r="C215" s="26" t="s">
        <v>60</v>
      </c>
      <c r="D215" s="19">
        <v>1607</v>
      </c>
    </row>
    <row r="216" spans="1:4" x14ac:dyDescent="0.25">
      <c r="A216" s="17">
        <v>215</v>
      </c>
      <c r="B216" s="18" t="s">
        <v>230</v>
      </c>
      <c r="C216" s="26" t="s">
        <v>67</v>
      </c>
      <c r="D216" s="19">
        <v>1606</v>
      </c>
    </row>
    <row r="217" spans="1:4" x14ac:dyDescent="0.25">
      <c r="A217" s="17">
        <v>216</v>
      </c>
      <c r="B217" s="18" t="s">
        <v>2688</v>
      </c>
      <c r="C217" s="18" t="s">
        <v>181</v>
      </c>
      <c r="D217" s="19">
        <v>1604</v>
      </c>
    </row>
    <row r="218" spans="1:4" x14ac:dyDescent="0.25">
      <c r="A218" s="17">
        <v>217</v>
      </c>
      <c r="B218" s="18" t="s">
        <v>5040</v>
      </c>
      <c r="C218" s="26" t="s">
        <v>123</v>
      </c>
      <c r="D218" s="19">
        <v>1591</v>
      </c>
    </row>
    <row r="219" spans="1:4" x14ac:dyDescent="0.25">
      <c r="A219" s="17">
        <v>218</v>
      </c>
      <c r="B219" s="18" t="s">
        <v>895</v>
      </c>
      <c r="C219" s="26" t="s">
        <v>219</v>
      </c>
      <c r="D219" s="19">
        <v>1588</v>
      </c>
    </row>
    <row r="220" spans="1:4" x14ac:dyDescent="0.25">
      <c r="A220" s="17">
        <v>219</v>
      </c>
      <c r="B220" s="18" t="s">
        <v>5064</v>
      </c>
      <c r="C220" s="26" t="s">
        <v>134</v>
      </c>
      <c r="D220" s="19">
        <v>1565</v>
      </c>
    </row>
    <row r="221" spans="1:4" x14ac:dyDescent="0.25">
      <c r="A221" s="17">
        <v>220</v>
      </c>
      <c r="B221" s="18" t="s">
        <v>5126</v>
      </c>
      <c r="C221" s="26" t="s">
        <v>82</v>
      </c>
      <c r="D221" s="19">
        <v>1563</v>
      </c>
    </row>
    <row r="222" spans="1:4" x14ac:dyDescent="0.25">
      <c r="A222" s="17">
        <v>221</v>
      </c>
      <c r="B222" s="18" t="s">
        <v>397</v>
      </c>
      <c r="C222" s="26" t="s">
        <v>331</v>
      </c>
      <c r="D222" s="19">
        <v>1555</v>
      </c>
    </row>
    <row r="223" spans="1:4" x14ac:dyDescent="0.25">
      <c r="A223" s="17">
        <v>222</v>
      </c>
      <c r="B223" s="18" t="s">
        <v>5110</v>
      </c>
      <c r="C223" s="26" t="s">
        <v>1696</v>
      </c>
      <c r="D223" s="38">
        <v>1546</v>
      </c>
    </row>
    <row r="224" spans="1:4" x14ac:dyDescent="0.25">
      <c r="A224" s="17">
        <v>223</v>
      </c>
      <c r="B224" s="18" t="s">
        <v>932</v>
      </c>
      <c r="C224" s="26" t="s">
        <v>225</v>
      </c>
      <c r="D224" s="19">
        <v>1540</v>
      </c>
    </row>
    <row r="225" spans="1:4" x14ac:dyDescent="0.25">
      <c r="A225" s="17">
        <v>224</v>
      </c>
      <c r="B225" s="18" t="s">
        <v>262</v>
      </c>
      <c r="C225" s="26" t="s">
        <v>94</v>
      </c>
      <c r="D225" s="19">
        <v>1539</v>
      </c>
    </row>
    <row r="226" spans="1:4" x14ac:dyDescent="0.25">
      <c r="A226" s="17">
        <v>225</v>
      </c>
      <c r="B226" s="28" t="s">
        <v>1630</v>
      </c>
      <c r="C226" s="26" t="s">
        <v>123</v>
      </c>
      <c r="D226" s="19">
        <v>1534</v>
      </c>
    </row>
    <row r="227" spans="1:4" x14ac:dyDescent="0.25">
      <c r="A227" s="17">
        <v>226</v>
      </c>
      <c r="B227" s="18" t="s">
        <v>2993</v>
      </c>
      <c r="C227" s="26" t="s">
        <v>134</v>
      </c>
      <c r="D227" s="19">
        <v>1525</v>
      </c>
    </row>
    <row r="228" spans="1:4" x14ac:dyDescent="0.25">
      <c r="A228" s="17">
        <v>227</v>
      </c>
      <c r="B228" s="18" t="s">
        <v>4876</v>
      </c>
      <c r="C228" s="26" t="s">
        <v>87</v>
      </c>
      <c r="D228" s="19">
        <v>1522</v>
      </c>
    </row>
    <row r="229" spans="1:4" x14ac:dyDescent="0.25">
      <c r="A229" s="17">
        <v>228</v>
      </c>
      <c r="B229" s="18" t="s">
        <v>3021</v>
      </c>
      <c r="C229" s="18" t="s">
        <v>779</v>
      </c>
      <c r="D229" s="19">
        <v>1504</v>
      </c>
    </row>
    <row r="230" spans="1:4" x14ac:dyDescent="0.25">
      <c r="A230" s="17">
        <v>229</v>
      </c>
      <c r="B230" s="18" t="s">
        <v>854</v>
      </c>
      <c r="C230" s="26" t="s">
        <v>290</v>
      </c>
      <c r="D230" s="19">
        <v>1503</v>
      </c>
    </row>
    <row r="231" spans="1:4" x14ac:dyDescent="0.25">
      <c r="A231" s="17">
        <v>230</v>
      </c>
      <c r="B231" s="18" t="s">
        <v>2151</v>
      </c>
      <c r="C231" s="26" t="s">
        <v>34</v>
      </c>
      <c r="D231" s="38">
        <v>1501</v>
      </c>
    </row>
    <row r="232" spans="1:4" x14ac:dyDescent="0.25">
      <c r="A232" s="17">
        <v>231</v>
      </c>
      <c r="B232" s="18" t="s">
        <v>1677</v>
      </c>
      <c r="C232" s="26" t="s">
        <v>114</v>
      </c>
      <c r="D232" s="19">
        <v>1500</v>
      </c>
    </row>
    <row r="233" spans="1:4" x14ac:dyDescent="0.25">
      <c r="A233" s="17">
        <v>232</v>
      </c>
      <c r="B233" s="18" t="s">
        <v>2785</v>
      </c>
      <c r="C233" s="18" t="s">
        <v>779</v>
      </c>
      <c r="D233" s="19">
        <v>1498</v>
      </c>
    </row>
    <row r="234" spans="1:4" x14ac:dyDescent="0.25">
      <c r="A234" s="17">
        <v>233</v>
      </c>
      <c r="B234" s="18" t="s">
        <v>5079</v>
      </c>
      <c r="C234" s="26" t="s">
        <v>146</v>
      </c>
      <c r="D234" s="19">
        <v>1497</v>
      </c>
    </row>
    <row r="235" spans="1:4" x14ac:dyDescent="0.25">
      <c r="A235" s="17">
        <v>234</v>
      </c>
      <c r="B235" s="18" t="s">
        <v>2310</v>
      </c>
      <c r="C235" s="18" t="s">
        <v>181</v>
      </c>
      <c r="D235" s="19">
        <v>1497</v>
      </c>
    </row>
    <row r="236" spans="1:4" x14ac:dyDescent="0.25">
      <c r="A236" s="17">
        <v>235</v>
      </c>
      <c r="B236" s="18" t="s">
        <v>1489</v>
      </c>
      <c r="C236" s="26" t="s">
        <v>34</v>
      </c>
      <c r="D236" s="19">
        <v>1483</v>
      </c>
    </row>
    <row r="237" spans="1:4" x14ac:dyDescent="0.25">
      <c r="A237" s="17">
        <v>236</v>
      </c>
      <c r="B237" s="18" t="s">
        <v>466</v>
      </c>
      <c r="C237" s="26" t="s">
        <v>87</v>
      </c>
      <c r="D237" s="19">
        <v>1478</v>
      </c>
    </row>
    <row r="238" spans="1:4" x14ac:dyDescent="0.25">
      <c r="A238" s="17">
        <v>237</v>
      </c>
      <c r="B238" s="18" t="s">
        <v>4840</v>
      </c>
      <c r="C238" s="26" t="s">
        <v>788</v>
      </c>
      <c r="D238" s="19">
        <v>1476</v>
      </c>
    </row>
    <row r="239" spans="1:4" x14ac:dyDescent="0.25">
      <c r="A239" s="17">
        <v>238</v>
      </c>
      <c r="B239" s="18" t="s">
        <v>2840</v>
      </c>
      <c r="C239" s="26" t="s">
        <v>134</v>
      </c>
      <c r="D239" s="19">
        <v>1472</v>
      </c>
    </row>
    <row r="240" spans="1:4" x14ac:dyDescent="0.25">
      <c r="A240" s="17">
        <v>239</v>
      </c>
      <c r="B240" s="18" t="s">
        <v>2046</v>
      </c>
      <c r="C240" s="26" t="s">
        <v>818</v>
      </c>
      <c r="D240" s="19">
        <v>1470</v>
      </c>
    </row>
    <row r="241" spans="1:4" x14ac:dyDescent="0.25">
      <c r="A241" s="17">
        <v>240</v>
      </c>
      <c r="B241" s="18" t="s">
        <v>2259</v>
      </c>
      <c r="C241" s="26" t="s">
        <v>41</v>
      </c>
      <c r="D241" s="19">
        <v>1464</v>
      </c>
    </row>
    <row r="242" spans="1:4" x14ac:dyDescent="0.25">
      <c r="A242" s="17">
        <v>241</v>
      </c>
      <c r="B242" s="18" t="s">
        <v>2291</v>
      </c>
      <c r="C242" s="26" t="s">
        <v>788</v>
      </c>
      <c r="D242" s="38">
        <v>1445</v>
      </c>
    </row>
    <row r="243" spans="1:4" x14ac:dyDescent="0.25">
      <c r="A243" s="17">
        <v>242</v>
      </c>
      <c r="B243" s="18" t="s">
        <v>409</v>
      </c>
      <c r="C243" s="26" t="s">
        <v>59</v>
      </c>
      <c r="D243" s="19">
        <v>1433</v>
      </c>
    </row>
    <row r="244" spans="1:4" x14ac:dyDescent="0.25">
      <c r="A244" s="17">
        <v>243</v>
      </c>
      <c r="B244" s="18" t="s">
        <v>1105</v>
      </c>
      <c r="C244" s="18" t="s">
        <v>825</v>
      </c>
      <c r="D244" s="19">
        <v>1426</v>
      </c>
    </row>
    <row r="245" spans="1:4" x14ac:dyDescent="0.25">
      <c r="A245" s="17">
        <v>244</v>
      </c>
      <c r="B245" s="18" t="s">
        <v>2953</v>
      </c>
      <c r="C245" s="26" t="s">
        <v>788</v>
      </c>
      <c r="D245" s="19">
        <v>1419</v>
      </c>
    </row>
    <row r="246" spans="1:4" x14ac:dyDescent="0.25">
      <c r="A246" s="17">
        <v>245</v>
      </c>
      <c r="B246" s="18" t="s">
        <v>4981</v>
      </c>
      <c r="C246" s="26" t="s">
        <v>259</v>
      </c>
      <c r="D246" s="19">
        <v>1416</v>
      </c>
    </row>
    <row r="247" spans="1:4" x14ac:dyDescent="0.25">
      <c r="A247" s="17">
        <v>246</v>
      </c>
      <c r="B247" s="18" t="s">
        <v>1072</v>
      </c>
      <c r="C247" s="18" t="s">
        <v>59</v>
      </c>
      <c r="D247" s="19">
        <v>1414</v>
      </c>
    </row>
    <row r="248" spans="1:4" x14ac:dyDescent="0.25">
      <c r="A248" s="17">
        <v>247</v>
      </c>
      <c r="B248" s="18" t="s">
        <v>5143</v>
      </c>
      <c r="C248" s="26" t="s">
        <v>313</v>
      </c>
      <c r="D248" s="19">
        <v>1406</v>
      </c>
    </row>
    <row r="249" spans="1:4" x14ac:dyDescent="0.25">
      <c r="A249" s="17">
        <v>248</v>
      </c>
      <c r="B249" s="18" t="s">
        <v>1127</v>
      </c>
      <c r="C249" s="26" t="s">
        <v>717</v>
      </c>
      <c r="D249" s="19">
        <v>1395</v>
      </c>
    </row>
    <row r="250" spans="1:4" x14ac:dyDescent="0.25">
      <c r="A250" s="17">
        <v>249</v>
      </c>
      <c r="B250" s="18" t="s">
        <v>2483</v>
      </c>
      <c r="C250" s="18" t="s">
        <v>874</v>
      </c>
      <c r="D250" s="19">
        <v>1392</v>
      </c>
    </row>
    <row r="251" spans="1:4" x14ac:dyDescent="0.25">
      <c r="A251" s="17">
        <v>250</v>
      </c>
      <c r="B251" s="18" t="s">
        <v>2179</v>
      </c>
      <c r="C251" s="26" t="s">
        <v>225</v>
      </c>
      <c r="D251" s="19">
        <v>1390</v>
      </c>
    </row>
    <row r="252" spans="1:4" x14ac:dyDescent="0.25">
      <c r="A252" s="17">
        <v>251</v>
      </c>
      <c r="B252" s="18" t="s">
        <v>2205</v>
      </c>
      <c r="C252" s="26" t="s">
        <v>788</v>
      </c>
      <c r="D252" s="38">
        <v>1389</v>
      </c>
    </row>
    <row r="253" spans="1:4" x14ac:dyDescent="0.25">
      <c r="A253" s="17">
        <v>252</v>
      </c>
      <c r="B253" s="18" t="s">
        <v>5044</v>
      </c>
      <c r="C253" s="18" t="s">
        <v>798</v>
      </c>
      <c r="D253" s="19">
        <v>1379</v>
      </c>
    </row>
    <row r="254" spans="1:4" x14ac:dyDescent="0.25">
      <c r="A254" s="17">
        <v>253</v>
      </c>
      <c r="B254" s="18" t="s">
        <v>4871</v>
      </c>
      <c r="C254" s="26" t="s">
        <v>337</v>
      </c>
      <c r="D254" s="19">
        <v>1374</v>
      </c>
    </row>
    <row r="255" spans="1:4" x14ac:dyDescent="0.25">
      <c r="A255" s="17">
        <v>254</v>
      </c>
      <c r="B255" s="18" t="s">
        <v>1523</v>
      </c>
      <c r="C255" s="26" t="s">
        <v>988</v>
      </c>
      <c r="D255" s="19">
        <v>1371</v>
      </c>
    </row>
    <row r="256" spans="1:4" x14ac:dyDescent="0.25">
      <c r="A256" s="17">
        <v>255</v>
      </c>
      <c r="B256" s="18" t="s">
        <v>4865</v>
      </c>
      <c r="C256" s="26" t="s">
        <v>219</v>
      </c>
      <c r="D256" s="19">
        <v>1370</v>
      </c>
    </row>
    <row r="257" spans="1:4" x14ac:dyDescent="0.25">
      <c r="A257" s="17">
        <v>256</v>
      </c>
      <c r="B257" s="18" t="s">
        <v>1712</v>
      </c>
      <c r="C257" s="26" t="s">
        <v>1608</v>
      </c>
      <c r="D257" s="38">
        <v>1363</v>
      </c>
    </row>
    <row r="258" spans="1:4" x14ac:dyDescent="0.25">
      <c r="A258" s="17">
        <v>257</v>
      </c>
      <c r="B258" s="18" t="s">
        <v>754</v>
      </c>
      <c r="C258" s="26" t="s">
        <v>94</v>
      </c>
      <c r="D258" s="19">
        <v>1361</v>
      </c>
    </row>
    <row r="259" spans="1:4" x14ac:dyDescent="0.25">
      <c r="A259" s="17">
        <v>258</v>
      </c>
      <c r="B259" s="18" t="s">
        <v>4926</v>
      </c>
      <c r="C259" s="18" t="s">
        <v>111</v>
      </c>
      <c r="D259" s="19">
        <v>1356</v>
      </c>
    </row>
    <row r="260" spans="1:4" x14ac:dyDescent="0.25">
      <c r="A260" s="17">
        <v>259</v>
      </c>
      <c r="B260" s="18" t="s">
        <v>873</v>
      </c>
      <c r="C260" s="18" t="s">
        <v>874</v>
      </c>
      <c r="D260" s="19">
        <v>1353</v>
      </c>
    </row>
    <row r="261" spans="1:4" x14ac:dyDescent="0.25">
      <c r="A261" s="17">
        <v>260</v>
      </c>
      <c r="B261" s="18" t="s">
        <v>440</v>
      </c>
      <c r="C261" s="26" t="s">
        <v>53</v>
      </c>
      <c r="D261" s="19">
        <v>1346</v>
      </c>
    </row>
    <row r="262" spans="1:4" x14ac:dyDescent="0.25">
      <c r="A262" s="17">
        <v>261</v>
      </c>
      <c r="B262" s="18" t="s">
        <v>4879</v>
      </c>
      <c r="C262" s="26" t="s">
        <v>134</v>
      </c>
      <c r="D262" s="19">
        <v>1334</v>
      </c>
    </row>
    <row r="263" spans="1:4" x14ac:dyDescent="0.25">
      <c r="A263" s="17">
        <v>262</v>
      </c>
      <c r="B263" s="18" t="s">
        <v>5068</v>
      </c>
      <c r="C263" s="26" t="s">
        <v>1076</v>
      </c>
      <c r="D263" s="19">
        <v>1333</v>
      </c>
    </row>
    <row r="264" spans="1:4" x14ac:dyDescent="0.25">
      <c r="A264" s="17">
        <v>263</v>
      </c>
      <c r="B264" s="18" t="s">
        <v>2225</v>
      </c>
      <c r="C264" s="26" t="s">
        <v>259</v>
      </c>
      <c r="D264" s="19">
        <v>1333</v>
      </c>
    </row>
    <row r="265" spans="1:4" x14ac:dyDescent="0.25">
      <c r="A265" s="17">
        <v>264</v>
      </c>
      <c r="B265" s="28" t="s">
        <v>5147</v>
      </c>
      <c r="C265" s="26" t="s">
        <v>146</v>
      </c>
      <c r="D265" s="38">
        <v>1331</v>
      </c>
    </row>
    <row r="266" spans="1:4" x14ac:dyDescent="0.25">
      <c r="A266" s="17">
        <v>265</v>
      </c>
      <c r="B266" s="18" t="s">
        <v>2054</v>
      </c>
      <c r="C266" s="26" t="s">
        <v>123</v>
      </c>
      <c r="D266" s="19">
        <v>1326</v>
      </c>
    </row>
    <row r="267" spans="1:4" x14ac:dyDescent="0.25">
      <c r="A267" s="17">
        <v>266</v>
      </c>
      <c r="B267" s="18" t="s">
        <v>984</v>
      </c>
      <c r="C267" s="26" t="s">
        <v>98</v>
      </c>
      <c r="D267" s="19">
        <v>1305</v>
      </c>
    </row>
    <row r="268" spans="1:4" x14ac:dyDescent="0.25">
      <c r="A268" s="17">
        <v>267</v>
      </c>
      <c r="B268" s="18" t="s">
        <v>4867</v>
      </c>
      <c r="C268" s="26" t="s">
        <v>192</v>
      </c>
      <c r="D268" s="19">
        <v>1298</v>
      </c>
    </row>
    <row r="269" spans="1:4" x14ac:dyDescent="0.25">
      <c r="A269" s="17">
        <v>268</v>
      </c>
      <c r="B269" s="18" t="s">
        <v>4903</v>
      </c>
      <c r="C269" s="26" t="s">
        <v>192</v>
      </c>
      <c r="D269" s="19">
        <v>1295</v>
      </c>
    </row>
    <row r="270" spans="1:4" x14ac:dyDescent="0.25">
      <c r="A270" s="17">
        <v>269</v>
      </c>
      <c r="B270" s="18" t="s">
        <v>1842</v>
      </c>
      <c r="C270" s="26" t="s">
        <v>77</v>
      </c>
      <c r="D270" s="19">
        <v>1294</v>
      </c>
    </row>
    <row r="271" spans="1:4" x14ac:dyDescent="0.25">
      <c r="A271" s="17">
        <v>270</v>
      </c>
      <c r="B271" s="18" t="s">
        <v>4977</v>
      </c>
      <c r="C271" s="26" t="s">
        <v>77</v>
      </c>
      <c r="D271" s="19">
        <v>1292</v>
      </c>
    </row>
    <row r="272" spans="1:4" x14ac:dyDescent="0.25">
      <c r="A272" s="17">
        <v>271</v>
      </c>
      <c r="B272" s="18" t="s">
        <v>3050</v>
      </c>
      <c r="C272" s="26" t="s">
        <v>1794</v>
      </c>
      <c r="D272" s="19">
        <v>1291</v>
      </c>
    </row>
    <row r="273" spans="1:4" x14ac:dyDescent="0.25">
      <c r="A273" s="17">
        <v>272</v>
      </c>
      <c r="B273" s="18" t="s">
        <v>716</v>
      </c>
      <c r="C273" s="26" t="s">
        <v>717</v>
      </c>
      <c r="D273" s="19">
        <v>1289</v>
      </c>
    </row>
    <row r="274" spans="1:4" x14ac:dyDescent="0.25">
      <c r="A274" s="17">
        <v>273</v>
      </c>
      <c r="B274" s="18" t="s">
        <v>2386</v>
      </c>
      <c r="C274" s="26" t="s">
        <v>87</v>
      </c>
      <c r="D274" s="39">
        <v>1285</v>
      </c>
    </row>
    <row r="275" spans="1:4" x14ac:dyDescent="0.25">
      <c r="A275" s="17">
        <v>274</v>
      </c>
      <c r="B275" s="18" t="s">
        <v>2852</v>
      </c>
      <c r="C275" s="18" t="s">
        <v>927</v>
      </c>
      <c r="D275" s="19">
        <v>1235</v>
      </c>
    </row>
    <row r="276" spans="1:4" x14ac:dyDescent="0.25">
      <c r="A276" s="17">
        <v>275</v>
      </c>
      <c r="B276" s="18" t="s">
        <v>5051</v>
      </c>
      <c r="C276" s="26" t="s">
        <v>98</v>
      </c>
      <c r="D276" s="19">
        <v>1232</v>
      </c>
    </row>
    <row r="277" spans="1:4" x14ac:dyDescent="0.25">
      <c r="A277" s="17">
        <v>276</v>
      </c>
      <c r="B277" s="18" t="s">
        <v>877</v>
      </c>
      <c r="C277" s="26" t="s">
        <v>878</v>
      </c>
      <c r="D277" s="19">
        <v>1227</v>
      </c>
    </row>
    <row r="278" spans="1:4" x14ac:dyDescent="0.25">
      <c r="A278" s="17">
        <v>277</v>
      </c>
      <c r="B278" s="18" t="s">
        <v>5098</v>
      </c>
      <c r="C278" s="18" t="s">
        <v>161</v>
      </c>
      <c r="D278" s="19">
        <v>1226</v>
      </c>
    </row>
    <row r="279" spans="1:4" x14ac:dyDescent="0.25">
      <c r="A279" s="17">
        <v>278</v>
      </c>
      <c r="B279" s="18" t="s">
        <v>5127</v>
      </c>
      <c r="C279" s="26" t="s">
        <v>152</v>
      </c>
      <c r="D279" s="19">
        <v>1216</v>
      </c>
    </row>
    <row r="280" spans="1:4" x14ac:dyDescent="0.25">
      <c r="A280" s="17">
        <v>279</v>
      </c>
      <c r="B280" s="18" t="s">
        <v>1738</v>
      </c>
      <c r="C280" s="26" t="s">
        <v>830</v>
      </c>
      <c r="D280" s="19">
        <v>1210</v>
      </c>
    </row>
    <row r="281" spans="1:4" x14ac:dyDescent="0.25">
      <c r="A281" s="17">
        <v>280</v>
      </c>
      <c r="B281" s="18" t="s">
        <v>1695</v>
      </c>
      <c r="C281" s="26" t="s">
        <v>1696</v>
      </c>
      <c r="D281" s="38">
        <v>1207</v>
      </c>
    </row>
    <row r="282" spans="1:4" x14ac:dyDescent="0.25">
      <c r="A282" s="17">
        <v>281</v>
      </c>
      <c r="B282" s="18" t="s">
        <v>3041</v>
      </c>
      <c r="C282" s="26" t="s">
        <v>843</v>
      </c>
      <c r="D282" s="19">
        <v>1203</v>
      </c>
    </row>
    <row r="283" spans="1:4" x14ac:dyDescent="0.25">
      <c r="A283" s="17">
        <v>282</v>
      </c>
      <c r="B283" s="18" t="s">
        <v>682</v>
      </c>
      <c r="C283" s="26" t="s">
        <v>337</v>
      </c>
      <c r="D283" s="19">
        <v>1202</v>
      </c>
    </row>
    <row r="284" spans="1:4" x14ac:dyDescent="0.25">
      <c r="A284" s="17">
        <v>283</v>
      </c>
      <c r="B284" s="18" t="s">
        <v>4874</v>
      </c>
      <c r="C284" s="26" t="s">
        <v>41</v>
      </c>
      <c r="D284" s="19">
        <v>1184</v>
      </c>
    </row>
    <row r="285" spans="1:4" x14ac:dyDescent="0.25">
      <c r="A285" s="17">
        <v>284</v>
      </c>
      <c r="B285" s="18" t="s">
        <v>2191</v>
      </c>
      <c r="C285" s="26" t="s">
        <v>759</v>
      </c>
      <c r="D285" s="38">
        <v>1178</v>
      </c>
    </row>
    <row r="286" spans="1:4" x14ac:dyDescent="0.25">
      <c r="A286" s="17">
        <v>285</v>
      </c>
      <c r="B286" s="18" t="s">
        <v>1413</v>
      </c>
      <c r="C286" s="18" t="s">
        <v>798</v>
      </c>
      <c r="D286" s="19">
        <v>1172</v>
      </c>
    </row>
    <row r="287" spans="1:4" x14ac:dyDescent="0.25">
      <c r="A287" s="17">
        <v>286</v>
      </c>
      <c r="B287" s="18" t="s">
        <v>2782</v>
      </c>
      <c r="C287" s="26" t="s">
        <v>168</v>
      </c>
      <c r="D287" s="19">
        <v>1167</v>
      </c>
    </row>
    <row r="288" spans="1:4" x14ac:dyDescent="0.25">
      <c r="A288" s="17">
        <v>287</v>
      </c>
      <c r="B288" s="18" t="s">
        <v>463</v>
      </c>
      <c r="C288" s="26" t="s">
        <v>41</v>
      </c>
      <c r="D288" s="19">
        <v>1166</v>
      </c>
    </row>
    <row r="289" spans="1:4" x14ac:dyDescent="0.25">
      <c r="A289" s="17">
        <v>288</v>
      </c>
      <c r="B289" s="18" t="s">
        <v>2791</v>
      </c>
      <c r="C289" s="26" t="s">
        <v>1255</v>
      </c>
      <c r="D289" s="19">
        <v>1165</v>
      </c>
    </row>
    <row r="290" spans="1:4" x14ac:dyDescent="0.25">
      <c r="A290" s="17">
        <v>289</v>
      </c>
      <c r="B290" s="18" t="s">
        <v>2786</v>
      </c>
      <c r="C290" s="18" t="s">
        <v>1921</v>
      </c>
      <c r="D290" s="38">
        <v>1162</v>
      </c>
    </row>
    <row r="291" spans="1:4" x14ac:dyDescent="0.25">
      <c r="A291" s="17">
        <v>290</v>
      </c>
      <c r="B291" s="18" t="s">
        <v>1824</v>
      </c>
      <c r="C291" s="26" t="s">
        <v>1627</v>
      </c>
      <c r="D291" s="19">
        <v>1161</v>
      </c>
    </row>
    <row r="292" spans="1:4" x14ac:dyDescent="0.25">
      <c r="A292" s="17">
        <v>291</v>
      </c>
      <c r="B292" s="18" t="s">
        <v>209</v>
      </c>
      <c r="C292" s="26" t="s">
        <v>88</v>
      </c>
      <c r="D292" s="19">
        <v>1159</v>
      </c>
    </row>
    <row r="293" spans="1:4" x14ac:dyDescent="0.25">
      <c r="A293" s="17">
        <v>292</v>
      </c>
      <c r="B293" s="18" t="s">
        <v>93</v>
      </c>
      <c r="C293" s="26" t="s">
        <v>66</v>
      </c>
      <c r="D293" s="19">
        <v>1153</v>
      </c>
    </row>
    <row r="294" spans="1:4" x14ac:dyDescent="0.25">
      <c r="A294" s="17">
        <v>293</v>
      </c>
      <c r="B294" s="18" t="s">
        <v>4944</v>
      </c>
      <c r="C294" s="26" t="s">
        <v>764</v>
      </c>
      <c r="D294" s="19">
        <v>1144</v>
      </c>
    </row>
    <row r="295" spans="1:4" x14ac:dyDescent="0.25">
      <c r="A295" s="17">
        <v>294</v>
      </c>
      <c r="B295" s="18" t="s">
        <v>250</v>
      </c>
      <c r="C295" s="26" t="s">
        <v>94</v>
      </c>
      <c r="D295" s="19">
        <v>1143</v>
      </c>
    </row>
    <row r="296" spans="1:4" x14ac:dyDescent="0.25">
      <c r="A296" s="17">
        <v>295</v>
      </c>
      <c r="B296" s="18" t="s">
        <v>1147</v>
      </c>
      <c r="C296" s="26" t="s">
        <v>764</v>
      </c>
      <c r="D296" s="19">
        <v>1141</v>
      </c>
    </row>
    <row r="297" spans="1:4" x14ac:dyDescent="0.25">
      <c r="A297" s="17">
        <v>296</v>
      </c>
      <c r="B297" s="18" t="s">
        <v>1282</v>
      </c>
      <c r="C297" s="18" t="s">
        <v>874</v>
      </c>
      <c r="D297" s="19">
        <v>1136</v>
      </c>
    </row>
    <row r="298" spans="1:4" x14ac:dyDescent="0.25">
      <c r="A298" s="17">
        <v>297</v>
      </c>
      <c r="B298" s="18" t="s">
        <v>2602</v>
      </c>
      <c r="C298" s="26" t="s">
        <v>693</v>
      </c>
      <c r="D298" s="19">
        <v>1125</v>
      </c>
    </row>
    <row r="299" spans="1:4" x14ac:dyDescent="0.25">
      <c r="A299" s="17">
        <v>298</v>
      </c>
      <c r="B299" s="18" t="s">
        <v>1066</v>
      </c>
      <c r="C299" s="26" t="s">
        <v>337</v>
      </c>
      <c r="D299" s="19">
        <v>1121</v>
      </c>
    </row>
    <row r="300" spans="1:4" x14ac:dyDescent="0.25">
      <c r="A300" s="17">
        <v>299</v>
      </c>
      <c r="B300" s="18" t="s">
        <v>1626</v>
      </c>
      <c r="C300" s="26" t="s">
        <v>1627</v>
      </c>
      <c r="D300" s="38">
        <v>1111</v>
      </c>
    </row>
    <row r="301" spans="1:4" x14ac:dyDescent="0.25">
      <c r="A301" s="17">
        <v>300</v>
      </c>
      <c r="B301" s="18" t="s">
        <v>2859</v>
      </c>
      <c r="C301" s="26" t="s">
        <v>788</v>
      </c>
      <c r="D301" s="19">
        <v>1097</v>
      </c>
    </row>
    <row r="302" spans="1:4" x14ac:dyDescent="0.25">
      <c r="A302" s="17">
        <v>301</v>
      </c>
      <c r="B302" s="18" t="s">
        <v>2122</v>
      </c>
      <c r="C302" s="26" t="s">
        <v>123</v>
      </c>
      <c r="D302" s="19">
        <v>1092</v>
      </c>
    </row>
    <row r="303" spans="1:4" x14ac:dyDescent="0.25">
      <c r="A303" s="17">
        <v>302</v>
      </c>
      <c r="B303" s="18" t="s">
        <v>2066</v>
      </c>
      <c r="C303" s="26" t="s">
        <v>1614</v>
      </c>
      <c r="D303" s="19">
        <v>1083</v>
      </c>
    </row>
    <row r="304" spans="1:4" x14ac:dyDescent="0.25">
      <c r="A304" s="17">
        <v>303</v>
      </c>
      <c r="B304" s="18" t="s">
        <v>763</v>
      </c>
      <c r="C304" s="26" t="s">
        <v>764</v>
      </c>
      <c r="D304" s="19">
        <v>1083</v>
      </c>
    </row>
    <row r="305" spans="1:4" x14ac:dyDescent="0.25">
      <c r="A305" s="17">
        <v>304</v>
      </c>
      <c r="B305" s="18" t="s">
        <v>578</v>
      </c>
      <c r="C305" s="26" t="s">
        <v>564</v>
      </c>
      <c r="D305" s="19">
        <v>1082</v>
      </c>
    </row>
    <row r="306" spans="1:4" x14ac:dyDescent="0.25">
      <c r="A306" s="17">
        <v>305</v>
      </c>
      <c r="B306" s="18" t="s">
        <v>839</v>
      </c>
      <c r="C306" s="26" t="s">
        <v>34</v>
      </c>
      <c r="D306" s="19">
        <v>1080</v>
      </c>
    </row>
    <row r="307" spans="1:4" x14ac:dyDescent="0.25">
      <c r="A307" s="17">
        <v>306</v>
      </c>
      <c r="B307" s="18" t="s">
        <v>1027</v>
      </c>
      <c r="C307" s="26" t="s">
        <v>94</v>
      </c>
      <c r="D307" s="19">
        <v>1080</v>
      </c>
    </row>
    <row r="308" spans="1:4" x14ac:dyDescent="0.25">
      <c r="A308" s="17">
        <v>307</v>
      </c>
      <c r="B308" s="18" t="s">
        <v>2575</v>
      </c>
      <c r="C308" s="18" t="s">
        <v>181</v>
      </c>
      <c r="D308" s="19">
        <v>1079</v>
      </c>
    </row>
    <row r="309" spans="1:4" x14ac:dyDescent="0.25">
      <c r="A309" s="17">
        <v>308</v>
      </c>
      <c r="B309" s="28" t="s">
        <v>4833</v>
      </c>
      <c r="C309" s="26" t="s">
        <v>66</v>
      </c>
      <c r="D309" s="19">
        <v>1075</v>
      </c>
    </row>
    <row r="310" spans="1:4" x14ac:dyDescent="0.25">
      <c r="A310" s="17">
        <v>309</v>
      </c>
      <c r="B310" s="18" t="s">
        <v>452</v>
      </c>
      <c r="C310" s="26" t="s">
        <v>145</v>
      </c>
      <c r="D310" s="19">
        <v>1066</v>
      </c>
    </row>
    <row r="311" spans="1:4" x14ac:dyDescent="0.25">
      <c r="A311" s="17">
        <v>310</v>
      </c>
      <c r="B311" s="18" t="s">
        <v>483</v>
      </c>
      <c r="C311" s="26" t="s">
        <v>119</v>
      </c>
      <c r="D311" s="19">
        <v>1066</v>
      </c>
    </row>
    <row r="312" spans="1:4" x14ac:dyDescent="0.25">
      <c r="A312" s="17">
        <v>311</v>
      </c>
      <c r="B312" s="18" t="s">
        <v>1094</v>
      </c>
      <c r="C312" s="18" t="s">
        <v>779</v>
      </c>
      <c r="D312" s="19">
        <v>1066</v>
      </c>
    </row>
    <row r="313" spans="1:4" x14ac:dyDescent="0.25">
      <c r="A313" s="17">
        <v>312</v>
      </c>
      <c r="B313" s="18" t="s">
        <v>1642</v>
      </c>
      <c r="C313" s="26" t="s">
        <v>168</v>
      </c>
      <c r="D313" s="19">
        <v>1064</v>
      </c>
    </row>
    <row r="314" spans="1:4" x14ac:dyDescent="0.25">
      <c r="A314" s="17">
        <v>313</v>
      </c>
      <c r="B314" s="18" t="s">
        <v>980</v>
      </c>
      <c r="C314" s="26" t="s">
        <v>114</v>
      </c>
      <c r="D314" s="19">
        <v>1056</v>
      </c>
    </row>
    <row r="315" spans="1:4" x14ac:dyDescent="0.25">
      <c r="A315" s="17">
        <v>314</v>
      </c>
      <c r="B315" s="18" t="s">
        <v>1405</v>
      </c>
      <c r="C315" s="26" t="s">
        <v>259</v>
      </c>
      <c r="D315" s="19">
        <v>1051</v>
      </c>
    </row>
    <row r="316" spans="1:4" x14ac:dyDescent="0.25">
      <c r="A316" s="17">
        <v>315</v>
      </c>
      <c r="B316" s="18" t="s">
        <v>1219</v>
      </c>
      <c r="C316" s="26" t="s">
        <v>259</v>
      </c>
      <c r="D316" s="19">
        <v>1038</v>
      </c>
    </row>
    <row r="317" spans="1:4" x14ac:dyDescent="0.25">
      <c r="A317" s="17">
        <v>316</v>
      </c>
      <c r="B317" s="18" t="s">
        <v>882</v>
      </c>
      <c r="C317" s="26" t="s">
        <v>728</v>
      </c>
      <c r="D317" s="19">
        <v>1036</v>
      </c>
    </row>
    <row r="318" spans="1:4" x14ac:dyDescent="0.25">
      <c r="A318" s="17">
        <v>317</v>
      </c>
      <c r="B318" s="18" t="s">
        <v>633</v>
      </c>
      <c r="C318" s="26" t="s">
        <v>277</v>
      </c>
      <c r="D318" s="19">
        <v>1032</v>
      </c>
    </row>
    <row r="319" spans="1:4" x14ac:dyDescent="0.25">
      <c r="A319" s="17">
        <v>318</v>
      </c>
      <c r="B319" s="18" t="s">
        <v>4885</v>
      </c>
      <c r="C319" s="18" t="s">
        <v>181</v>
      </c>
      <c r="D319" s="19">
        <v>1030</v>
      </c>
    </row>
    <row r="320" spans="1:4" x14ac:dyDescent="0.25">
      <c r="A320" s="17">
        <v>319</v>
      </c>
      <c r="B320" s="18" t="s">
        <v>4859</v>
      </c>
      <c r="C320" s="26" t="s">
        <v>119</v>
      </c>
      <c r="D320" s="19">
        <v>1024</v>
      </c>
    </row>
    <row r="321" spans="1:4" x14ac:dyDescent="0.25">
      <c r="A321" s="17">
        <v>320</v>
      </c>
      <c r="B321" s="18" t="s">
        <v>709</v>
      </c>
      <c r="C321" s="26" t="s">
        <v>337</v>
      </c>
      <c r="D321" s="19">
        <v>1005</v>
      </c>
    </row>
    <row r="322" spans="1:4" x14ac:dyDescent="0.25">
      <c r="A322" s="17">
        <v>321</v>
      </c>
      <c r="B322" s="18" t="s">
        <v>2194</v>
      </c>
      <c r="C322" s="26" t="s">
        <v>41</v>
      </c>
      <c r="D322" s="19">
        <v>1005</v>
      </c>
    </row>
    <row r="323" spans="1:4" x14ac:dyDescent="0.25">
      <c r="A323" s="17">
        <v>322</v>
      </c>
      <c r="B323" s="18" t="s">
        <v>5117</v>
      </c>
      <c r="C323" s="26" t="s">
        <v>220</v>
      </c>
      <c r="D323" s="19">
        <v>1005</v>
      </c>
    </row>
    <row r="324" spans="1:4" x14ac:dyDescent="0.25">
      <c r="A324" s="17">
        <v>323</v>
      </c>
      <c r="B324" s="18" t="s">
        <v>2579</v>
      </c>
      <c r="C324" s="18" t="s">
        <v>1921</v>
      </c>
      <c r="D324" s="19">
        <v>997</v>
      </c>
    </row>
    <row r="325" spans="1:4" x14ac:dyDescent="0.25">
      <c r="A325" s="17">
        <v>324</v>
      </c>
      <c r="B325" s="28" t="s">
        <v>1506</v>
      </c>
      <c r="C325" s="26" t="s">
        <v>259</v>
      </c>
      <c r="D325" s="19">
        <v>991</v>
      </c>
    </row>
    <row r="326" spans="1:4" x14ac:dyDescent="0.25">
      <c r="A326" s="17">
        <v>325</v>
      </c>
      <c r="B326" s="18" t="s">
        <v>1935</v>
      </c>
      <c r="C326" s="26" t="s">
        <v>87</v>
      </c>
      <c r="D326" s="19">
        <v>988</v>
      </c>
    </row>
    <row r="327" spans="1:4" x14ac:dyDescent="0.25">
      <c r="A327" s="17">
        <v>326</v>
      </c>
      <c r="B327" s="18" t="s">
        <v>2996</v>
      </c>
      <c r="C327" s="26" t="s">
        <v>88</v>
      </c>
      <c r="D327" s="19">
        <v>987</v>
      </c>
    </row>
    <row r="328" spans="1:4" x14ac:dyDescent="0.25">
      <c r="A328" s="17">
        <v>327</v>
      </c>
      <c r="B328" s="18" t="s">
        <v>4948</v>
      </c>
      <c r="C328" s="26" t="s">
        <v>34</v>
      </c>
      <c r="D328" s="19">
        <v>980</v>
      </c>
    </row>
    <row r="329" spans="1:4" x14ac:dyDescent="0.25">
      <c r="A329" s="17">
        <v>328</v>
      </c>
      <c r="B329" s="18" t="s">
        <v>5009</v>
      </c>
      <c r="C329" s="26" t="s">
        <v>77</v>
      </c>
      <c r="D329" s="19">
        <v>980</v>
      </c>
    </row>
    <row r="330" spans="1:4" x14ac:dyDescent="0.25">
      <c r="A330" s="17">
        <v>329</v>
      </c>
      <c r="B330" s="18" t="s">
        <v>1684</v>
      </c>
      <c r="C330" s="26" t="s">
        <v>867</v>
      </c>
      <c r="D330" s="19">
        <v>973</v>
      </c>
    </row>
    <row r="331" spans="1:4" x14ac:dyDescent="0.25">
      <c r="A331" s="17">
        <v>330</v>
      </c>
      <c r="B331" s="18" t="s">
        <v>1727</v>
      </c>
      <c r="C331" s="26" t="s">
        <v>168</v>
      </c>
      <c r="D331" s="19">
        <v>973</v>
      </c>
    </row>
    <row r="332" spans="1:4" x14ac:dyDescent="0.25">
      <c r="A332" s="17">
        <v>331</v>
      </c>
      <c r="B332" s="18" t="s">
        <v>447</v>
      </c>
      <c r="C332" s="26" t="s">
        <v>448</v>
      </c>
      <c r="D332" s="19">
        <v>954</v>
      </c>
    </row>
    <row r="333" spans="1:4" x14ac:dyDescent="0.25">
      <c r="A333" s="17">
        <v>332</v>
      </c>
      <c r="B333" s="18" t="s">
        <v>4921</v>
      </c>
      <c r="C333" s="26" t="s">
        <v>161</v>
      </c>
      <c r="D333" s="19">
        <v>947</v>
      </c>
    </row>
    <row r="334" spans="1:4" x14ac:dyDescent="0.25">
      <c r="A334" s="17">
        <v>333</v>
      </c>
      <c r="B334" s="18" t="s">
        <v>459</v>
      </c>
      <c r="C334" s="18" t="s">
        <v>181</v>
      </c>
      <c r="D334" s="19">
        <v>946</v>
      </c>
    </row>
    <row r="335" spans="1:4" x14ac:dyDescent="0.25">
      <c r="A335" s="17">
        <v>334</v>
      </c>
      <c r="B335" s="18" t="s">
        <v>5026</v>
      </c>
      <c r="C335" s="26" t="s">
        <v>106</v>
      </c>
      <c r="D335" s="19">
        <v>937</v>
      </c>
    </row>
    <row r="336" spans="1:4" x14ac:dyDescent="0.25">
      <c r="A336" s="17">
        <v>335</v>
      </c>
      <c r="B336" s="18" t="s">
        <v>1888</v>
      </c>
      <c r="C336" s="26" t="s">
        <v>140</v>
      </c>
      <c r="D336" s="19">
        <v>932</v>
      </c>
    </row>
    <row r="337" spans="1:4" x14ac:dyDescent="0.25">
      <c r="A337" s="17">
        <v>336</v>
      </c>
      <c r="B337" s="18" t="s">
        <v>2010</v>
      </c>
      <c r="C337" s="26" t="s">
        <v>1608</v>
      </c>
      <c r="D337" s="38">
        <v>920</v>
      </c>
    </row>
    <row r="338" spans="1:4" x14ac:dyDescent="0.25">
      <c r="A338" s="17">
        <v>337</v>
      </c>
      <c r="B338" s="18" t="s">
        <v>758</v>
      </c>
      <c r="C338" s="26" t="s">
        <v>759</v>
      </c>
      <c r="D338" s="19">
        <v>909</v>
      </c>
    </row>
    <row r="339" spans="1:4" x14ac:dyDescent="0.25">
      <c r="A339" s="17">
        <v>338</v>
      </c>
      <c r="B339" s="18" t="s">
        <v>5017</v>
      </c>
      <c r="C339" s="26" t="s">
        <v>192</v>
      </c>
      <c r="D339" s="19">
        <v>908</v>
      </c>
    </row>
    <row r="340" spans="1:4" x14ac:dyDescent="0.25">
      <c r="A340" s="17">
        <v>339</v>
      </c>
      <c r="B340" s="18" t="s">
        <v>2506</v>
      </c>
      <c r="C340" s="26" t="s">
        <v>259</v>
      </c>
      <c r="D340" s="19">
        <v>907</v>
      </c>
    </row>
    <row r="341" spans="1:4" x14ac:dyDescent="0.25">
      <c r="A341" s="17">
        <v>340</v>
      </c>
      <c r="B341" s="18" t="s">
        <v>2850</v>
      </c>
      <c r="C341" s="26" t="s">
        <v>123</v>
      </c>
      <c r="D341" s="19">
        <v>906</v>
      </c>
    </row>
    <row r="342" spans="1:4" x14ac:dyDescent="0.25">
      <c r="A342" s="17">
        <v>341</v>
      </c>
      <c r="B342" s="18" t="s">
        <v>2114</v>
      </c>
      <c r="C342" s="26" t="s">
        <v>83</v>
      </c>
      <c r="D342" s="38">
        <v>885</v>
      </c>
    </row>
    <row r="343" spans="1:4" x14ac:dyDescent="0.25">
      <c r="A343" s="17">
        <v>342</v>
      </c>
      <c r="B343" s="18" t="s">
        <v>5089</v>
      </c>
      <c r="C343" s="26" t="s">
        <v>728</v>
      </c>
      <c r="D343" s="19">
        <v>885</v>
      </c>
    </row>
    <row r="344" spans="1:4" x14ac:dyDescent="0.25">
      <c r="A344" s="17">
        <v>343</v>
      </c>
      <c r="B344" s="18" t="s">
        <v>247</v>
      </c>
      <c r="C344" s="26" t="s">
        <v>106</v>
      </c>
      <c r="D344" s="19">
        <v>881</v>
      </c>
    </row>
    <row r="345" spans="1:4" x14ac:dyDescent="0.25">
      <c r="A345" s="17">
        <v>344</v>
      </c>
      <c r="B345" s="18" t="s">
        <v>4959</v>
      </c>
      <c r="C345" s="18" t="s">
        <v>181</v>
      </c>
      <c r="D345" s="19">
        <v>879</v>
      </c>
    </row>
    <row r="346" spans="1:4" x14ac:dyDescent="0.25">
      <c r="A346" s="17">
        <v>345</v>
      </c>
      <c r="B346" s="18" t="s">
        <v>570</v>
      </c>
      <c r="C346" s="26" t="s">
        <v>151</v>
      </c>
      <c r="D346" s="19">
        <v>877</v>
      </c>
    </row>
    <row r="347" spans="1:4" x14ac:dyDescent="0.25">
      <c r="A347" s="17">
        <v>346</v>
      </c>
      <c r="B347" s="18" t="s">
        <v>1697</v>
      </c>
      <c r="C347" s="26" t="s">
        <v>835</v>
      </c>
      <c r="D347" s="19">
        <v>875</v>
      </c>
    </row>
    <row r="348" spans="1:4" x14ac:dyDescent="0.25">
      <c r="A348" s="17">
        <v>347</v>
      </c>
      <c r="B348" s="28" t="s">
        <v>1755</v>
      </c>
      <c r="C348" s="26" t="s">
        <v>304</v>
      </c>
      <c r="D348" s="19">
        <v>874</v>
      </c>
    </row>
    <row r="349" spans="1:4" x14ac:dyDescent="0.25">
      <c r="A349" s="17">
        <v>348</v>
      </c>
      <c r="B349" s="18" t="s">
        <v>3109</v>
      </c>
      <c r="C349" s="26" t="s">
        <v>369</v>
      </c>
      <c r="D349" s="19">
        <v>873</v>
      </c>
    </row>
    <row r="350" spans="1:4" x14ac:dyDescent="0.25">
      <c r="A350" s="17">
        <v>349</v>
      </c>
      <c r="B350" s="18" t="s">
        <v>738</v>
      </c>
      <c r="C350" s="26" t="s">
        <v>739</v>
      </c>
      <c r="D350" s="19">
        <v>873</v>
      </c>
    </row>
    <row r="351" spans="1:4" x14ac:dyDescent="0.25">
      <c r="A351" s="17">
        <v>350</v>
      </c>
      <c r="B351" s="18" t="s">
        <v>5006</v>
      </c>
      <c r="C351" s="26" t="s">
        <v>72</v>
      </c>
      <c r="D351" s="19">
        <v>867</v>
      </c>
    </row>
    <row r="352" spans="1:4" x14ac:dyDescent="0.25">
      <c r="A352" s="17">
        <v>351</v>
      </c>
      <c r="B352" s="18" t="s">
        <v>312</v>
      </c>
      <c r="C352" s="26" t="s">
        <v>313</v>
      </c>
      <c r="D352" s="19">
        <v>865</v>
      </c>
    </row>
    <row r="353" spans="1:4" x14ac:dyDescent="0.25">
      <c r="A353" s="17">
        <v>352</v>
      </c>
      <c r="B353" s="18" t="s">
        <v>1247</v>
      </c>
      <c r="C353" s="26" t="s">
        <v>128</v>
      </c>
      <c r="D353" s="19">
        <v>859</v>
      </c>
    </row>
    <row r="354" spans="1:4" x14ac:dyDescent="0.25">
      <c r="A354" s="17">
        <v>353</v>
      </c>
      <c r="B354" s="18" t="s">
        <v>4898</v>
      </c>
      <c r="C354" s="18" t="s">
        <v>825</v>
      </c>
      <c r="D354" s="19">
        <v>858</v>
      </c>
    </row>
    <row r="355" spans="1:4" x14ac:dyDescent="0.25">
      <c r="A355" s="17">
        <v>354</v>
      </c>
      <c r="B355" s="18" t="s">
        <v>5020</v>
      </c>
      <c r="C355" s="26" t="s">
        <v>331</v>
      </c>
      <c r="D355" s="19">
        <v>851</v>
      </c>
    </row>
    <row r="356" spans="1:4" x14ac:dyDescent="0.25">
      <c r="A356" s="17">
        <v>355</v>
      </c>
      <c r="B356" s="18" t="s">
        <v>790</v>
      </c>
      <c r="C356" s="26" t="s">
        <v>87</v>
      </c>
      <c r="D356" s="19">
        <v>848</v>
      </c>
    </row>
    <row r="357" spans="1:4" x14ac:dyDescent="0.25">
      <c r="A357" s="17">
        <v>356</v>
      </c>
      <c r="B357" s="18" t="s">
        <v>1855</v>
      </c>
      <c r="C357" s="26" t="s">
        <v>123</v>
      </c>
      <c r="D357" s="19">
        <v>846</v>
      </c>
    </row>
    <row r="358" spans="1:4" x14ac:dyDescent="0.25">
      <c r="A358" s="17">
        <v>357</v>
      </c>
      <c r="B358" s="18" t="s">
        <v>4941</v>
      </c>
      <c r="C358" s="26" t="s">
        <v>186</v>
      </c>
      <c r="D358" s="19">
        <v>846</v>
      </c>
    </row>
    <row r="359" spans="1:4" x14ac:dyDescent="0.25">
      <c r="A359" s="17">
        <v>358</v>
      </c>
      <c r="B359" s="18" t="s">
        <v>5092</v>
      </c>
      <c r="C359" s="26" t="s">
        <v>114</v>
      </c>
      <c r="D359" s="19">
        <v>842</v>
      </c>
    </row>
    <row r="360" spans="1:4" x14ac:dyDescent="0.25">
      <c r="A360" s="17">
        <v>359</v>
      </c>
      <c r="B360" s="18" t="s">
        <v>926</v>
      </c>
      <c r="C360" s="18" t="s">
        <v>927</v>
      </c>
      <c r="D360" s="19">
        <v>840</v>
      </c>
    </row>
    <row r="361" spans="1:4" x14ac:dyDescent="0.25">
      <c r="A361" s="17">
        <v>360</v>
      </c>
      <c r="B361" s="18" t="s">
        <v>1808</v>
      </c>
      <c r="C361" s="26" t="s">
        <v>140</v>
      </c>
      <c r="D361" s="38">
        <v>834</v>
      </c>
    </row>
    <row r="362" spans="1:4" x14ac:dyDescent="0.25">
      <c r="A362" s="17">
        <v>361</v>
      </c>
      <c r="B362" s="18" t="s">
        <v>2227</v>
      </c>
      <c r="C362" s="26" t="s">
        <v>77</v>
      </c>
      <c r="D362" s="19">
        <v>833</v>
      </c>
    </row>
    <row r="363" spans="1:4" x14ac:dyDescent="0.25">
      <c r="A363" s="17">
        <v>362</v>
      </c>
      <c r="B363" s="18" t="s">
        <v>5086</v>
      </c>
      <c r="C363" s="26" t="s">
        <v>830</v>
      </c>
      <c r="D363" s="19">
        <v>832</v>
      </c>
    </row>
    <row r="364" spans="1:4" x14ac:dyDescent="0.25">
      <c r="A364" s="17">
        <v>363</v>
      </c>
      <c r="B364" s="18" t="s">
        <v>1998</v>
      </c>
      <c r="C364" s="26" t="s">
        <v>1627</v>
      </c>
      <c r="D364" s="19">
        <v>828</v>
      </c>
    </row>
    <row r="365" spans="1:4" x14ac:dyDescent="0.25">
      <c r="A365" s="17">
        <v>364</v>
      </c>
      <c r="B365" s="18" t="s">
        <v>1926</v>
      </c>
      <c r="C365" s="26" t="s">
        <v>88</v>
      </c>
      <c r="D365" s="19">
        <v>828</v>
      </c>
    </row>
    <row r="366" spans="1:4" x14ac:dyDescent="0.25">
      <c r="A366" s="17">
        <v>365</v>
      </c>
      <c r="B366" s="18" t="s">
        <v>5078</v>
      </c>
      <c r="C366" s="26" t="s">
        <v>87</v>
      </c>
      <c r="D366" s="19">
        <v>825</v>
      </c>
    </row>
    <row r="367" spans="1:4" x14ac:dyDescent="0.25">
      <c r="A367" s="17">
        <v>366</v>
      </c>
      <c r="B367" s="18" t="s">
        <v>2935</v>
      </c>
      <c r="C367" s="26" t="s">
        <v>337</v>
      </c>
      <c r="D367" s="19">
        <v>812</v>
      </c>
    </row>
    <row r="368" spans="1:4" x14ac:dyDescent="0.25">
      <c r="A368" s="17">
        <v>367</v>
      </c>
      <c r="B368" s="18" t="s">
        <v>1263</v>
      </c>
      <c r="C368" s="18" t="s">
        <v>858</v>
      </c>
      <c r="D368" s="19">
        <v>807</v>
      </c>
    </row>
    <row r="369" spans="1:4" x14ac:dyDescent="0.25">
      <c r="A369" s="17">
        <v>368</v>
      </c>
      <c r="B369" s="18" t="s">
        <v>4929</v>
      </c>
      <c r="C369" s="18" t="s">
        <v>825</v>
      </c>
      <c r="D369" s="19">
        <v>801</v>
      </c>
    </row>
    <row r="370" spans="1:4" x14ac:dyDescent="0.25">
      <c r="A370" s="17">
        <v>369</v>
      </c>
      <c r="B370" s="28" t="s">
        <v>4868</v>
      </c>
      <c r="C370" s="26" t="s">
        <v>53</v>
      </c>
      <c r="D370" s="19">
        <v>799</v>
      </c>
    </row>
    <row r="371" spans="1:4" x14ac:dyDescent="0.25">
      <c r="A371" s="17">
        <v>370</v>
      </c>
      <c r="B371" s="18" t="s">
        <v>271</v>
      </c>
      <c r="C371" s="18" t="s">
        <v>111</v>
      </c>
      <c r="D371" s="19">
        <v>799</v>
      </c>
    </row>
    <row r="372" spans="1:4" x14ac:dyDescent="0.25">
      <c r="A372" s="17">
        <v>371</v>
      </c>
      <c r="B372" s="18" t="s">
        <v>4910</v>
      </c>
      <c r="C372" s="26" t="s">
        <v>369</v>
      </c>
      <c r="D372" s="19">
        <v>795</v>
      </c>
    </row>
    <row r="373" spans="1:4" x14ac:dyDescent="0.25">
      <c r="A373" s="17">
        <v>372</v>
      </c>
      <c r="B373" s="18" t="s">
        <v>1868</v>
      </c>
      <c r="C373" s="18" t="s">
        <v>779</v>
      </c>
      <c r="D373" s="19">
        <v>794</v>
      </c>
    </row>
    <row r="374" spans="1:4" x14ac:dyDescent="0.25">
      <c r="A374" s="17">
        <v>373</v>
      </c>
      <c r="B374" s="18" t="s">
        <v>1880</v>
      </c>
      <c r="C374" s="26" t="s">
        <v>1627</v>
      </c>
      <c r="D374" s="38">
        <v>791</v>
      </c>
    </row>
    <row r="375" spans="1:4" x14ac:dyDescent="0.25">
      <c r="A375" s="17">
        <v>374</v>
      </c>
      <c r="B375" s="18" t="s">
        <v>2488</v>
      </c>
      <c r="C375" s="26" t="s">
        <v>277</v>
      </c>
      <c r="D375" s="19">
        <v>786</v>
      </c>
    </row>
    <row r="376" spans="1:4" x14ac:dyDescent="0.25">
      <c r="A376" s="17">
        <v>375</v>
      </c>
      <c r="B376" s="18" t="s">
        <v>847</v>
      </c>
      <c r="C376" s="18" t="s">
        <v>779</v>
      </c>
      <c r="D376" s="19">
        <v>784</v>
      </c>
    </row>
    <row r="377" spans="1:4" x14ac:dyDescent="0.25">
      <c r="A377" s="17">
        <v>376</v>
      </c>
      <c r="B377" s="18" t="s">
        <v>354</v>
      </c>
      <c r="C377" s="26" t="s">
        <v>83</v>
      </c>
      <c r="D377" s="19">
        <v>779</v>
      </c>
    </row>
    <row r="378" spans="1:4" x14ac:dyDescent="0.25">
      <c r="A378" s="17">
        <v>377</v>
      </c>
      <c r="B378" s="18" t="s">
        <v>2320</v>
      </c>
      <c r="C378" s="26" t="s">
        <v>106</v>
      </c>
      <c r="D378" s="19">
        <v>779</v>
      </c>
    </row>
    <row r="379" spans="1:4" x14ac:dyDescent="0.25">
      <c r="A379" s="17">
        <v>378</v>
      </c>
      <c r="B379" s="18" t="s">
        <v>5035</v>
      </c>
      <c r="C379" s="26" t="s">
        <v>94</v>
      </c>
      <c r="D379" s="19">
        <v>771</v>
      </c>
    </row>
    <row r="380" spans="1:4" x14ac:dyDescent="0.25">
      <c r="A380" s="17">
        <v>379</v>
      </c>
      <c r="B380" s="18" t="s">
        <v>1966</v>
      </c>
      <c r="C380" s="26" t="s">
        <v>87</v>
      </c>
      <c r="D380" s="19">
        <v>762</v>
      </c>
    </row>
    <row r="381" spans="1:4" x14ac:dyDescent="0.25">
      <c r="A381" s="17">
        <v>380</v>
      </c>
      <c r="B381" s="28" t="s">
        <v>5109</v>
      </c>
      <c r="C381" s="26" t="s">
        <v>1673</v>
      </c>
      <c r="D381" s="19">
        <v>757</v>
      </c>
    </row>
    <row r="382" spans="1:4" x14ac:dyDescent="0.25">
      <c r="A382" s="17">
        <v>381</v>
      </c>
      <c r="B382" s="18" t="s">
        <v>514</v>
      </c>
      <c r="C382" s="18" t="s">
        <v>157</v>
      </c>
      <c r="D382" s="19">
        <v>757</v>
      </c>
    </row>
    <row r="383" spans="1:4" x14ac:dyDescent="0.25">
      <c r="A383" s="17">
        <v>382</v>
      </c>
      <c r="B383" s="18" t="s">
        <v>581</v>
      </c>
      <c r="C383" s="26" t="s">
        <v>318</v>
      </c>
      <c r="D383" s="19">
        <v>751</v>
      </c>
    </row>
    <row r="384" spans="1:4" x14ac:dyDescent="0.25">
      <c r="A384" s="17">
        <v>383</v>
      </c>
      <c r="B384" s="18" t="s">
        <v>2148</v>
      </c>
      <c r="C384" s="26" t="s">
        <v>87</v>
      </c>
      <c r="D384" s="19">
        <v>746</v>
      </c>
    </row>
    <row r="385" spans="1:4" x14ac:dyDescent="0.25">
      <c r="A385" s="17">
        <v>384</v>
      </c>
      <c r="B385" s="18" t="s">
        <v>491</v>
      </c>
      <c r="C385" s="26" t="s">
        <v>146</v>
      </c>
      <c r="D385" s="19">
        <v>745</v>
      </c>
    </row>
    <row r="386" spans="1:4" x14ac:dyDescent="0.25">
      <c r="A386" s="17">
        <v>385</v>
      </c>
      <c r="B386" s="18" t="s">
        <v>180</v>
      </c>
      <c r="C386" s="18" t="s">
        <v>181</v>
      </c>
      <c r="D386" s="19">
        <v>743</v>
      </c>
    </row>
    <row r="387" spans="1:4" x14ac:dyDescent="0.25">
      <c r="A387" s="17">
        <v>386</v>
      </c>
      <c r="B387" s="18" t="s">
        <v>4937</v>
      </c>
      <c r="C387" s="18" t="s">
        <v>111</v>
      </c>
      <c r="D387" s="19">
        <v>742</v>
      </c>
    </row>
    <row r="388" spans="1:4" x14ac:dyDescent="0.25">
      <c r="A388" s="17">
        <v>387</v>
      </c>
      <c r="B388" s="18" t="s">
        <v>2874</v>
      </c>
      <c r="C388" s="26" t="s">
        <v>161</v>
      </c>
      <c r="D388" s="19">
        <v>741</v>
      </c>
    </row>
    <row r="389" spans="1:4" x14ac:dyDescent="0.25">
      <c r="A389" s="17">
        <v>388</v>
      </c>
      <c r="B389" s="28" t="s">
        <v>4866</v>
      </c>
      <c r="C389" s="26" t="s">
        <v>717</v>
      </c>
      <c r="D389" s="19">
        <v>739</v>
      </c>
    </row>
    <row r="390" spans="1:4" x14ac:dyDescent="0.25">
      <c r="A390" s="17">
        <v>389</v>
      </c>
      <c r="B390" s="18" t="s">
        <v>4985</v>
      </c>
      <c r="C390" s="18" t="s">
        <v>111</v>
      </c>
      <c r="D390" s="19">
        <v>738</v>
      </c>
    </row>
    <row r="391" spans="1:4" x14ac:dyDescent="0.25">
      <c r="A391" s="17">
        <v>390</v>
      </c>
      <c r="B391" s="18" t="s">
        <v>1034</v>
      </c>
      <c r="C391" s="26" t="s">
        <v>77</v>
      </c>
      <c r="D391" s="19">
        <v>736</v>
      </c>
    </row>
    <row r="392" spans="1:4" x14ac:dyDescent="0.25">
      <c r="A392" s="17">
        <v>391</v>
      </c>
      <c r="B392" s="18" t="s">
        <v>392</v>
      </c>
      <c r="C392" s="26" t="s">
        <v>98</v>
      </c>
      <c r="D392" s="19">
        <v>732</v>
      </c>
    </row>
    <row r="393" spans="1:4" x14ac:dyDescent="0.25">
      <c r="A393" s="17">
        <v>392</v>
      </c>
      <c r="B393" s="28" t="s">
        <v>5030</v>
      </c>
      <c r="C393" s="26" t="s">
        <v>219</v>
      </c>
      <c r="D393" s="19">
        <v>730</v>
      </c>
    </row>
    <row r="394" spans="1:4" x14ac:dyDescent="0.25">
      <c r="A394" s="17">
        <v>393</v>
      </c>
      <c r="B394" s="18" t="s">
        <v>522</v>
      </c>
      <c r="C394" s="26" t="s">
        <v>267</v>
      </c>
      <c r="D394" s="19">
        <v>728</v>
      </c>
    </row>
    <row r="395" spans="1:4" x14ac:dyDescent="0.25">
      <c r="A395" s="17">
        <v>394</v>
      </c>
      <c r="B395" s="18" t="s">
        <v>156</v>
      </c>
      <c r="C395" s="18" t="s">
        <v>157</v>
      </c>
      <c r="D395" s="19">
        <v>725</v>
      </c>
    </row>
    <row r="396" spans="1:4" x14ac:dyDescent="0.25">
      <c r="A396" s="17">
        <v>395</v>
      </c>
      <c r="B396" s="18" t="s">
        <v>5005</v>
      </c>
      <c r="C396" s="26" t="s">
        <v>67</v>
      </c>
      <c r="D396" s="19">
        <v>718</v>
      </c>
    </row>
    <row r="397" spans="1:4" x14ac:dyDescent="0.25">
      <c r="A397" s="17">
        <v>396</v>
      </c>
      <c r="B397" s="18" t="s">
        <v>2585</v>
      </c>
      <c r="C397" s="26" t="s">
        <v>788</v>
      </c>
      <c r="D397" s="19">
        <v>717</v>
      </c>
    </row>
    <row r="398" spans="1:4" x14ac:dyDescent="0.25">
      <c r="A398" s="17">
        <v>397</v>
      </c>
      <c r="B398" s="18" t="s">
        <v>2283</v>
      </c>
      <c r="C398" s="18" t="s">
        <v>181</v>
      </c>
      <c r="D398" s="19">
        <v>715</v>
      </c>
    </row>
    <row r="399" spans="1:4" x14ac:dyDescent="0.25">
      <c r="A399" s="17">
        <v>398</v>
      </c>
      <c r="B399" s="18" t="s">
        <v>2738</v>
      </c>
      <c r="C399" s="26" t="s">
        <v>1552</v>
      </c>
      <c r="D399" s="19">
        <v>715</v>
      </c>
    </row>
    <row r="400" spans="1:4" x14ac:dyDescent="0.25">
      <c r="A400" s="17">
        <v>399</v>
      </c>
      <c r="B400" s="18" t="s">
        <v>5121</v>
      </c>
      <c r="C400" s="26" t="s">
        <v>83</v>
      </c>
      <c r="D400" s="19">
        <v>690</v>
      </c>
    </row>
    <row r="401" spans="1:4" x14ac:dyDescent="0.25">
      <c r="A401" s="17">
        <v>400</v>
      </c>
      <c r="B401" s="18" t="s">
        <v>626</v>
      </c>
      <c r="C401" s="18" t="s">
        <v>161</v>
      </c>
      <c r="D401" s="19">
        <v>685</v>
      </c>
    </row>
    <row r="402" spans="1:4" x14ac:dyDescent="0.25">
      <c r="A402" s="17">
        <v>401</v>
      </c>
      <c r="B402" s="18" t="s">
        <v>1343</v>
      </c>
      <c r="C402" s="26" t="s">
        <v>818</v>
      </c>
      <c r="D402" s="19">
        <v>682</v>
      </c>
    </row>
    <row r="403" spans="1:4" x14ac:dyDescent="0.25">
      <c r="A403" s="17">
        <v>402</v>
      </c>
      <c r="B403" s="18" t="s">
        <v>2315</v>
      </c>
      <c r="C403" s="26" t="s">
        <v>152</v>
      </c>
      <c r="D403" s="19">
        <v>675</v>
      </c>
    </row>
    <row r="404" spans="1:4" x14ac:dyDescent="0.25">
      <c r="A404" s="17">
        <v>403</v>
      </c>
      <c r="B404" s="18" t="s">
        <v>2654</v>
      </c>
      <c r="C404" s="26" t="s">
        <v>830</v>
      </c>
      <c r="D404" s="19">
        <v>675</v>
      </c>
    </row>
    <row r="405" spans="1:4" x14ac:dyDescent="0.25">
      <c r="A405" s="17">
        <v>404</v>
      </c>
      <c r="B405" s="18" t="s">
        <v>4995</v>
      </c>
      <c r="C405" s="18" t="s">
        <v>157</v>
      </c>
      <c r="D405" s="19">
        <v>675</v>
      </c>
    </row>
    <row r="406" spans="1:4" x14ac:dyDescent="0.25">
      <c r="A406" s="17">
        <v>405</v>
      </c>
      <c r="B406" s="18" t="s">
        <v>1018</v>
      </c>
      <c r="C406" s="26" t="s">
        <v>878</v>
      </c>
      <c r="D406" s="19">
        <v>666</v>
      </c>
    </row>
    <row r="407" spans="1:4" x14ac:dyDescent="0.25">
      <c r="A407" s="17">
        <v>406</v>
      </c>
      <c r="B407" s="18" t="s">
        <v>2397</v>
      </c>
      <c r="C407" s="26" t="s">
        <v>128</v>
      </c>
      <c r="D407" s="19">
        <v>665</v>
      </c>
    </row>
    <row r="408" spans="1:4" x14ac:dyDescent="0.25">
      <c r="A408" s="17">
        <v>407</v>
      </c>
      <c r="B408" s="18" t="s">
        <v>5125</v>
      </c>
      <c r="C408" s="18" t="s">
        <v>858</v>
      </c>
      <c r="D408" s="19">
        <v>664</v>
      </c>
    </row>
    <row r="409" spans="1:4" x14ac:dyDescent="0.25">
      <c r="A409" s="17">
        <v>408</v>
      </c>
      <c r="B409" s="18" t="s">
        <v>2097</v>
      </c>
      <c r="C409" s="26" t="s">
        <v>123</v>
      </c>
      <c r="D409" s="19">
        <v>662</v>
      </c>
    </row>
    <row r="410" spans="1:4" x14ac:dyDescent="0.25">
      <c r="A410" s="17">
        <v>409</v>
      </c>
      <c r="B410" s="18" t="s">
        <v>1638</v>
      </c>
      <c r="C410" s="18" t="s">
        <v>798</v>
      </c>
      <c r="D410" s="19">
        <v>656</v>
      </c>
    </row>
    <row r="411" spans="1:4" x14ac:dyDescent="0.25">
      <c r="A411" s="17">
        <v>410</v>
      </c>
      <c r="B411" s="18" t="s">
        <v>5077</v>
      </c>
      <c r="C411" s="26" t="s">
        <v>87</v>
      </c>
      <c r="D411" s="19">
        <v>655</v>
      </c>
    </row>
    <row r="412" spans="1:4" x14ac:dyDescent="0.25">
      <c r="A412" s="17">
        <v>411</v>
      </c>
      <c r="B412" s="18" t="s">
        <v>2372</v>
      </c>
      <c r="C412" s="26" t="s">
        <v>1608</v>
      </c>
      <c r="D412" s="38">
        <v>655</v>
      </c>
    </row>
    <row r="413" spans="1:4" x14ac:dyDescent="0.25">
      <c r="A413" s="17">
        <v>412</v>
      </c>
      <c r="B413" s="18" t="s">
        <v>373</v>
      </c>
      <c r="C413" s="26" t="s">
        <v>40</v>
      </c>
      <c r="D413" s="19">
        <v>650</v>
      </c>
    </row>
    <row r="414" spans="1:4" x14ac:dyDescent="0.25">
      <c r="A414" s="17">
        <v>413</v>
      </c>
      <c r="B414" s="18" t="s">
        <v>1851</v>
      </c>
      <c r="C414" s="26" t="s">
        <v>1300</v>
      </c>
      <c r="D414" s="19">
        <v>646</v>
      </c>
    </row>
    <row r="415" spans="1:4" x14ac:dyDescent="0.25">
      <c r="A415" s="17">
        <v>414</v>
      </c>
      <c r="B415" s="18" t="s">
        <v>530</v>
      </c>
      <c r="C415" s="26" t="s">
        <v>88</v>
      </c>
      <c r="D415" s="19">
        <v>643</v>
      </c>
    </row>
    <row r="416" spans="1:4" x14ac:dyDescent="0.25">
      <c r="A416" s="17">
        <v>415</v>
      </c>
      <c r="B416" s="18" t="s">
        <v>254</v>
      </c>
      <c r="C416" s="26" t="s">
        <v>123</v>
      </c>
      <c r="D416" s="19">
        <v>640</v>
      </c>
    </row>
    <row r="417" spans="1:4" x14ac:dyDescent="0.25">
      <c r="A417" s="17">
        <v>416</v>
      </c>
      <c r="B417" s="18" t="s">
        <v>705</v>
      </c>
      <c r="C417" s="26" t="s">
        <v>128</v>
      </c>
      <c r="D417" s="19">
        <v>636</v>
      </c>
    </row>
    <row r="418" spans="1:4" x14ac:dyDescent="0.25">
      <c r="A418" s="17">
        <v>417</v>
      </c>
      <c r="B418" s="18" t="s">
        <v>2212</v>
      </c>
      <c r="C418" s="26" t="s">
        <v>759</v>
      </c>
      <c r="D418" s="38">
        <v>634</v>
      </c>
    </row>
    <row r="419" spans="1:4" x14ac:dyDescent="0.25">
      <c r="A419" s="17">
        <v>418</v>
      </c>
      <c r="B419" s="18" t="s">
        <v>4901</v>
      </c>
      <c r="C419" s="18" t="s">
        <v>825</v>
      </c>
      <c r="D419" s="19">
        <v>634</v>
      </c>
    </row>
    <row r="420" spans="1:4" x14ac:dyDescent="0.25">
      <c r="A420" s="17">
        <v>419</v>
      </c>
      <c r="B420" s="18" t="s">
        <v>1392</v>
      </c>
      <c r="C420" s="26" t="s">
        <v>119</v>
      </c>
      <c r="D420" s="19">
        <v>627</v>
      </c>
    </row>
    <row r="421" spans="1:4" x14ac:dyDescent="0.25">
      <c r="A421" s="17">
        <v>420</v>
      </c>
      <c r="B421" s="18" t="s">
        <v>2479</v>
      </c>
      <c r="C421" s="18" t="s">
        <v>157</v>
      </c>
      <c r="D421" s="19">
        <v>626</v>
      </c>
    </row>
    <row r="422" spans="1:4" x14ac:dyDescent="0.25">
      <c r="A422" s="17">
        <v>421</v>
      </c>
      <c r="B422" s="18" t="s">
        <v>1176</v>
      </c>
      <c r="C422" s="26" t="s">
        <v>1177</v>
      </c>
      <c r="D422" s="19">
        <v>623</v>
      </c>
    </row>
    <row r="423" spans="1:4" x14ac:dyDescent="0.25">
      <c r="A423" s="17">
        <v>422</v>
      </c>
      <c r="B423" s="18" t="s">
        <v>4984</v>
      </c>
      <c r="C423" s="26" t="s">
        <v>134</v>
      </c>
      <c r="D423" s="19">
        <v>615</v>
      </c>
    </row>
    <row r="424" spans="1:4" x14ac:dyDescent="0.25">
      <c r="A424" s="17">
        <v>423</v>
      </c>
      <c r="B424" s="18" t="s">
        <v>1339</v>
      </c>
      <c r="C424" s="26" t="s">
        <v>119</v>
      </c>
      <c r="D424" s="19">
        <v>615</v>
      </c>
    </row>
    <row r="425" spans="1:4" x14ac:dyDescent="0.25">
      <c r="A425" s="17">
        <v>424</v>
      </c>
      <c r="B425" s="18" t="s">
        <v>1493</v>
      </c>
      <c r="C425" s="18" t="s">
        <v>798</v>
      </c>
      <c r="D425" s="38">
        <v>612</v>
      </c>
    </row>
    <row r="426" spans="1:4" x14ac:dyDescent="0.25">
      <c r="A426" s="17">
        <v>425</v>
      </c>
      <c r="B426" s="18" t="s">
        <v>2714</v>
      </c>
      <c r="C426" s="26" t="s">
        <v>128</v>
      </c>
      <c r="D426" s="19">
        <v>606</v>
      </c>
    </row>
    <row r="427" spans="1:4" x14ac:dyDescent="0.25">
      <c r="A427" s="17">
        <v>426</v>
      </c>
      <c r="B427" s="18" t="s">
        <v>1356</v>
      </c>
      <c r="C427" s="26" t="s">
        <v>1627</v>
      </c>
      <c r="D427" s="19">
        <v>606</v>
      </c>
    </row>
    <row r="428" spans="1:4" x14ac:dyDescent="0.25">
      <c r="A428" s="17">
        <v>427</v>
      </c>
      <c r="B428" s="18" t="s">
        <v>2392</v>
      </c>
      <c r="C428" s="26" t="s">
        <v>337</v>
      </c>
      <c r="D428" s="19">
        <v>605</v>
      </c>
    </row>
    <row r="429" spans="1:4" x14ac:dyDescent="0.25">
      <c r="A429" s="17">
        <v>428</v>
      </c>
      <c r="B429" s="18" t="s">
        <v>4860</v>
      </c>
      <c r="C429" s="26" t="s">
        <v>41</v>
      </c>
      <c r="D429" s="19">
        <v>604</v>
      </c>
    </row>
    <row r="430" spans="1:4" x14ac:dyDescent="0.25">
      <c r="A430" s="17">
        <v>429</v>
      </c>
      <c r="B430" s="18" t="s">
        <v>1341</v>
      </c>
      <c r="C430" s="18" t="s">
        <v>874</v>
      </c>
      <c r="D430" s="19">
        <v>602</v>
      </c>
    </row>
    <row r="431" spans="1:4" x14ac:dyDescent="0.25">
      <c r="A431" s="17">
        <v>430</v>
      </c>
      <c r="B431" s="18" t="s">
        <v>2011</v>
      </c>
      <c r="C431" s="26" t="s">
        <v>1242</v>
      </c>
      <c r="D431" s="19">
        <v>600</v>
      </c>
    </row>
    <row r="432" spans="1:4" x14ac:dyDescent="0.25">
      <c r="A432" s="17">
        <v>431</v>
      </c>
      <c r="B432" s="18" t="s">
        <v>4928</v>
      </c>
      <c r="C432" s="26" t="s">
        <v>47</v>
      </c>
      <c r="D432" s="19">
        <v>597</v>
      </c>
    </row>
    <row r="433" spans="1:4" x14ac:dyDescent="0.25">
      <c r="A433" s="17">
        <v>432</v>
      </c>
      <c r="B433" s="18" t="s">
        <v>4854</v>
      </c>
      <c r="C433" s="26" t="s">
        <v>146</v>
      </c>
      <c r="D433" s="19">
        <v>591</v>
      </c>
    </row>
    <row r="434" spans="1:4" x14ac:dyDescent="0.25">
      <c r="A434" s="17">
        <v>433</v>
      </c>
      <c r="B434" s="18" t="s">
        <v>2389</v>
      </c>
      <c r="C434" s="18" t="s">
        <v>858</v>
      </c>
      <c r="D434" s="19">
        <v>590</v>
      </c>
    </row>
    <row r="435" spans="1:4" x14ac:dyDescent="0.25">
      <c r="A435" s="17">
        <v>434</v>
      </c>
      <c r="B435" s="18" t="s">
        <v>1180</v>
      </c>
      <c r="C435" s="26" t="s">
        <v>717</v>
      </c>
      <c r="D435" s="19">
        <v>589</v>
      </c>
    </row>
    <row r="436" spans="1:4" x14ac:dyDescent="0.25">
      <c r="A436" s="17">
        <v>435</v>
      </c>
      <c r="B436" s="18" t="s">
        <v>300</v>
      </c>
      <c r="C436" s="26" t="s">
        <v>94</v>
      </c>
      <c r="D436" s="19">
        <v>585</v>
      </c>
    </row>
    <row r="437" spans="1:4" x14ac:dyDescent="0.25">
      <c r="A437" s="17">
        <v>436</v>
      </c>
      <c r="B437" s="18" t="s">
        <v>1646</v>
      </c>
      <c r="C437" s="26" t="s">
        <v>290</v>
      </c>
      <c r="D437" s="19">
        <v>583</v>
      </c>
    </row>
    <row r="438" spans="1:4" x14ac:dyDescent="0.25">
      <c r="A438" s="17">
        <v>437</v>
      </c>
      <c r="B438" s="18" t="s">
        <v>4971</v>
      </c>
      <c r="C438" s="26" t="s">
        <v>161</v>
      </c>
      <c r="D438" s="19">
        <v>582</v>
      </c>
    </row>
    <row r="439" spans="1:4" x14ac:dyDescent="0.25">
      <c r="A439" s="17">
        <v>438</v>
      </c>
      <c r="B439" s="18" t="s">
        <v>5107</v>
      </c>
      <c r="C439" s="26" t="s">
        <v>225</v>
      </c>
      <c r="D439" s="19">
        <v>581</v>
      </c>
    </row>
    <row r="440" spans="1:4" x14ac:dyDescent="0.25">
      <c r="A440" s="17">
        <v>439</v>
      </c>
      <c r="B440" s="18" t="s">
        <v>2734</v>
      </c>
      <c r="C440" s="26" t="s">
        <v>916</v>
      </c>
      <c r="D440" s="19">
        <v>580</v>
      </c>
    </row>
    <row r="441" spans="1:4" x14ac:dyDescent="0.25">
      <c r="A441" s="17">
        <v>440</v>
      </c>
      <c r="B441" s="18" t="s">
        <v>814</v>
      </c>
      <c r="C441" s="26" t="s">
        <v>106</v>
      </c>
      <c r="D441" s="19">
        <v>579</v>
      </c>
    </row>
    <row r="442" spans="1:4" x14ac:dyDescent="0.25">
      <c r="A442" s="17">
        <v>441</v>
      </c>
      <c r="B442" s="18" t="s">
        <v>2188</v>
      </c>
      <c r="C442" s="18" t="s">
        <v>157</v>
      </c>
      <c r="D442" s="19">
        <v>578</v>
      </c>
    </row>
    <row r="443" spans="1:4" x14ac:dyDescent="0.25">
      <c r="A443" s="17">
        <v>442</v>
      </c>
      <c r="B443" s="18" t="s">
        <v>185</v>
      </c>
      <c r="C443" s="26" t="s">
        <v>186</v>
      </c>
      <c r="D443" s="19">
        <v>577</v>
      </c>
    </row>
    <row r="444" spans="1:4" x14ac:dyDescent="0.25">
      <c r="A444" s="17">
        <v>443</v>
      </c>
      <c r="B444" s="18" t="s">
        <v>2452</v>
      </c>
      <c r="C444" s="26" t="s">
        <v>830</v>
      </c>
      <c r="D444" s="19">
        <v>575</v>
      </c>
    </row>
    <row r="445" spans="1:4" x14ac:dyDescent="0.25">
      <c r="A445" s="17">
        <v>444</v>
      </c>
      <c r="B445" s="18" t="s">
        <v>5029</v>
      </c>
      <c r="C445" s="26" t="s">
        <v>2207</v>
      </c>
      <c r="D445" s="19">
        <v>573</v>
      </c>
    </row>
    <row r="446" spans="1:4" x14ac:dyDescent="0.25">
      <c r="A446" s="17">
        <v>445</v>
      </c>
      <c r="B446" s="18" t="s">
        <v>349</v>
      </c>
      <c r="C446" s="26" t="s">
        <v>98</v>
      </c>
      <c r="D446" s="19">
        <v>570</v>
      </c>
    </row>
    <row r="447" spans="1:4" x14ac:dyDescent="0.25">
      <c r="A447" s="17">
        <v>446</v>
      </c>
      <c r="B447" s="18" t="s">
        <v>276</v>
      </c>
      <c r="C447" s="26" t="s">
        <v>277</v>
      </c>
      <c r="D447" s="19">
        <v>569</v>
      </c>
    </row>
    <row r="448" spans="1:4" x14ac:dyDescent="0.25">
      <c r="A448" s="17">
        <v>447</v>
      </c>
      <c r="B448" s="18" t="s">
        <v>2758</v>
      </c>
      <c r="C448" s="18" t="s">
        <v>1327</v>
      </c>
      <c r="D448" s="19">
        <v>567</v>
      </c>
    </row>
    <row r="449" spans="1:4" x14ac:dyDescent="0.25">
      <c r="A449" s="17">
        <v>448</v>
      </c>
      <c r="B449" s="18" t="s">
        <v>2384</v>
      </c>
      <c r="C449" s="26" t="s">
        <v>1608</v>
      </c>
      <c r="D449" s="19">
        <v>565</v>
      </c>
    </row>
    <row r="450" spans="1:4" x14ac:dyDescent="0.25">
      <c r="A450" s="17">
        <v>449</v>
      </c>
      <c r="B450" s="18" t="s">
        <v>5042</v>
      </c>
      <c r="C450" s="26" t="s">
        <v>564</v>
      </c>
      <c r="D450" s="19">
        <v>559</v>
      </c>
    </row>
    <row r="451" spans="1:4" x14ac:dyDescent="0.25">
      <c r="A451" s="17">
        <v>450</v>
      </c>
      <c r="B451" s="18" t="s">
        <v>2645</v>
      </c>
      <c r="C451" s="26" t="s">
        <v>788</v>
      </c>
      <c r="D451" s="38">
        <v>555</v>
      </c>
    </row>
    <row r="452" spans="1:4" x14ac:dyDescent="0.25">
      <c r="A452" s="17">
        <v>451</v>
      </c>
      <c r="B452" s="18" t="s">
        <v>2699</v>
      </c>
      <c r="C452" s="26" t="s">
        <v>34</v>
      </c>
      <c r="D452" s="19">
        <v>552</v>
      </c>
    </row>
    <row r="453" spans="1:4" x14ac:dyDescent="0.25">
      <c r="A453" s="17">
        <v>452</v>
      </c>
      <c r="B453" s="18" t="s">
        <v>2433</v>
      </c>
      <c r="C453" s="26" t="s">
        <v>818</v>
      </c>
      <c r="D453" s="38">
        <v>550</v>
      </c>
    </row>
    <row r="454" spans="1:4" x14ac:dyDescent="0.25">
      <c r="A454" s="17">
        <v>453</v>
      </c>
      <c r="B454" s="18" t="s">
        <v>2230</v>
      </c>
      <c r="C454" s="26" t="s">
        <v>66</v>
      </c>
      <c r="D454" s="19">
        <v>549</v>
      </c>
    </row>
    <row r="455" spans="1:4" x14ac:dyDescent="0.25">
      <c r="A455" s="17">
        <v>454</v>
      </c>
      <c r="B455" s="18" t="s">
        <v>455</v>
      </c>
      <c r="C455" s="26" t="s">
        <v>40</v>
      </c>
      <c r="D455" s="19">
        <v>549</v>
      </c>
    </row>
    <row r="456" spans="1:4" x14ac:dyDescent="0.25">
      <c r="A456" s="17">
        <v>455</v>
      </c>
      <c r="B456" s="18" t="s">
        <v>2137</v>
      </c>
      <c r="C456" s="26" t="s">
        <v>717</v>
      </c>
      <c r="D456" s="19">
        <v>549</v>
      </c>
    </row>
    <row r="457" spans="1:4" x14ac:dyDescent="0.25">
      <c r="A457" s="17">
        <v>456</v>
      </c>
      <c r="B457" s="18" t="s">
        <v>3031</v>
      </c>
      <c r="C457" s="26" t="s">
        <v>60</v>
      </c>
      <c r="D457" s="19">
        <v>547</v>
      </c>
    </row>
    <row r="458" spans="1:4" x14ac:dyDescent="0.25">
      <c r="A458" s="17">
        <v>457</v>
      </c>
      <c r="B458" s="18" t="s">
        <v>1334</v>
      </c>
      <c r="C458" s="26" t="s">
        <v>140</v>
      </c>
      <c r="D458" s="19">
        <v>545</v>
      </c>
    </row>
    <row r="459" spans="1:4" x14ac:dyDescent="0.25">
      <c r="A459" s="17">
        <v>458</v>
      </c>
      <c r="B459" s="18" t="s">
        <v>697</v>
      </c>
      <c r="C459" s="26" t="s">
        <v>313</v>
      </c>
      <c r="D459" s="19">
        <v>542</v>
      </c>
    </row>
    <row r="460" spans="1:4" x14ac:dyDescent="0.25">
      <c r="A460" s="17">
        <v>459</v>
      </c>
      <c r="B460" s="18" t="s">
        <v>2623</v>
      </c>
      <c r="C460" s="26" t="s">
        <v>104</v>
      </c>
      <c r="D460" s="19">
        <v>542</v>
      </c>
    </row>
    <row r="461" spans="1:4" x14ac:dyDescent="0.25">
      <c r="A461" s="17">
        <v>460</v>
      </c>
      <c r="B461" s="18" t="s">
        <v>1233</v>
      </c>
      <c r="C461" s="26" t="s">
        <v>67</v>
      </c>
      <c r="D461" s="19">
        <v>541</v>
      </c>
    </row>
    <row r="462" spans="1:4" x14ac:dyDescent="0.25">
      <c r="A462" s="17">
        <v>461</v>
      </c>
      <c r="B462" s="18" t="s">
        <v>4880</v>
      </c>
      <c r="C462" s="26" t="s">
        <v>55</v>
      </c>
      <c r="D462" s="19">
        <v>541</v>
      </c>
    </row>
    <row r="463" spans="1:4" x14ac:dyDescent="0.25">
      <c r="A463" s="17">
        <v>462</v>
      </c>
      <c r="B463" s="28" t="s">
        <v>5037</v>
      </c>
      <c r="C463" s="26" t="s">
        <v>2207</v>
      </c>
      <c r="D463" s="19">
        <v>539</v>
      </c>
    </row>
    <row r="464" spans="1:4" x14ac:dyDescent="0.25">
      <c r="A464" s="17">
        <v>463</v>
      </c>
      <c r="B464" s="18" t="s">
        <v>2657</v>
      </c>
      <c r="C464" s="26" t="s">
        <v>277</v>
      </c>
      <c r="D464" s="19">
        <v>538</v>
      </c>
    </row>
    <row r="465" spans="1:4" x14ac:dyDescent="0.25">
      <c r="A465" s="17">
        <v>464</v>
      </c>
      <c r="B465" s="18" t="s">
        <v>810</v>
      </c>
      <c r="C465" s="18" t="s">
        <v>181</v>
      </c>
      <c r="D465" s="19">
        <v>535</v>
      </c>
    </row>
    <row r="466" spans="1:4" x14ac:dyDescent="0.25">
      <c r="A466" s="17">
        <v>465</v>
      </c>
      <c r="B466" s="28" t="s">
        <v>4873</v>
      </c>
      <c r="C466" s="26" t="s">
        <v>168</v>
      </c>
      <c r="D466" s="19">
        <v>535</v>
      </c>
    </row>
    <row r="467" spans="1:4" x14ac:dyDescent="0.25">
      <c r="A467" s="17">
        <v>466</v>
      </c>
      <c r="B467" s="18" t="s">
        <v>1885</v>
      </c>
      <c r="C467" s="26" t="s">
        <v>134</v>
      </c>
      <c r="D467" s="19">
        <v>532</v>
      </c>
    </row>
    <row r="468" spans="1:4" x14ac:dyDescent="0.25">
      <c r="A468" s="17">
        <v>467</v>
      </c>
      <c r="B468" s="18" t="s">
        <v>1173</v>
      </c>
      <c r="C468" s="18" t="s">
        <v>874</v>
      </c>
      <c r="D468" s="19">
        <v>523</v>
      </c>
    </row>
    <row r="469" spans="1:4" x14ac:dyDescent="0.25">
      <c r="A469" s="17">
        <v>468</v>
      </c>
      <c r="B469" s="18" t="s">
        <v>4886</v>
      </c>
      <c r="C469" s="26" t="s">
        <v>225</v>
      </c>
      <c r="D469" s="19">
        <v>523</v>
      </c>
    </row>
    <row r="470" spans="1:4" x14ac:dyDescent="0.25">
      <c r="A470" s="17">
        <v>469</v>
      </c>
      <c r="B470" s="18" t="s">
        <v>224</v>
      </c>
      <c r="C470" s="26" t="s">
        <v>225</v>
      </c>
      <c r="D470" s="19">
        <v>522</v>
      </c>
    </row>
    <row r="471" spans="1:4" x14ac:dyDescent="0.25">
      <c r="A471" s="17">
        <v>470</v>
      </c>
      <c r="B471" s="18" t="s">
        <v>2588</v>
      </c>
      <c r="C471" s="26" t="s">
        <v>152</v>
      </c>
      <c r="D471" s="38">
        <v>521</v>
      </c>
    </row>
    <row r="472" spans="1:4" x14ac:dyDescent="0.25">
      <c r="A472" s="17">
        <v>471</v>
      </c>
      <c r="B472" s="18" t="s">
        <v>4900</v>
      </c>
      <c r="C472" s="26" t="s">
        <v>382</v>
      </c>
      <c r="D472" s="19">
        <v>519</v>
      </c>
    </row>
    <row r="473" spans="1:4" x14ac:dyDescent="0.25">
      <c r="A473" s="17">
        <v>472</v>
      </c>
      <c r="B473" s="18" t="s">
        <v>2192</v>
      </c>
      <c r="C473" s="26" t="s">
        <v>1627</v>
      </c>
      <c r="D473" s="19">
        <v>515</v>
      </c>
    </row>
    <row r="474" spans="1:4" x14ac:dyDescent="0.25">
      <c r="A474" s="17">
        <v>473</v>
      </c>
      <c r="B474" s="18" t="s">
        <v>2089</v>
      </c>
      <c r="C474" s="18" t="s">
        <v>157</v>
      </c>
      <c r="D474" s="19">
        <v>515</v>
      </c>
    </row>
    <row r="475" spans="1:4" x14ac:dyDescent="0.25">
      <c r="A475" s="17">
        <v>474</v>
      </c>
      <c r="B475" s="18" t="s">
        <v>4957</v>
      </c>
      <c r="C475" s="26" t="s">
        <v>104</v>
      </c>
      <c r="D475" s="19">
        <v>512</v>
      </c>
    </row>
    <row r="476" spans="1:4" x14ac:dyDescent="0.25">
      <c r="A476" s="17">
        <v>475</v>
      </c>
      <c r="B476" s="18" t="s">
        <v>2314</v>
      </c>
      <c r="C476" s="26" t="s">
        <v>72</v>
      </c>
      <c r="D476" s="38">
        <v>509</v>
      </c>
    </row>
    <row r="477" spans="1:4" x14ac:dyDescent="0.25">
      <c r="A477" s="17">
        <v>476</v>
      </c>
      <c r="B477" s="18" t="s">
        <v>601</v>
      </c>
      <c r="C477" s="26" t="s">
        <v>564</v>
      </c>
      <c r="D477" s="19">
        <v>508</v>
      </c>
    </row>
    <row r="478" spans="1:4" x14ac:dyDescent="0.25">
      <c r="A478" s="17">
        <v>477</v>
      </c>
      <c r="B478" s="18" t="s">
        <v>903</v>
      </c>
      <c r="C478" s="26" t="s">
        <v>798</v>
      </c>
      <c r="D478" s="19">
        <v>507</v>
      </c>
    </row>
    <row r="479" spans="1:4" x14ac:dyDescent="0.25">
      <c r="A479" s="17">
        <v>478</v>
      </c>
      <c r="B479" s="18" t="s">
        <v>986</v>
      </c>
      <c r="C479" s="18" t="s">
        <v>157</v>
      </c>
      <c r="D479" s="19">
        <v>504</v>
      </c>
    </row>
    <row r="480" spans="1:4" x14ac:dyDescent="0.25">
      <c r="A480" s="17">
        <v>479</v>
      </c>
      <c r="B480" s="18" t="s">
        <v>1150</v>
      </c>
      <c r="C480" s="26" t="s">
        <v>259</v>
      </c>
      <c r="D480" s="19">
        <v>502</v>
      </c>
    </row>
    <row r="481" spans="1:4" x14ac:dyDescent="0.25">
      <c r="A481" s="17">
        <v>480</v>
      </c>
      <c r="B481" s="18" t="s">
        <v>992</v>
      </c>
      <c r="C481" s="26" t="s">
        <v>98</v>
      </c>
      <c r="D481" s="19">
        <v>500</v>
      </c>
    </row>
    <row r="482" spans="1:4" x14ac:dyDescent="0.25">
      <c r="A482" s="17">
        <v>481</v>
      </c>
      <c r="B482" s="18" t="s">
        <v>5105</v>
      </c>
      <c r="C482" s="26" t="s">
        <v>106</v>
      </c>
      <c r="D482" s="19">
        <v>500</v>
      </c>
    </row>
    <row r="483" spans="1:4" x14ac:dyDescent="0.25">
      <c r="A483" s="17">
        <v>482</v>
      </c>
      <c r="B483" s="18" t="s">
        <v>2240</v>
      </c>
      <c r="C483" s="26" t="s">
        <v>1614</v>
      </c>
      <c r="D483" s="38">
        <v>498</v>
      </c>
    </row>
    <row r="484" spans="1:4" x14ac:dyDescent="0.25">
      <c r="A484" s="17">
        <v>483</v>
      </c>
      <c r="B484" s="18" t="s">
        <v>5013</v>
      </c>
      <c r="C484" s="26" t="s">
        <v>277</v>
      </c>
      <c r="D484" s="19">
        <v>495</v>
      </c>
    </row>
    <row r="485" spans="1:4" x14ac:dyDescent="0.25">
      <c r="A485" s="17">
        <v>484</v>
      </c>
      <c r="B485" s="18" t="s">
        <v>4968</v>
      </c>
      <c r="C485" s="26" t="s">
        <v>867</v>
      </c>
      <c r="D485" s="19">
        <v>491</v>
      </c>
    </row>
    <row r="486" spans="1:4" x14ac:dyDescent="0.25">
      <c r="A486" s="17">
        <v>485</v>
      </c>
      <c r="B486" s="18" t="s">
        <v>2104</v>
      </c>
      <c r="C486" s="18" t="s">
        <v>181</v>
      </c>
      <c r="D486" s="19">
        <v>487</v>
      </c>
    </row>
    <row r="487" spans="1:4" x14ac:dyDescent="0.25">
      <c r="A487" s="17">
        <v>486</v>
      </c>
      <c r="B487" s="18" t="s">
        <v>5080</v>
      </c>
      <c r="C487" s="26" t="s">
        <v>798</v>
      </c>
      <c r="D487" s="19">
        <v>487</v>
      </c>
    </row>
    <row r="488" spans="1:4" x14ac:dyDescent="0.25">
      <c r="A488" s="17">
        <v>487</v>
      </c>
      <c r="B488" s="18" t="s">
        <v>5015</v>
      </c>
      <c r="C488" s="18" t="s">
        <v>858</v>
      </c>
      <c r="D488" s="19">
        <v>486</v>
      </c>
    </row>
    <row r="489" spans="1:4" x14ac:dyDescent="0.25">
      <c r="A489" s="17">
        <v>488</v>
      </c>
      <c r="B489" s="18" t="s">
        <v>1304</v>
      </c>
      <c r="C489" s="26" t="s">
        <v>1300</v>
      </c>
      <c r="D489" s="19">
        <v>482</v>
      </c>
    </row>
    <row r="490" spans="1:4" x14ac:dyDescent="0.25">
      <c r="A490" s="17">
        <v>489</v>
      </c>
      <c r="B490" s="18" t="s">
        <v>1159</v>
      </c>
      <c r="C490" s="26" t="s">
        <v>161</v>
      </c>
      <c r="D490" s="19">
        <v>476</v>
      </c>
    </row>
    <row r="491" spans="1:4" x14ac:dyDescent="0.25">
      <c r="A491" s="17">
        <v>490</v>
      </c>
      <c r="B491" s="28" t="s">
        <v>4831</v>
      </c>
      <c r="C491" s="26" t="s">
        <v>123</v>
      </c>
      <c r="D491" s="19">
        <v>475</v>
      </c>
    </row>
    <row r="492" spans="1:4" x14ac:dyDescent="0.25">
      <c r="A492" s="17">
        <v>491</v>
      </c>
      <c r="B492" s="18" t="s">
        <v>5055</v>
      </c>
      <c r="C492" s="26" t="s">
        <v>106</v>
      </c>
      <c r="D492" s="19">
        <v>474</v>
      </c>
    </row>
    <row r="493" spans="1:4" x14ac:dyDescent="0.25">
      <c r="A493" s="17">
        <v>492</v>
      </c>
      <c r="B493" s="18" t="s">
        <v>5002</v>
      </c>
      <c r="C493" s="26" t="s">
        <v>337</v>
      </c>
      <c r="D493" s="19">
        <v>473</v>
      </c>
    </row>
    <row r="494" spans="1:4" x14ac:dyDescent="0.25">
      <c r="A494" s="17">
        <v>493</v>
      </c>
      <c r="B494" s="18" t="s">
        <v>1330</v>
      </c>
      <c r="C494" s="26" t="s">
        <v>313</v>
      </c>
      <c r="D494" s="19">
        <v>472</v>
      </c>
    </row>
    <row r="495" spans="1:4" x14ac:dyDescent="0.25">
      <c r="A495" s="17">
        <v>494</v>
      </c>
      <c r="B495" s="18" t="s">
        <v>2444</v>
      </c>
      <c r="C495" s="26" t="s">
        <v>988</v>
      </c>
      <c r="D495" s="19">
        <v>471</v>
      </c>
    </row>
    <row r="496" spans="1:4" x14ac:dyDescent="0.25">
      <c r="A496" s="17">
        <v>495</v>
      </c>
      <c r="B496" s="18" t="s">
        <v>912</v>
      </c>
      <c r="C496" s="18" t="s">
        <v>157</v>
      </c>
      <c r="D496" s="19">
        <v>469</v>
      </c>
    </row>
    <row r="497" spans="1:4" x14ac:dyDescent="0.25">
      <c r="A497" s="17">
        <v>496</v>
      </c>
      <c r="B497" s="18" t="s">
        <v>5016</v>
      </c>
      <c r="C497" s="26" t="s">
        <v>55</v>
      </c>
      <c r="D497" s="19">
        <v>467</v>
      </c>
    </row>
    <row r="498" spans="1:4" x14ac:dyDescent="0.25">
      <c r="A498" s="17">
        <v>497</v>
      </c>
      <c r="B498" s="18" t="s">
        <v>5014</v>
      </c>
      <c r="C498" s="26" t="s">
        <v>564</v>
      </c>
      <c r="D498" s="19">
        <v>465</v>
      </c>
    </row>
    <row r="499" spans="1:4" x14ac:dyDescent="0.25">
      <c r="A499" s="17">
        <v>498</v>
      </c>
      <c r="B499" s="18" t="s">
        <v>443</v>
      </c>
      <c r="C499" s="26" t="s">
        <v>25</v>
      </c>
      <c r="D499" s="19">
        <v>456</v>
      </c>
    </row>
    <row r="500" spans="1:4" x14ac:dyDescent="0.25">
      <c r="A500" s="17">
        <v>499</v>
      </c>
      <c r="B500" s="18" t="s">
        <v>1747</v>
      </c>
      <c r="C500" s="18" t="s">
        <v>157</v>
      </c>
      <c r="D500" s="19">
        <v>454</v>
      </c>
    </row>
    <row r="501" spans="1:4" x14ac:dyDescent="0.25">
      <c r="A501" s="17">
        <v>500</v>
      </c>
      <c r="B501" s="18" t="s">
        <v>5100</v>
      </c>
      <c r="C501" s="26" t="s">
        <v>267</v>
      </c>
      <c r="D501" s="19">
        <v>451</v>
      </c>
    </row>
    <row r="502" spans="1:4" x14ac:dyDescent="0.25">
      <c r="A502" s="17">
        <v>501</v>
      </c>
      <c r="B502" s="18" t="s">
        <v>2598</v>
      </c>
      <c r="C502" s="26" t="s">
        <v>152</v>
      </c>
      <c r="D502" s="19">
        <v>450</v>
      </c>
    </row>
    <row r="503" spans="1:4" x14ac:dyDescent="0.25">
      <c r="A503" s="17">
        <v>502</v>
      </c>
      <c r="B503" s="18" t="s">
        <v>2354</v>
      </c>
      <c r="C503" s="26" t="s">
        <v>1627</v>
      </c>
      <c r="D503" s="38">
        <v>450</v>
      </c>
    </row>
    <row r="504" spans="1:4" x14ac:dyDescent="0.25">
      <c r="A504" s="17">
        <v>503</v>
      </c>
      <c r="B504" s="18" t="s">
        <v>5065</v>
      </c>
      <c r="C504" s="26" t="s">
        <v>77</v>
      </c>
      <c r="D504" s="19">
        <v>448</v>
      </c>
    </row>
    <row r="505" spans="1:4" x14ac:dyDescent="0.25">
      <c r="A505" s="17">
        <v>504</v>
      </c>
      <c r="B505" s="18" t="s">
        <v>266</v>
      </c>
      <c r="C505" s="26" t="s">
        <v>267</v>
      </c>
      <c r="D505" s="19">
        <v>446</v>
      </c>
    </row>
    <row r="506" spans="1:4" x14ac:dyDescent="0.25">
      <c r="A506" s="17">
        <v>505</v>
      </c>
      <c r="B506" s="18" t="s">
        <v>1663</v>
      </c>
      <c r="C506" s="26" t="s">
        <v>161</v>
      </c>
      <c r="D506" s="38">
        <v>443</v>
      </c>
    </row>
    <row r="507" spans="1:4" x14ac:dyDescent="0.25">
      <c r="A507" s="17">
        <v>506</v>
      </c>
      <c r="B507" s="18" t="s">
        <v>428</v>
      </c>
      <c r="C507" s="26" t="s">
        <v>83</v>
      </c>
      <c r="D507" s="19">
        <v>438</v>
      </c>
    </row>
    <row r="508" spans="1:4" x14ac:dyDescent="0.25">
      <c r="A508" s="17">
        <v>507</v>
      </c>
      <c r="B508" s="18" t="s">
        <v>4899</v>
      </c>
      <c r="C508" s="18" t="s">
        <v>798</v>
      </c>
      <c r="D508" s="19">
        <v>438</v>
      </c>
    </row>
    <row r="509" spans="1:4" x14ac:dyDescent="0.25">
      <c r="A509" s="17">
        <v>508</v>
      </c>
      <c r="B509" s="18" t="s">
        <v>5073</v>
      </c>
      <c r="C509" s="26" t="s">
        <v>47</v>
      </c>
      <c r="D509" s="19">
        <v>435</v>
      </c>
    </row>
    <row r="510" spans="1:4" x14ac:dyDescent="0.25">
      <c r="A510" s="17">
        <v>509</v>
      </c>
      <c r="B510" s="18" t="s">
        <v>2597</v>
      </c>
      <c r="C510" s="26" t="s">
        <v>1266</v>
      </c>
      <c r="D510" s="38">
        <v>435</v>
      </c>
    </row>
    <row r="511" spans="1:4" x14ac:dyDescent="0.25">
      <c r="A511" s="17">
        <v>510</v>
      </c>
      <c r="B511" s="18" t="s">
        <v>5115</v>
      </c>
      <c r="C511" s="18" t="s">
        <v>181</v>
      </c>
      <c r="D511" s="19">
        <v>435</v>
      </c>
    </row>
    <row r="512" spans="1:4" x14ac:dyDescent="0.25">
      <c r="A512" s="17">
        <v>511</v>
      </c>
      <c r="B512" s="18" t="s">
        <v>5021</v>
      </c>
      <c r="C512" s="26" t="s">
        <v>40</v>
      </c>
      <c r="D512" s="19">
        <v>435</v>
      </c>
    </row>
    <row r="513" spans="1:4" x14ac:dyDescent="0.25">
      <c r="A513" s="17">
        <v>512</v>
      </c>
      <c r="B513" s="18" t="s">
        <v>2639</v>
      </c>
      <c r="C513" s="18" t="s">
        <v>874</v>
      </c>
      <c r="D513" s="19">
        <v>434</v>
      </c>
    </row>
    <row r="514" spans="1:4" x14ac:dyDescent="0.25">
      <c r="A514" s="17">
        <v>513</v>
      </c>
      <c r="B514" s="18" t="s">
        <v>2540</v>
      </c>
      <c r="C514" s="18" t="s">
        <v>798</v>
      </c>
      <c r="D514" s="19">
        <v>433</v>
      </c>
    </row>
    <row r="515" spans="1:4" x14ac:dyDescent="0.25">
      <c r="A515" s="17">
        <v>514</v>
      </c>
      <c r="B515" s="18" t="s">
        <v>4904</v>
      </c>
      <c r="C515" s="26" t="s">
        <v>304</v>
      </c>
      <c r="D515" s="19">
        <v>432</v>
      </c>
    </row>
    <row r="516" spans="1:4" x14ac:dyDescent="0.25">
      <c r="A516" s="17">
        <v>515</v>
      </c>
      <c r="B516" s="18" t="s">
        <v>1289</v>
      </c>
      <c r="C516" s="26" t="s">
        <v>123</v>
      </c>
      <c r="D516" s="19">
        <v>429</v>
      </c>
    </row>
    <row r="517" spans="1:4" x14ac:dyDescent="0.25">
      <c r="A517" s="17">
        <v>516</v>
      </c>
      <c r="B517" s="18" t="s">
        <v>4949</v>
      </c>
      <c r="C517" s="26" t="s">
        <v>1076</v>
      </c>
      <c r="D517" s="19">
        <v>425</v>
      </c>
    </row>
    <row r="518" spans="1:4" x14ac:dyDescent="0.25">
      <c r="A518" s="17">
        <v>517</v>
      </c>
      <c r="B518" s="18" t="s">
        <v>242</v>
      </c>
      <c r="C518" s="26" t="s">
        <v>66</v>
      </c>
      <c r="D518" s="19">
        <v>422</v>
      </c>
    </row>
    <row r="519" spans="1:4" x14ac:dyDescent="0.25">
      <c r="A519" s="17">
        <v>518</v>
      </c>
      <c r="B519" s="18" t="s">
        <v>5084</v>
      </c>
      <c r="C519" s="26" t="s">
        <v>162</v>
      </c>
      <c r="D519" s="19">
        <v>421</v>
      </c>
    </row>
    <row r="520" spans="1:4" x14ac:dyDescent="0.25">
      <c r="A520" s="17">
        <v>519</v>
      </c>
      <c r="B520" s="18" t="s">
        <v>2722</v>
      </c>
      <c r="C520" s="26" t="s">
        <v>41</v>
      </c>
      <c r="D520" s="19">
        <v>420</v>
      </c>
    </row>
    <row r="521" spans="1:4" x14ac:dyDescent="0.25">
      <c r="A521" s="17">
        <v>520</v>
      </c>
      <c r="B521" s="18" t="s">
        <v>2380</v>
      </c>
      <c r="C521" s="26" t="s">
        <v>277</v>
      </c>
      <c r="D521" s="19">
        <v>420</v>
      </c>
    </row>
    <row r="522" spans="1:4" x14ac:dyDescent="0.25">
      <c r="A522" s="17">
        <v>521</v>
      </c>
      <c r="B522" s="18" t="s">
        <v>785</v>
      </c>
      <c r="C522" s="26" t="s">
        <v>123</v>
      </c>
      <c r="D522" s="19">
        <v>417</v>
      </c>
    </row>
    <row r="523" spans="1:4" x14ac:dyDescent="0.25">
      <c r="A523" s="17">
        <v>522</v>
      </c>
      <c r="B523" s="18" t="s">
        <v>1189</v>
      </c>
      <c r="C523" s="26" t="s">
        <v>337</v>
      </c>
      <c r="D523" s="19">
        <v>416</v>
      </c>
    </row>
    <row r="524" spans="1:4" x14ac:dyDescent="0.25">
      <c r="A524" s="17">
        <v>523</v>
      </c>
      <c r="B524" s="18" t="s">
        <v>2905</v>
      </c>
      <c r="C524" s="26" t="s">
        <v>152</v>
      </c>
      <c r="D524" s="19">
        <v>415</v>
      </c>
    </row>
    <row r="525" spans="1:4" x14ac:dyDescent="0.25">
      <c r="A525" s="17">
        <v>524</v>
      </c>
      <c r="B525" s="18" t="s">
        <v>5129</v>
      </c>
      <c r="C525" s="18" t="s">
        <v>775</v>
      </c>
      <c r="D525" s="19">
        <v>415</v>
      </c>
    </row>
    <row r="526" spans="1:4" x14ac:dyDescent="0.25">
      <c r="A526" s="17">
        <v>525</v>
      </c>
      <c r="B526" s="18" t="s">
        <v>1874</v>
      </c>
      <c r="C526" s="26" t="s">
        <v>220</v>
      </c>
      <c r="D526" s="19">
        <v>414</v>
      </c>
    </row>
    <row r="527" spans="1:4" x14ac:dyDescent="0.25">
      <c r="A527" s="17">
        <v>526</v>
      </c>
      <c r="B527" s="18" t="s">
        <v>5047</v>
      </c>
      <c r="C527" s="18" t="s">
        <v>858</v>
      </c>
      <c r="D527" s="19">
        <v>414</v>
      </c>
    </row>
    <row r="528" spans="1:4" x14ac:dyDescent="0.25">
      <c r="A528" s="17">
        <v>527</v>
      </c>
      <c r="B528" s="18" t="s">
        <v>4976</v>
      </c>
      <c r="C528" s="26" t="s">
        <v>67</v>
      </c>
      <c r="D528" s="19">
        <v>411</v>
      </c>
    </row>
    <row r="529" spans="1:4" x14ac:dyDescent="0.25">
      <c r="A529" s="17">
        <v>528</v>
      </c>
      <c r="B529" s="18" t="s">
        <v>5131</v>
      </c>
      <c r="C529" s="26" t="s">
        <v>83</v>
      </c>
      <c r="D529" s="19">
        <v>409</v>
      </c>
    </row>
    <row r="530" spans="1:4" x14ac:dyDescent="0.25">
      <c r="A530" s="17">
        <v>529</v>
      </c>
      <c r="B530" s="18" t="s">
        <v>2661</v>
      </c>
      <c r="C530" s="26" t="s">
        <v>219</v>
      </c>
      <c r="D530" s="38">
        <v>409</v>
      </c>
    </row>
    <row r="531" spans="1:4" x14ac:dyDescent="0.25">
      <c r="A531" s="17">
        <v>530</v>
      </c>
      <c r="B531" s="18" t="s">
        <v>636</v>
      </c>
      <c r="C531" s="26" t="s">
        <v>220</v>
      </c>
      <c r="D531" s="19">
        <v>409</v>
      </c>
    </row>
    <row r="532" spans="1:4" x14ac:dyDescent="0.25">
      <c r="A532" s="17">
        <v>531</v>
      </c>
      <c r="B532" s="18" t="s">
        <v>4841</v>
      </c>
      <c r="C532" s="26" t="s">
        <v>192</v>
      </c>
      <c r="D532" s="19">
        <v>405</v>
      </c>
    </row>
    <row r="533" spans="1:4" x14ac:dyDescent="0.25">
      <c r="A533" s="17">
        <v>532</v>
      </c>
      <c r="B533" s="18" t="s">
        <v>929</v>
      </c>
      <c r="C533" s="26" t="s">
        <v>53</v>
      </c>
      <c r="D533" s="19">
        <v>403</v>
      </c>
    </row>
    <row r="534" spans="1:4" x14ac:dyDescent="0.25">
      <c r="A534" s="17">
        <v>533</v>
      </c>
      <c r="B534" s="18" t="s">
        <v>2881</v>
      </c>
      <c r="C534" s="26" t="s">
        <v>448</v>
      </c>
      <c r="D534" s="19">
        <v>399</v>
      </c>
    </row>
    <row r="535" spans="1:4" x14ac:dyDescent="0.25">
      <c r="A535" s="17">
        <v>534</v>
      </c>
      <c r="B535" s="18" t="s">
        <v>4930</v>
      </c>
      <c r="C535" s="26" t="s">
        <v>87</v>
      </c>
      <c r="D535" s="19">
        <v>397</v>
      </c>
    </row>
    <row r="536" spans="1:4" x14ac:dyDescent="0.25">
      <c r="A536" s="17">
        <v>535</v>
      </c>
      <c r="B536" s="18" t="s">
        <v>801</v>
      </c>
      <c r="C536" s="26" t="s">
        <v>106</v>
      </c>
      <c r="D536" s="19">
        <v>396</v>
      </c>
    </row>
    <row r="537" spans="1:4" x14ac:dyDescent="0.25">
      <c r="A537" s="17">
        <v>536</v>
      </c>
      <c r="B537" s="18" t="s">
        <v>4940</v>
      </c>
      <c r="C537" s="26" t="s">
        <v>304</v>
      </c>
      <c r="D537" s="19">
        <v>395</v>
      </c>
    </row>
    <row r="538" spans="1:4" x14ac:dyDescent="0.25">
      <c r="A538" s="17">
        <v>537</v>
      </c>
      <c r="B538" s="18" t="s">
        <v>4853</v>
      </c>
      <c r="C538" s="26" t="s">
        <v>123</v>
      </c>
      <c r="D538" s="19">
        <v>395</v>
      </c>
    </row>
    <row r="539" spans="1:4" x14ac:dyDescent="0.25">
      <c r="A539" s="17">
        <v>538</v>
      </c>
      <c r="B539" s="18" t="s">
        <v>4894</v>
      </c>
      <c r="C539" s="26" t="s">
        <v>168</v>
      </c>
      <c r="D539" s="19">
        <v>391</v>
      </c>
    </row>
    <row r="540" spans="1:4" x14ac:dyDescent="0.25">
      <c r="A540" s="17">
        <v>539</v>
      </c>
      <c r="B540" s="18" t="s">
        <v>863</v>
      </c>
      <c r="C540" s="26" t="s">
        <v>40</v>
      </c>
      <c r="D540" s="19">
        <v>390</v>
      </c>
    </row>
    <row r="541" spans="1:4" x14ac:dyDescent="0.25">
      <c r="A541" s="17">
        <v>540</v>
      </c>
      <c r="B541" s="18" t="s">
        <v>5046</v>
      </c>
      <c r="C541" s="26" t="s">
        <v>318</v>
      </c>
      <c r="D541" s="19">
        <v>389</v>
      </c>
    </row>
    <row r="542" spans="1:4" x14ac:dyDescent="0.25">
      <c r="A542" s="17">
        <v>541</v>
      </c>
      <c r="B542" s="18" t="s">
        <v>3706</v>
      </c>
      <c r="C542" s="26" t="s">
        <v>717</v>
      </c>
      <c r="D542" s="19">
        <v>389</v>
      </c>
    </row>
    <row r="543" spans="1:4" x14ac:dyDescent="0.25">
      <c r="A543" s="17">
        <v>542</v>
      </c>
      <c r="B543" s="18" t="s">
        <v>2178</v>
      </c>
      <c r="C543" s="26" t="s">
        <v>304</v>
      </c>
      <c r="D543" s="38">
        <v>384</v>
      </c>
    </row>
    <row r="544" spans="1:4" x14ac:dyDescent="0.25">
      <c r="A544" s="17">
        <v>543</v>
      </c>
      <c r="B544" s="18" t="s">
        <v>547</v>
      </c>
      <c r="C544" s="26" t="s">
        <v>201</v>
      </c>
      <c r="D544" s="19">
        <v>384</v>
      </c>
    </row>
    <row r="545" spans="1:4" x14ac:dyDescent="0.25">
      <c r="A545" s="17">
        <v>544</v>
      </c>
      <c r="B545" s="18" t="s">
        <v>401</v>
      </c>
      <c r="C545" s="26" t="s">
        <v>220</v>
      </c>
      <c r="D545" s="19">
        <v>383</v>
      </c>
    </row>
    <row r="546" spans="1:4" x14ac:dyDescent="0.25">
      <c r="A546" s="17">
        <v>545</v>
      </c>
      <c r="B546" s="18" t="s">
        <v>1386</v>
      </c>
      <c r="C546" s="26" t="s">
        <v>192</v>
      </c>
      <c r="D546" s="19">
        <v>382</v>
      </c>
    </row>
    <row r="547" spans="1:4" x14ac:dyDescent="0.25">
      <c r="A547" s="17">
        <v>546</v>
      </c>
      <c r="B547" s="18" t="s">
        <v>4993</v>
      </c>
      <c r="C547" s="18" t="s">
        <v>111</v>
      </c>
      <c r="D547" s="19">
        <v>379</v>
      </c>
    </row>
    <row r="548" spans="1:4" x14ac:dyDescent="0.25">
      <c r="A548" s="17">
        <v>547</v>
      </c>
      <c r="B548" s="18" t="s">
        <v>1156</v>
      </c>
      <c r="C548" s="18" t="s">
        <v>901</v>
      </c>
      <c r="D548" s="19">
        <v>378</v>
      </c>
    </row>
    <row r="549" spans="1:4" x14ac:dyDescent="0.25">
      <c r="A549" s="17">
        <v>548</v>
      </c>
      <c r="B549" s="18" t="s">
        <v>218</v>
      </c>
      <c r="C549" s="26" t="s">
        <v>219</v>
      </c>
      <c r="D549" s="19">
        <v>376</v>
      </c>
    </row>
    <row r="550" spans="1:4" x14ac:dyDescent="0.25">
      <c r="A550" s="17">
        <v>549</v>
      </c>
      <c r="B550" s="18" t="s">
        <v>5133</v>
      </c>
      <c r="C550" s="26" t="s">
        <v>219</v>
      </c>
      <c r="D550" s="19">
        <v>375</v>
      </c>
    </row>
    <row r="551" spans="1:4" x14ac:dyDescent="0.25">
      <c r="A551" s="17">
        <v>550</v>
      </c>
      <c r="B551" s="18" t="s">
        <v>5132</v>
      </c>
      <c r="C551" s="26" t="s">
        <v>1300</v>
      </c>
      <c r="D551" s="19">
        <v>375</v>
      </c>
    </row>
    <row r="552" spans="1:4" x14ac:dyDescent="0.25">
      <c r="A552" s="17">
        <v>551</v>
      </c>
      <c r="B552" s="18" t="s">
        <v>2589</v>
      </c>
      <c r="C552" s="18" t="s">
        <v>1921</v>
      </c>
      <c r="D552" s="19">
        <v>375</v>
      </c>
    </row>
    <row r="553" spans="1:4" x14ac:dyDescent="0.25">
      <c r="A553" s="17">
        <v>552</v>
      </c>
      <c r="B553" s="18" t="s">
        <v>1732</v>
      </c>
      <c r="C553" s="26" t="s">
        <v>186</v>
      </c>
      <c r="D553" s="19">
        <v>374</v>
      </c>
    </row>
    <row r="554" spans="1:4" x14ac:dyDescent="0.25">
      <c r="A554" s="17">
        <v>553</v>
      </c>
      <c r="B554" s="18" t="s">
        <v>4914</v>
      </c>
      <c r="C554" s="26" t="s">
        <v>123</v>
      </c>
      <c r="D554" s="19">
        <v>373</v>
      </c>
    </row>
    <row r="555" spans="1:4" x14ac:dyDescent="0.25">
      <c r="A555" s="17">
        <v>554</v>
      </c>
      <c r="B555" s="18" t="s">
        <v>2358</v>
      </c>
      <c r="C555" s="26" t="s">
        <v>25</v>
      </c>
      <c r="D555" s="19">
        <v>371</v>
      </c>
    </row>
    <row r="556" spans="1:4" x14ac:dyDescent="0.25">
      <c r="A556" s="17">
        <v>555</v>
      </c>
      <c r="B556" s="18" t="s">
        <v>5140</v>
      </c>
      <c r="C556" s="26" t="s">
        <v>564</v>
      </c>
      <c r="D556" s="19">
        <v>369</v>
      </c>
    </row>
    <row r="557" spans="1:4" x14ac:dyDescent="0.25">
      <c r="A557" s="17">
        <v>556</v>
      </c>
      <c r="B557" s="18" t="s">
        <v>5062</v>
      </c>
      <c r="C557" s="18" t="s">
        <v>927</v>
      </c>
      <c r="D557" s="19">
        <v>369</v>
      </c>
    </row>
    <row r="558" spans="1:4" x14ac:dyDescent="0.25">
      <c r="A558" s="17">
        <v>557</v>
      </c>
      <c r="B558" s="18" t="s">
        <v>2282</v>
      </c>
      <c r="C558" s="26" t="s">
        <v>1608</v>
      </c>
      <c r="D558" s="38">
        <v>367</v>
      </c>
    </row>
    <row r="559" spans="1:4" x14ac:dyDescent="0.25">
      <c r="A559" s="17">
        <v>558</v>
      </c>
      <c r="B559" s="18" t="s">
        <v>5001</v>
      </c>
      <c r="C559" s="26" t="s">
        <v>88</v>
      </c>
      <c r="D559" s="19">
        <v>366</v>
      </c>
    </row>
    <row r="560" spans="1:4" x14ac:dyDescent="0.25">
      <c r="A560" s="17">
        <v>559</v>
      </c>
      <c r="B560" s="18" t="s">
        <v>1402</v>
      </c>
      <c r="C560" s="18" t="s">
        <v>874</v>
      </c>
      <c r="D560" s="19">
        <v>363</v>
      </c>
    </row>
    <row r="561" spans="1:4" x14ac:dyDescent="0.25">
      <c r="A561" s="17">
        <v>560</v>
      </c>
      <c r="B561" s="18" t="s">
        <v>2888</v>
      </c>
      <c r="C561" s="26" t="s">
        <v>168</v>
      </c>
      <c r="D561" s="19">
        <v>358</v>
      </c>
    </row>
    <row r="562" spans="1:4" x14ac:dyDescent="0.25">
      <c r="A562" s="17">
        <v>561</v>
      </c>
      <c r="B562" s="18" t="s">
        <v>5050</v>
      </c>
      <c r="C562" s="18" t="s">
        <v>988</v>
      </c>
      <c r="D562" s="19">
        <v>356</v>
      </c>
    </row>
    <row r="563" spans="1:4" x14ac:dyDescent="0.25">
      <c r="A563" s="17">
        <v>562</v>
      </c>
      <c r="B563" s="18" t="s">
        <v>4972</v>
      </c>
      <c r="C563" s="26" t="s">
        <v>192</v>
      </c>
      <c r="D563" s="19">
        <v>356</v>
      </c>
    </row>
    <row r="564" spans="1:4" x14ac:dyDescent="0.25">
      <c r="A564" s="17">
        <v>563</v>
      </c>
      <c r="B564" s="18" t="s">
        <v>1859</v>
      </c>
      <c r="C564" s="26" t="s">
        <v>145</v>
      </c>
      <c r="D564" s="19">
        <v>355</v>
      </c>
    </row>
    <row r="565" spans="1:4" x14ac:dyDescent="0.25">
      <c r="A565" s="17">
        <v>564</v>
      </c>
      <c r="B565" s="18" t="s">
        <v>1797</v>
      </c>
      <c r="C565" s="26" t="s">
        <v>318</v>
      </c>
      <c r="D565" s="19">
        <v>352</v>
      </c>
    </row>
    <row r="566" spans="1:4" x14ac:dyDescent="0.25">
      <c r="A566" s="17">
        <v>565</v>
      </c>
      <c r="B566" s="18" t="s">
        <v>76</v>
      </c>
      <c r="C566" s="26" t="s">
        <v>77</v>
      </c>
      <c r="D566" s="19">
        <v>349</v>
      </c>
    </row>
    <row r="567" spans="1:4" x14ac:dyDescent="0.25">
      <c r="A567" s="17">
        <v>566</v>
      </c>
      <c r="B567" s="18" t="s">
        <v>2974</v>
      </c>
      <c r="C567" s="26" t="s">
        <v>1608</v>
      </c>
      <c r="D567" s="38">
        <v>349</v>
      </c>
    </row>
    <row r="568" spans="1:4" x14ac:dyDescent="0.25">
      <c r="A568" s="17">
        <v>567</v>
      </c>
      <c r="B568" s="18" t="s">
        <v>1446</v>
      </c>
      <c r="C568" s="26" t="s">
        <v>259</v>
      </c>
      <c r="D568" s="19">
        <v>348</v>
      </c>
    </row>
    <row r="569" spans="1:4" x14ac:dyDescent="0.25">
      <c r="A569" s="17">
        <v>568</v>
      </c>
      <c r="B569" s="18" t="s">
        <v>1487</v>
      </c>
      <c r="C569" s="26" t="s">
        <v>277</v>
      </c>
      <c r="D569" s="19">
        <v>346</v>
      </c>
    </row>
    <row r="570" spans="1:4" x14ac:dyDescent="0.25">
      <c r="A570" s="17">
        <v>569</v>
      </c>
      <c r="B570" s="18" t="s">
        <v>2815</v>
      </c>
      <c r="C570" s="26" t="s">
        <v>296</v>
      </c>
      <c r="D570" s="19">
        <v>345</v>
      </c>
    </row>
    <row r="571" spans="1:4" x14ac:dyDescent="0.25">
      <c r="A571" s="17">
        <v>570</v>
      </c>
      <c r="B571" s="18" t="s">
        <v>510</v>
      </c>
      <c r="C571" s="26" t="s">
        <v>364</v>
      </c>
      <c r="D571" s="19">
        <v>342</v>
      </c>
    </row>
    <row r="572" spans="1:4" x14ac:dyDescent="0.25">
      <c r="A572" s="17">
        <v>571</v>
      </c>
      <c r="B572" s="18" t="s">
        <v>2487</v>
      </c>
      <c r="C572" s="18" t="s">
        <v>157</v>
      </c>
      <c r="D572" s="38">
        <v>342</v>
      </c>
    </row>
    <row r="573" spans="1:4" x14ac:dyDescent="0.25">
      <c r="A573" s="17">
        <v>572</v>
      </c>
      <c r="B573" s="18" t="s">
        <v>1657</v>
      </c>
      <c r="C573" s="18" t="s">
        <v>157</v>
      </c>
      <c r="D573" s="38">
        <v>339</v>
      </c>
    </row>
    <row r="574" spans="1:4" x14ac:dyDescent="0.25">
      <c r="A574" s="17">
        <v>573</v>
      </c>
      <c r="B574" s="18" t="s">
        <v>2878</v>
      </c>
      <c r="C574" s="26" t="s">
        <v>867</v>
      </c>
      <c r="D574" s="19">
        <v>334</v>
      </c>
    </row>
    <row r="575" spans="1:4" x14ac:dyDescent="0.25">
      <c r="A575" s="17">
        <v>574</v>
      </c>
      <c r="B575" s="18" t="s">
        <v>1168</v>
      </c>
      <c r="C575" s="26" t="s">
        <v>988</v>
      </c>
      <c r="D575" s="19">
        <v>332</v>
      </c>
    </row>
    <row r="576" spans="1:4" x14ac:dyDescent="0.25">
      <c r="A576" s="17">
        <v>575</v>
      </c>
      <c r="B576" s="18" t="s">
        <v>645</v>
      </c>
      <c r="C576" s="26" t="s">
        <v>77</v>
      </c>
      <c r="D576" s="19">
        <v>331</v>
      </c>
    </row>
    <row r="577" spans="1:4" x14ac:dyDescent="0.25">
      <c r="A577" s="17">
        <v>576</v>
      </c>
      <c r="B577" s="18" t="s">
        <v>1462</v>
      </c>
      <c r="C577" s="26" t="s">
        <v>82</v>
      </c>
      <c r="D577" s="19">
        <v>330</v>
      </c>
    </row>
    <row r="578" spans="1:4" x14ac:dyDescent="0.25">
      <c r="A578" s="17">
        <v>577</v>
      </c>
      <c r="B578" s="18" t="s">
        <v>470</v>
      </c>
      <c r="C578" s="26" t="s">
        <v>471</v>
      </c>
      <c r="D578" s="19">
        <v>323</v>
      </c>
    </row>
    <row r="579" spans="1:4" x14ac:dyDescent="0.25">
      <c r="A579" s="17">
        <v>578</v>
      </c>
      <c r="B579" s="18" t="s">
        <v>1568</v>
      </c>
      <c r="C579" s="26" t="s">
        <v>40</v>
      </c>
      <c r="D579" s="19">
        <v>321</v>
      </c>
    </row>
    <row r="580" spans="1:4" x14ac:dyDescent="0.25">
      <c r="A580" s="17">
        <v>579</v>
      </c>
      <c r="B580" s="18" t="s">
        <v>2019</v>
      </c>
      <c r="C580" s="26" t="s">
        <v>82</v>
      </c>
      <c r="D580" s="19">
        <v>319</v>
      </c>
    </row>
    <row r="581" spans="1:4" x14ac:dyDescent="0.25">
      <c r="A581" s="17">
        <v>580</v>
      </c>
      <c r="B581" s="18" t="s">
        <v>1470</v>
      </c>
      <c r="C581" s="26" t="s">
        <v>1627</v>
      </c>
      <c r="D581" s="19">
        <v>319</v>
      </c>
    </row>
    <row r="582" spans="1:4" x14ac:dyDescent="0.25">
      <c r="A582" s="17">
        <v>581</v>
      </c>
      <c r="B582" s="18" t="s">
        <v>4966</v>
      </c>
      <c r="C582" s="26" t="s">
        <v>1379</v>
      </c>
      <c r="D582" s="19">
        <v>315</v>
      </c>
    </row>
    <row r="583" spans="1:4" x14ac:dyDescent="0.25">
      <c r="A583" s="17">
        <v>582</v>
      </c>
      <c r="B583" s="18" t="s">
        <v>2885</v>
      </c>
      <c r="C583" s="26" t="s">
        <v>886</v>
      </c>
      <c r="D583" s="19">
        <v>315</v>
      </c>
    </row>
    <row r="584" spans="1:4" x14ac:dyDescent="0.25">
      <c r="A584" s="17">
        <v>583</v>
      </c>
      <c r="B584" s="18" t="s">
        <v>5031</v>
      </c>
      <c r="C584" s="26" t="s">
        <v>988</v>
      </c>
      <c r="D584" s="19">
        <v>315</v>
      </c>
    </row>
    <row r="585" spans="1:4" x14ac:dyDescent="0.25">
      <c r="A585" s="17">
        <v>584</v>
      </c>
      <c r="B585" s="18" t="s">
        <v>5144</v>
      </c>
      <c r="C585" s="26" t="s">
        <v>1608</v>
      </c>
      <c r="D585" s="19">
        <v>315</v>
      </c>
    </row>
    <row r="586" spans="1:4" x14ac:dyDescent="0.25">
      <c r="A586" s="17">
        <v>585</v>
      </c>
      <c r="B586" s="18" t="s">
        <v>5130</v>
      </c>
      <c r="C586" s="26" t="s">
        <v>146</v>
      </c>
      <c r="D586" s="19">
        <v>314</v>
      </c>
    </row>
    <row r="587" spans="1:4" x14ac:dyDescent="0.25">
      <c r="A587" s="17">
        <v>586</v>
      </c>
      <c r="B587" s="18" t="s">
        <v>4952</v>
      </c>
      <c r="C587" s="18" t="s">
        <v>779</v>
      </c>
      <c r="D587" s="19">
        <v>314</v>
      </c>
    </row>
    <row r="588" spans="1:4" x14ac:dyDescent="0.25">
      <c r="A588" s="17">
        <v>587</v>
      </c>
      <c r="B588" s="18" t="s">
        <v>5122</v>
      </c>
      <c r="C588" s="26" t="s">
        <v>219</v>
      </c>
      <c r="D588" s="19">
        <v>313</v>
      </c>
    </row>
    <row r="589" spans="1:4" x14ac:dyDescent="0.25">
      <c r="A589" s="17">
        <v>588</v>
      </c>
      <c r="B589" s="18" t="s">
        <v>4830</v>
      </c>
      <c r="C589" s="26" t="s">
        <v>134</v>
      </c>
      <c r="D589" s="19">
        <v>313</v>
      </c>
    </row>
    <row r="590" spans="1:4" x14ac:dyDescent="0.25">
      <c r="A590" s="17">
        <v>589</v>
      </c>
      <c r="B590" s="18" t="s">
        <v>4837</v>
      </c>
      <c r="C590" s="26" t="s">
        <v>212</v>
      </c>
      <c r="D590" s="19">
        <v>310</v>
      </c>
    </row>
    <row r="591" spans="1:4" x14ac:dyDescent="0.25">
      <c r="A591" s="17">
        <v>590</v>
      </c>
      <c r="B591" s="18" t="s">
        <v>5058</v>
      </c>
      <c r="C591" s="26" t="s">
        <v>318</v>
      </c>
      <c r="D591" s="19">
        <v>310</v>
      </c>
    </row>
    <row r="592" spans="1:4" x14ac:dyDescent="0.25">
      <c r="A592" s="17">
        <v>591</v>
      </c>
      <c r="B592" s="18" t="s">
        <v>4855</v>
      </c>
      <c r="C592" s="18" t="s">
        <v>111</v>
      </c>
      <c r="D592" s="19">
        <v>310</v>
      </c>
    </row>
    <row r="593" spans="1:4" x14ac:dyDescent="0.25">
      <c r="A593" s="17">
        <v>592</v>
      </c>
      <c r="B593" s="18" t="s">
        <v>1124</v>
      </c>
      <c r="C593" s="26" t="s">
        <v>114</v>
      </c>
      <c r="D593" s="19">
        <v>308</v>
      </c>
    </row>
    <row r="594" spans="1:4" x14ac:dyDescent="0.25">
      <c r="A594" s="17">
        <v>593</v>
      </c>
      <c r="B594" s="28" t="s">
        <v>4836</v>
      </c>
      <c r="C594" s="18" t="s">
        <v>798</v>
      </c>
      <c r="D594" s="19">
        <v>308</v>
      </c>
    </row>
    <row r="595" spans="1:4" x14ac:dyDescent="0.25">
      <c r="A595" s="17">
        <v>594</v>
      </c>
      <c r="B595" s="18" t="s">
        <v>1991</v>
      </c>
      <c r="C595" s="26" t="s">
        <v>60</v>
      </c>
      <c r="D595" s="19">
        <v>307</v>
      </c>
    </row>
    <row r="596" spans="1:4" x14ac:dyDescent="0.25">
      <c r="A596" s="17">
        <v>595</v>
      </c>
      <c r="B596" s="18" t="s">
        <v>1837</v>
      </c>
      <c r="C596" s="26" t="s">
        <v>212</v>
      </c>
      <c r="D596" s="19">
        <v>301</v>
      </c>
    </row>
    <row r="597" spans="1:4" x14ac:dyDescent="0.25">
      <c r="A597" s="17">
        <v>596</v>
      </c>
      <c r="B597" s="18" t="s">
        <v>597</v>
      </c>
      <c r="C597" s="26" t="s">
        <v>277</v>
      </c>
      <c r="D597" s="19">
        <v>297</v>
      </c>
    </row>
    <row r="598" spans="1:4" x14ac:dyDescent="0.25">
      <c r="A598" s="17">
        <v>597</v>
      </c>
      <c r="B598" s="18" t="s">
        <v>1530</v>
      </c>
      <c r="C598" s="18" t="s">
        <v>1416</v>
      </c>
      <c r="D598" s="19">
        <v>297</v>
      </c>
    </row>
    <row r="599" spans="1:4" x14ac:dyDescent="0.25">
      <c r="A599" s="17">
        <v>598</v>
      </c>
      <c r="B599" s="18" t="s">
        <v>5043</v>
      </c>
      <c r="C599" s="18" t="s">
        <v>1032</v>
      </c>
      <c r="D599" s="19">
        <v>295</v>
      </c>
    </row>
    <row r="600" spans="1:4" x14ac:dyDescent="0.25">
      <c r="A600" s="17">
        <v>599</v>
      </c>
      <c r="B600" s="18" t="s">
        <v>1735</v>
      </c>
      <c r="C600" s="26" t="s">
        <v>168</v>
      </c>
      <c r="D600" s="19">
        <v>294</v>
      </c>
    </row>
    <row r="601" spans="1:4" x14ac:dyDescent="0.25">
      <c r="A601" s="17">
        <v>600</v>
      </c>
      <c r="B601" s="18" t="s">
        <v>2216</v>
      </c>
      <c r="C601" s="26" t="s">
        <v>1587</v>
      </c>
      <c r="D601" s="19">
        <v>290</v>
      </c>
    </row>
    <row r="602" spans="1:4" x14ac:dyDescent="0.25">
      <c r="A602" s="17">
        <v>601</v>
      </c>
      <c r="B602" s="18" t="s">
        <v>2813</v>
      </c>
      <c r="C602" s="26" t="s">
        <v>88</v>
      </c>
      <c r="D602" s="19">
        <v>290</v>
      </c>
    </row>
    <row r="603" spans="1:4" x14ac:dyDescent="0.25">
      <c r="A603" s="17">
        <v>602</v>
      </c>
      <c r="B603" s="18" t="s">
        <v>1062</v>
      </c>
      <c r="C603" s="26" t="s">
        <v>98</v>
      </c>
      <c r="D603" s="19">
        <v>289</v>
      </c>
    </row>
    <row r="604" spans="1:4" x14ac:dyDescent="0.25">
      <c r="A604" s="17">
        <v>603</v>
      </c>
      <c r="B604" s="18" t="s">
        <v>4997</v>
      </c>
      <c r="C604" s="18" t="s">
        <v>858</v>
      </c>
      <c r="D604" s="19">
        <v>289</v>
      </c>
    </row>
    <row r="605" spans="1:4" x14ac:dyDescent="0.25">
      <c r="A605" s="17">
        <v>604</v>
      </c>
      <c r="B605" s="18" t="s">
        <v>2133</v>
      </c>
      <c r="C605" s="18" t="s">
        <v>157</v>
      </c>
      <c r="D605" s="38">
        <v>288</v>
      </c>
    </row>
    <row r="606" spans="1:4" x14ac:dyDescent="0.25">
      <c r="A606" s="17">
        <v>605</v>
      </c>
      <c r="B606" s="18" t="s">
        <v>797</v>
      </c>
      <c r="C606" s="26" t="s">
        <v>146</v>
      </c>
      <c r="D606" s="19">
        <v>285</v>
      </c>
    </row>
    <row r="607" spans="1:4" x14ac:dyDescent="0.25">
      <c r="A607" s="17">
        <v>606</v>
      </c>
      <c r="B607" s="18" t="s">
        <v>5111</v>
      </c>
      <c r="C607" s="26" t="s">
        <v>369</v>
      </c>
      <c r="D607" s="19">
        <v>283</v>
      </c>
    </row>
    <row r="608" spans="1:4" x14ac:dyDescent="0.25">
      <c r="A608" s="17">
        <v>607</v>
      </c>
      <c r="B608" s="18" t="s">
        <v>1223</v>
      </c>
      <c r="C608" s="26" t="s">
        <v>337</v>
      </c>
      <c r="D608" s="19">
        <v>281</v>
      </c>
    </row>
    <row r="609" spans="1:4" x14ac:dyDescent="0.25">
      <c r="A609" s="17">
        <v>608</v>
      </c>
      <c r="B609" s="18" t="s">
        <v>139</v>
      </c>
      <c r="C609" s="26" t="s">
        <v>140</v>
      </c>
      <c r="D609" s="19">
        <v>280</v>
      </c>
    </row>
    <row r="610" spans="1:4" x14ac:dyDescent="0.25">
      <c r="A610" s="17">
        <v>609</v>
      </c>
      <c r="B610" s="18" t="s">
        <v>1408</v>
      </c>
      <c r="C610" s="26" t="s">
        <v>1409</v>
      </c>
      <c r="D610" s="19">
        <v>276</v>
      </c>
    </row>
    <row r="611" spans="1:4" x14ac:dyDescent="0.25">
      <c r="A611" s="17">
        <v>610</v>
      </c>
      <c r="B611" s="18" t="s">
        <v>2811</v>
      </c>
      <c r="C611" s="26" t="s">
        <v>867</v>
      </c>
      <c r="D611" s="19">
        <v>275</v>
      </c>
    </row>
    <row r="612" spans="1:4" x14ac:dyDescent="0.25">
      <c r="A612" s="17">
        <v>611</v>
      </c>
      <c r="B612" s="18" t="s">
        <v>2434</v>
      </c>
      <c r="C612" s="26" t="s">
        <v>318</v>
      </c>
      <c r="D612" s="19">
        <v>275</v>
      </c>
    </row>
    <row r="613" spans="1:4" x14ac:dyDescent="0.25">
      <c r="A613" s="17">
        <v>612</v>
      </c>
      <c r="B613" s="18" t="s">
        <v>5088</v>
      </c>
      <c r="C613" s="18" t="s">
        <v>779</v>
      </c>
      <c r="D613" s="19">
        <v>275</v>
      </c>
    </row>
    <row r="614" spans="1:4" x14ac:dyDescent="0.25">
      <c r="A614" s="17">
        <v>613</v>
      </c>
      <c r="B614" s="18" t="s">
        <v>2156</v>
      </c>
      <c r="C614" s="18" t="s">
        <v>157</v>
      </c>
      <c r="D614" s="19">
        <v>275</v>
      </c>
    </row>
    <row r="615" spans="1:4" x14ac:dyDescent="0.25">
      <c r="A615" s="17">
        <v>614</v>
      </c>
      <c r="B615" s="18" t="s">
        <v>1896</v>
      </c>
      <c r="C615" s="26" t="s">
        <v>739</v>
      </c>
      <c r="D615" s="19">
        <v>273</v>
      </c>
    </row>
    <row r="616" spans="1:4" x14ac:dyDescent="0.25">
      <c r="A616" s="17">
        <v>615</v>
      </c>
      <c r="B616" s="18" t="s">
        <v>2462</v>
      </c>
      <c r="C616" s="18" t="s">
        <v>874</v>
      </c>
      <c r="D616" s="19">
        <v>271</v>
      </c>
    </row>
    <row r="617" spans="1:4" x14ac:dyDescent="0.25">
      <c r="A617" s="17">
        <v>616</v>
      </c>
      <c r="B617" s="18" t="s">
        <v>322</v>
      </c>
      <c r="C617" s="26" t="s">
        <v>104</v>
      </c>
      <c r="D617" s="19">
        <v>270</v>
      </c>
    </row>
    <row r="618" spans="1:4" x14ac:dyDescent="0.25">
      <c r="A618" s="17">
        <v>617</v>
      </c>
      <c r="B618" s="18" t="s">
        <v>5135</v>
      </c>
      <c r="C618" s="26" t="s">
        <v>916</v>
      </c>
      <c r="D618" s="19">
        <v>267</v>
      </c>
    </row>
    <row r="619" spans="1:4" x14ac:dyDescent="0.25">
      <c r="A619" s="17">
        <v>618</v>
      </c>
      <c r="B619" s="18" t="s">
        <v>1933</v>
      </c>
      <c r="C619" s="26" t="s">
        <v>296</v>
      </c>
      <c r="D619" s="19">
        <v>265</v>
      </c>
    </row>
    <row r="620" spans="1:4" x14ac:dyDescent="0.25">
      <c r="A620" s="17">
        <v>619</v>
      </c>
      <c r="B620" s="18" t="s">
        <v>2635</v>
      </c>
      <c r="C620" s="26" t="s">
        <v>25</v>
      </c>
      <c r="D620" s="19">
        <v>265</v>
      </c>
    </row>
    <row r="621" spans="1:4" x14ac:dyDescent="0.25">
      <c r="A621" s="17">
        <v>620</v>
      </c>
      <c r="B621" s="18" t="s">
        <v>5087</v>
      </c>
      <c r="C621" s="26" t="s">
        <v>119</v>
      </c>
      <c r="D621" s="19">
        <v>265</v>
      </c>
    </row>
    <row r="622" spans="1:4" x14ac:dyDescent="0.25">
      <c r="A622" s="17">
        <v>621</v>
      </c>
      <c r="B622" s="18" t="s">
        <v>555</v>
      </c>
      <c r="C622" s="26" t="s">
        <v>77</v>
      </c>
      <c r="D622" s="19">
        <v>264</v>
      </c>
    </row>
    <row r="623" spans="1:4" x14ac:dyDescent="0.25">
      <c r="A623" s="17">
        <v>622</v>
      </c>
      <c r="B623" s="18" t="s">
        <v>3640</v>
      </c>
      <c r="C623" s="26" t="s">
        <v>25</v>
      </c>
      <c r="D623" s="19">
        <v>262</v>
      </c>
    </row>
    <row r="624" spans="1:4" x14ac:dyDescent="0.25">
      <c r="A624" s="17">
        <v>623</v>
      </c>
      <c r="B624" s="18" t="s">
        <v>2609</v>
      </c>
      <c r="C624" s="26" t="s">
        <v>152</v>
      </c>
      <c r="D624" s="38">
        <v>261</v>
      </c>
    </row>
    <row r="625" spans="1:4" x14ac:dyDescent="0.25">
      <c r="A625" s="17">
        <v>624</v>
      </c>
      <c r="B625" s="18" t="s">
        <v>5137</v>
      </c>
      <c r="C625" s="26" t="s">
        <v>82</v>
      </c>
      <c r="D625" s="19">
        <v>259</v>
      </c>
    </row>
    <row r="626" spans="1:4" x14ac:dyDescent="0.25">
      <c r="A626" s="17">
        <v>625</v>
      </c>
      <c r="B626" s="18" t="s">
        <v>81</v>
      </c>
      <c r="C626" s="26" t="s">
        <v>82</v>
      </c>
      <c r="D626" s="19">
        <v>254</v>
      </c>
    </row>
    <row r="627" spans="1:4" x14ac:dyDescent="0.25">
      <c r="A627" s="17">
        <v>626</v>
      </c>
      <c r="B627" s="18" t="s">
        <v>506</v>
      </c>
      <c r="C627" s="26" t="s">
        <v>87</v>
      </c>
      <c r="D627" s="19">
        <v>252</v>
      </c>
    </row>
    <row r="628" spans="1:4" x14ac:dyDescent="0.25">
      <c r="A628" s="17">
        <v>627</v>
      </c>
      <c r="B628" s="18" t="s">
        <v>5038</v>
      </c>
      <c r="C628" s="18" t="s">
        <v>775</v>
      </c>
      <c r="D628" s="19">
        <v>251</v>
      </c>
    </row>
    <row r="629" spans="1:4" x14ac:dyDescent="0.25">
      <c r="A629" s="17">
        <v>628</v>
      </c>
      <c r="B629" s="18" t="s">
        <v>1715</v>
      </c>
      <c r="C629" s="26" t="s">
        <v>1552</v>
      </c>
      <c r="D629" s="19">
        <v>251</v>
      </c>
    </row>
    <row r="630" spans="1:4" x14ac:dyDescent="0.25">
      <c r="A630" s="17">
        <v>629</v>
      </c>
      <c r="B630" s="18" t="s">
        <v>1652</v>
      </c>
      <c r="C630" s="18" t="s">
        <v>181</v>
      </c>
      <c r="D630" s="19">
        <v>250</v>
      </c>
    </row>
    <row r="631" spans="1:4" x14ac:dyDescent="0.25">
      <c r="A631" s="17">
        <v>630</v>
      </c>
      <c r="B631" s="18" t="s">
        <v>4935</v>
      </c>
      <c r="C631" s="26" t="s">
        <v>134</v>
      </c>
      <c r="D631" s="19">
        <v>249</v>
      </c>
    </row>
    <row r="632" spans="1:4" x14ac:dyDescent="0.25">
      <c r="A632" s="17">
        <v>631</v>
      </c>
      <c r="B632" s="18" t="s">
        <v>4842</v>
      </c>
      <c r="C632" s="26" t="s">
        <v>67</v>
      </c>
      <c r="D632" s="19">
        <v>247</v>
      </c>
    </row>
    <row r="633" spans="1:4" x14ac:dyDescent="0.25">
      <c r="A633" s="17">
        <v>632</v>
      </c>
      <c r="B633" s="18" t="s">
        <v>2651</v>
      </c>
      <c r="C633" s="26" t="s">
        <v>2324</v>
      </c>
      <c r="D633" s="19">
        <v>245</v>
      </c>
    </row>
    <row r="634" spans="1:4" x14ac:dyDescent="0.25">
      <c r="A634" s="17">
        <v>633</v>
      </c>
      <c r="B634" s="18" t="s">
        <v>4882</v>
      </c>
      <c r="C634" s="26" t="s">
        <v>867</v>
      </c>
      <c r="D634" s="19">
        <v>245</v>
      </c>
    </row>
    <row r="635" spans="1:4" x14ac:dyDescent="0.25">
      <c r="A635" s="17">
        <v>634</v>
      </c>
      <c r="B635" s="18" t="s">
        <v>829</v>
      </c>
      <c r="C635" s="26" t="s">
        <v>830</v>
      </c>
      <c r="D635" s="19">
        <v>245</v>
      </c>
    </row>
    <row r="636" spans="1:4" x14ac:dyDescent="0.25">
      <c r="A636" s="17">
        <v>635</v>
      </c>
      <c r="B636" s="18" t="s">
        <v>977</v>
      </c>
      <c r="C636" s="26" t="s">
        <v>794</v>
      </c>
      <c r="D636" s="19">
        <v>245</v>
      </c>
    </row>
    <row r="637" spans="1:4" x14ac:dyDescent="0.25">
      <c r="A637" s="17">
        <v>636</v>
      </c>
      <c r="B637" s="18" t="s">
        <v>4905</v>
      </c>
      <c r="C637" s="18" t="s">
        <v>1032</v>
      </c>
      <c r="D637" s="19">
        <v>244</v>
      </c>
    </row>
    <row r="638" spans="1:4" x14ac:dyDescent="0.25">
      <c r="A638" s="17">
        <v>637</v>
      </c>
      <c r="B638" s="28" t="s">
        <v>4847</v>
      </c>
      <c r="C638" s="26" t="s">
        <v>104</v>
      </c>
      <c r="D638" s="19">
        <v>244</v>
      </c>
    </row>
    <row r="639" spans="1:4" x14ac:dyDescent="0.25">
      <c r="A639" s="17">
        <v>638</v>
      </c>
      <c r="B639" s="18" t="s">
        <v>1705</v>
      </c>
      <c r="C639" s="26" t="s">
        <v>161</v>
      </c>
      <c r="D639" s="19">
        <v>236</v>
      </c>
    </row>
    <row r="640" spans="1:4" x14ac:dyDescent="0.25">
      <c r="A640" s="17">
        <v>639</v>
      </c>
      <c r="B640" s="18" t="s">
        <v>1801</v>
      </c>
      <c r="C640" s="18" t="s">
        <v>901</v>
      </c>
      <c r="D640" s="19">
        <v>236</v>
      </c>
    </row>
    <row r="641" spans="1:4" x14ac:dyDescent="0.25">
      <c r="A641" s="17">
        <v>640</v>
      </c>
      <c r="B641" s="18" t="s">
        <v>5022</v>
      </c>
      <c r="C641" s="26" t="s">
        <v>693</v>
      </c>
      <c r="D641" s="19">
        <v>235</v>
      </c>
    </row>
    <row r="642" spans="1:4" x14ac:dyDescent="0.25">
      <c r="A642" s="17">
        <v>641</v>
      </c>
      <c r="B642" s="18" t="s">
        <v>1960</v>
      </c>
      <c r="C642" s="18" t="s">
        <v>901</v>
      </c>
      <c r="D642" s="19">
        <v>233</v>
      </c>
    </row>
    <row r="643" spans="1:4" x14ac:dyDescent="0.25">
      <c r="A643" s="17">
        <v>642</v>
      </c>
      <c r="B643" s="18" t="s">
        <v>1788</v>
      </c>
      <c r="C643" s="26" t="s">
        <v>225</v>
      </c>
      <c r="D643" s="38">
        <v>233</v>
      </c>
    </row>
    <row r="644" spans="1:4" x14ac:dyDescent="0.25">
      <c r="A644" s="17">
        <v>643</v>
      </c>
      <c r="B644" s="18" t="s">
        <v>4884</v>
      </c>
      <c r="C644" s="26" t="s">
        <v>693</v>
      </c>
      <c r="D644" s="19">
        <v>233</v>
      </c>
    </row>
    <row r="645" spans="1:4" x14ac:dyDescent="0.25">
      <c r="A645" s="17">
        <v>644</v>
      </c>
      <c r="B645" s="18" t="s">
        <v>4893</v>
      </c>
      <c r="C645" s="26" t="s">
        <v>106</v>
      </c>
      <c r="D645" s="19">
        <v>233</v>
      </c>
    </row>
    <row r="646" spans="1:4" x14ac:dyDescent="0.25">
      <c r="A646" s="17">
        <v>645</v>
      </c>
      <c r="B646" s="18" t="s">
        <v>1985</v>
      </c>
      <c r="C646" s="18" t="s">
        <v>901</v>
      </c>
      <c r="D646" s="19">
        <v>232</v>
      </c>
    </row>
    <row r="647" spans="1:4" x14ac:dyDescent="0.25">
      <c r="A647" s="17">
        <v>646</v>
      </c>
      <c r="B647" s="18" t="s">
        <v>4994</v>
      </c>
      <c r="C647" s="26" t="s">
        <v>114</v>
      </c>
      <c r="D647" s="19">
        <v>232</v>
      </c>
    </row>
    <row r="648" spans="1:4" x14ac:dyDescent="0.25">
      <c r="A648" s="17">
        <v>647</v>
      </c>
      <c r="B648" s="18" t="s">
        <v>4979</v>
      </c>
      <c r="C648" s="26" t="s">
        <v>337</v>
      </c>
      <c r="D648" s="19">
        <v>230</v>
      </c>
    </row>
    <row r="649" spans="1:4" x14ac:dyDescent="0.25">
      <c r="A649" s="17">
        <v>648</v>
      </c>
      <c r="B649" s="18" t="s">
        <v>1434</v>
      </c>
      <c r="C649" s="26" t="s">
        <v>794</v>
      </c>
      <c r="D649" s="19">
        <v>230</v>
      </c>
    </row>
    <row r="650" spans="1:4" x14ac:dyDescent="0.25">
      <c r="A650" s="17">
        <v>649</v>
      </c>
      <c r="B650" s="18" t="s">
        <v>609</v>
      </c>
      <c r="C650" s="26" t="s">
        <v>186</v>
      </c>
      <c r="D650" s="19">
        <v>227</v>
      </c>
    </row>
    <row r="651" spans="1:4" x14ac:dyDescent="0.25">
      <c r="A651" s="17">
        <v>650</v>
      </c>
      <c r="B651" s="18" t="s">
        <v>2416</v>
      </c>
      <c r="C651" s="26" t="s">
        <v>318</v>
      </c>
      <c r="D651" s="19">
        <v>223</v>
      </c>
    </row>
    <row r="652" spans="1:4" x14ac:dyDescent="0.25">
      <c r="A652" s="17">
        <v>651</v>
      </c>
      <c r="B652" s="18" t="s">
        <v>1120</v>
      </c>
      <c r="C652" s="26" t="s">
        <v>168</v>
      </c>
      <c r="D652" s="19">
        <v>223</v>
      </c>
    </row>
    <row r="653" spans="1:4" x14ac:dyDescent="0.25">
      <c r="A653" s="17">
        <v>652</v>
      </c>
      <c r="B653" s="18" t="s">
        <v>959</v>
      </c>
      <c r="C653" s="26" t="s">
        <v>88</v>
      </c>
      <c r="D653" s="19">
        <v>222</v>
      </c>
    </row>
    <row r="654" spans="1:4" x14ac:dyDescent="0.25">
      <c r="A654" s="17">
        <v>653</v>
      </c>
      <c r="B654" s="18" t="s">
        <v>103</v>
      </c>
      <c r="C654" s="26" t="s">
        <v>104</v>
      </c>
      <c r="D654" s="19">
        <v>218</v>
      </c>
    </row>
    <row r="655" spans="1:4" x14ac:dyDescent="0.25">
      <c r="A655" s="17">
        <v>654</v>
      </c>
      <c r="B655" s="18" t="s">
        <v>4954</v>
      </c>
      <c r="C655" s="26" t="s">
        <v>359</v>
      </c>
      <c r="D655" s="19">
        <v>215</v>
      </c>
    </row>
    <row r="656" spans="1:4" x14ac:dyDescent="0.25">
      <c r="A656" s="17">
        <v>655</v>
      </c>
      <c r="B656" s="18" t="s">
        <v>5054</v>
      </c>
      <c r="C656" s="26" t="s">
        <v>186</v>
      </c>
      <c r="D656" s="19">
        <v>212</v>
      </c>
    </row>
    <row r="657" spans="1:4" x14ac:dyDescent="0.25">
      <c r="A657" s="17">
        <v>656</v>
      </c>
      <c r="B657" s="18" t="s">
        <v>46</v>
      </c>
      <c r="C657" s="26" t="s">
        <v>47</v>
      </c>
      <c r="D657" s="19">
        <v>211</v>
      </c>
    </row>
    <row r="658" spans="1:4" x14ac:dyDescent="0.25">
      <c r="A658" s="17">
        <v>657</v>
      </c>
      <c r="B658" s="18" t="s">
        <v>1046</v>
      </c>
      <c r="C658" s="26" t="s">
        <v>717</v>
      </c>
      <c r="D658" s="19">
        <v>209</v>
      </c>
    </row>
    <row r="659" spans="1:4" x14ac:dyDescent="0.25">
      <c r="A659" s="17">
        <v>658</v>
      </c>
      <c r="B659" s="18" t="s">
        <v>2554</v>
      </c>
      <c r="C659" s="26" t="s">
        <v>259</v>
      </c>
      <c r="D659" s="19">
        <v>206</v>
      </c>
    </row>
    <row r="660" spans="1:4" x14ac:dyDescent="0.25">
      <c r="A660" s="17">
        <v>659</v>
      </c>
      <c r="B660" s="18" t="s">
        <v>2300</v>
      </c>
      <c r="C660" s="26" t="s">
        <v>353</v>
      </c>
      <c r="D660" s="19">
        <v>204</v>
      </c>
    </row>
    <row r="661" spans="1:4" x14ac:dyDescent="0.25">
      <c r="A661" s="17">
        <v>660</v>
      </c>
      <c r="B661" s="18" t="s">
        <v>2171</v>
      </c>
      <c r="C661" s="26" t="s">
        <v>83</v>
      </c>
      <c r="D661" s="19">
        <v>204</v>
      </c>
    </row>
    <row r="662" spans="1:4" x14ac:dyDescent="0.25">
      <c r="A662" s="17">
        <v>661</v>
      </c>
      <c r="B662" s="18" t="s">
        <v>4939</v>
      </c>
      <c r="C662" s="26" t="s">
        <v>867</v>
      </c>
      <c r="D662" s="19">
        <v>204</v>
      </c>
    </row>
    <row r="663" spans="1:4" x14ac:dyDescent="0.25">
      <c r="A663" s="17">
        <v>662</v>
      </c>
      <c r="B663" s="18" t="s">
        <v>4933</v>
      </c>
      <c r="C663" s="18" t="s">
        <v>1921</v>
      </c>
      <c r="D663" s="19">
        <v>204</v>
      </c>
    </row>
    <row r="664" spans="1:4" x14ac:dyDescent="0.25">
      <c r="A664" s="17">
        <v>663</v>
      </c>
      <c r="B664" s="18" t="s">
        <v>4975</v>
      </c>
      <c r="C664" s="26" t="s">
        <v>77</v>
      </c>
      <c r="D664" s="38">
        <v>203</v>
      </c>
    </row>
    <row r="665" spans="1:4" x14ac:dyDescent="0.25">
      <c r="A665" s="17">
        <v>664</v>
      </c>
      <c r="B665" s="18" t="s">
        <v>2968</v>
      </c>
      <c r="C665" s="26" t="s">
        <v>83</v>
      </c>
      <c r="D665" s="19">
        <v>202</v>
      </c>
    </row>
    <row r="666" spans="1:4" x14ac:dyDescent="0.25">
      <c r="A666" s="17">
        <v>665</v>
      </c>
      <c r="B666" s="18" t="s">
        <v>381</v>
      </c>
      <c r="C666" s="26" t="s">
        <v>382</v>
      </c>
      <c r="D666" s="19">
        <v>202</v>
      </c>
    </row>
    <row r="667" spans="1:4" x14ac:dyDescent="0.25">
      <c r="A667" s="17">
        <v>666</v>
      </c>
      <c r="B667" s="18" t="s">
        <v>5045</v>
      </c>
      <c r="C667" s="26" t="s">
        <v>693</v>
      </c>
      <c r="D667" s="19">
        <v>201</v>
      </c>
    </row>
    <row r="668" spans="1:4" x14ac:dyDescent="0.25">
      <c r="A668" s="17">
        <v>667</v>
      </c>
      <c r="B668" s="18" t="s">
        <v>2847</v>
      </c>
      <c r="C668" s="26" t="s">
        <v>878</v>
      </c>
      <c r="D668" s="19">
        <v>199</v>
      </c>
    </row>
    <row r="669" spans="1:4" x14ac:dyDescent="0.25">
      <c r="A669" s="17">
        <v>668</v>
      </c>
      <c r="B669" s="18" t="s">
        <v>640</v>
      </c>
      <c r="C669" s="26" t="s">
        <v>134</v>
      </c>
      <c r="D669" s="19">
        <v>198</v>
      </c>
    </row>
    <row r="670" spans="1:4" x14ac:dyDescent="0.25">
      <c r="A670" s="17">
        <v>669</v>
      </c>
      <c r="B670" s="18" t="s">
        <v>1765</v>
      </c>
      <c r="C670" s="26" t="s">
        <v>82</v>
      </c>
      <c r="D670" s="19">
        <v>197</v>
      </c>
    </row>
    <row r="671" spans="1:4" x14ac:dyDescent="0.25">
      <c r="A671" s="17">
        <v>670</v>
      </c>
      <c r="B671" s="18" t="s">
        <v>2219</v>
      </c>
      <c r="C671" s="26" t="s">
        <v>140</v>
      </c>
      <c r="D671" s="19">
        <v>196</v>
      </c>
    </row>
    <row r="672" spans="1:4" x14ac:dyDescent="0.25">
      <c r="A672" s="17">
        <v>671</v>
      </c>
      <c r="B672" s="18" t="s">
        <v>1709</v>
      </c>
      <c r="C672" s="26" t="s">
        <v>161</v>
      </c>
      <c r="D672" s="19">
        <v>195</v>
      </c>
    </row>
    <row r="673" spans="1:4" x14ac:dyDescent="0.25">
      <c r="A673" s="17">
        <v>672</v>
      </c>
      <c r="B673" s="18" t="s">
        <v>2581</v>
      </c>
      <c r="C673" s="26" t="s">
        <v>201</v>
      </c>
      <c r="D673" s="19">
        <v>193</v>
      </c>
    </row>
    <row r="674" spans="1:4" x14ac:dyDescent="0.25">
      <c r="A674" s="17">
        <v>673</v>
      </c>
      <c r="B674" s="18" t="s">
        <v>1815</v>
      </c>
      <c r="C674" s="26" t="s">
        <v>313</v>
      </c>
      <c r="D674" s="19">
        <v>193</v>
      </c>
    </row>
    <row r="675" spans="1:4" x14ac:dyDescent="0.25">
      <c r="A675" s="17">
        <v>674</v>
      </c>
      <c r="B675" s="18" t="s">
        <v>5034</v>
      </c>
      <c r="C675" s="26" t="s">
        <v>369</v>
      </c>
      <c r="D675" s="19">
        <v>191</v>
      </c>
    </row>
    <row r="676" spans="1:4" x14ac:dyDescent="0.25">
      <c r="A676" s="17">
        <v>675</v>
      </c>
      <c r="B676" s="18" t="s">
        <v>2805</v>
      </c>
      <c r="C676" s="26" t="s">
        <v>2324</v>
      </c>
      <c r="D676" s="38">
        <v>188</v>
      </c>
    </row>
    <row r="677" spans="1:4" x14ac:dyDescent="0.25">
      <c r="A677" s="17">
        <v>676</v>
      </c>
      <c r="B677" s="18" t="s">
        <v>2106</v>
      </c>
      <c r="C677" s="18" t="s">
        <v>1327</v>
      </c>
      <c r="D677" s="19">
        <v>187</v>
      </c>
    </row>
    <row r="678" spans="1:4" x14ac:dyDescent="0.25">
      <c r="A678" s="17">
        <v>677</v>
      </c>
      <c r="B678" s="18" t="s">
        <v>2538</v>
      </c>
      <c r="C678" s="26" t="s">
        <v>290</v>
      </c>
      <c r="D678" s="19">
        <v>187</v>
      </c>
    </row>
    <row r="679" spans="1:4" x14ac:dyDescent="0.25">
      <c r="A679" s="17">
        <v>678</v>
      </c>
      <c r="B679" s="18" t="s">
        <v>144</v>
      </c>
      <c r="C679" s="26" t="s">
        <v>145</v>
      </c>
      <c r="D679" s="19">
        <v>186</v>
      </c>
    </row>
    <row r="680" spans="1:4" x14ac:dyDescent="0.25">
      <c r="A680" s="17">
        <v>679</v>
      </c>
      <c r="B680" s="18" t="s">
        <v>2094</v>
      </c>
      <c r="C680" s="26" t="s">
        <v>369</v>
      </c>
      <c r="D680" s="19">
        <v>186</v>
      </c>
    </row>
    <row r="681" spans="1:4" x14ac:dyDescent="0.25">
      <c r="A681" s="17">
        <v>680</v>
      </c>
      <c r="B681" s="18" t="s">
        <v>3044</v>
      </c>
      <c r="C681" s="26" t="s">
        <v>47</v>
      </c>
      <c r="D681" s="19">
        <v>185</v>
      </c>
    </row>
    <row r="682" spans="1:4" x14ac:dyDescent="0.25">
      <c r="A682" s="17">
        <v>681</v>
      </c>
      <c r="B682" s="18" t="s">
        <v>2917</v>
      </c>
      <c r="C682" s="26" t="s">
        <v>693</v>
      </c>
      <c r="D682" s="19">
        <v>181</v>
      </c>
    </row>
    <row r="683" spans="1:4" x14ac:dyDescent="0.25">
      <c r="A683" s="17">
        <v>682</v>
      </c>
      <c r="B683" s="18" t="s">
        <v>1116</v>
      </c>
      <c r="C683" s="26" t="s">
        <v>151</v>
      </c>
      <c r="D683" s="19">
        <v>177</v>
      </c>
    </row>
    <row r="684" spans="1:4" x14ac:dyDescent="0.25">
      <c r="A684" s="17">
        <v>683</v>
      </c>
      <c r="B684" s="18" t="s">
        <v>5070</v>
      </c>
      <c r="C684" s="26" t="s">
        <v>835</v>
      </c>
      <c r="D684" s="19">
        <v>177</v>
      </c>
    </row>
    <row r="685" spans="1:4" x14ac:dyDescent="0.25">
      <c r="A685" s="17">
        <v>684</v>
      </c>
      <c r="B685" s="18" t="s">
        <v>308</v>
      </c>
      <c r="C685" s="26" t="s">
        <v>25</v>
      </c>
      <c r="D685" s="19">
        <v>176</v>
      </c>
    </row>
    <row r="686" spans="1:4" x14ac:dyDescent="0.25">
      <c r="A686" s="17">
        <v>685</v>
      </c>
      <c r="B686" s="18" t="s">
        <v>4964</v>
      </c>
      <c r="C686" s="26" t="s">
        <v>717</v>
      </c>
      <c r="D686" s="19">
        <v>175</v>
      </c>
    </row>
    <row r="687" spans="1:4" x14ac:dyDescent="0.25">
      <c r="A687" s="17">
        <v>686</v>
      </c>
      <c r="B687" s="18" t="s">
        <v>1547</v>
      </c>
      <c r="C687" s="26" t="s">
        <v>759</v>
      </c>
      <c r="D687" s="38">
        <v>173</v>
      </c>
    </row>
    <row r="688" spans="1:4" x14ac:dyDescent="0.25">
      <c r="A688" s="17">
        <v>687</v>
      </c>
      <c r="B688" s="18" t="s">
        <v>2218</v>
      </c>
      <c r="C688" s="26" t="s">
        <v>77</v>
      </c>
      <c r="D688" s="38">
        <v>172</v>
      </c>
    </row>
    <row r="689" spans="1:4" x14ac:dyDescent="0.25">
      <c r="A689" s="17">
        <v>688</v>
      </c>
      <c r="B689" s="18" t="s">
        <v>1141</v>
      </c>
      <c r="C689" s="26" t="s">
        <v>106</v>
      </c>
      <c r="D689" s="19">
        <v>171</v>
      </c>
    </row>
    <row r="690" spans="1:4" x14ac:dyDescent="0.25">
      <c r="A690" s="17">
        <v>689</v>
      </c>
      <c r="B690" s="18" t="s">
        <v>1058</v>
      </c>
      <c r="C690" s="26" t="s">
        <v>886</v>
      </c>
      <c r="D690" s="19">
        <v>170</v>
      </c>
    </row>
    <row r="691" spans="1:4" x14ac:dyDescent="0.25">
      <c r="A691" s="17">
        <v>690</v>
      </c>
      <c r="B691" s="18" t="s">
        <v>2396</v>
      </c>
      <c r="C691" s="26" t="s">
        <v>225</v>
      </c>
      <c r="D691" s="38">
        <v>170</v>
      </c>
    </row>
    <row r="692" spans="1:4" x14ac:dyDescent="0.25">
      <c r="A692" s="17">
        <v>691</v>
      </c>
      <c r="B692" s="18" t="s">
        <v>897</v>
      </c>
      <c r="C692" s="26" t="s">
        <v>448</v>
      </c>
      <c r="D692" s="19">
        <v>169</v>
      </c>
    </row>
    <row r="693" spans="1:4" x14ac:dyDescent="0.25">
      <c r="A693" s="17">
        <v>692</v>
      </c>
      <c r="B693" s="18" t="s">
        <v>2921</v>
      </c>
      <c r="C693" s="26" t="s">
        <v>225</v>
      </c>
      <c r="D693" s="19">
        <v>168</v>
      </c>
    </row>
    <row r="694" spans="1:4" x14ac:dyDescent="0.25">
      <c r="A694" s="17">
        <v>693</v>
      </c>
      <c r="B694" s="18" t="s">
        <v>5023</v>
      </c>
      <c r="C694" s="26" t="s">
        <v>313</v>
      </c>
      <c r="D694" s="19">
        <v>167</v>
      </c>
    </row>
    <row r="695" spans="1:4" x14ac:dyDescent="0.25">
      <c r="A695" s="17">
        <v>694</v>
      </c>
      <c r="B695" s="18" t="s">
        <v>1669</v>
      </c>
      <c r="C695" s="26" t="s">
        <v>304</v>
      </c>
      <c r="D695" s="19">
        <v>165</v>
      </c>
    </row>
    <row r="696" spans="1:4" x14ac:dyDescent="0.25">
      <c r="A696" s="17">
        <v>695</v>
      </c>
      <c r="B696" s="18" t="s">
        <v>1520</v>
      </c>
      <c r="C696" s="26" t="s">
        <v>867</v>
      </c>
      <c r="D696" s="19">
        <v>164</v>
      </c>
    </row>
    <row r="697" spans="1:4" x14ac:dyDescent="0.25">
      <c r="A697" s="17">
        <v>696</v>
      </c>
      <c r="B697" s="18" t="s">
        <v>405</v>
      </c>
      <c r="C697" s="26" t="s">
        <v>40</v>
      </c>
      <c r="D697" s="19">
        <v>164</v>
      </c>
    </row>
    <row r="698" spans="1:4" x14ac:dyDescent="0.25">
      <c r="A698" s="17">
        <v>697</v>
      </c>
      <c r="B698" s="18" t="s">
        <v>1793</v>
      </c>
      <c r="C698" s="26" t="s">
        <v>1794</v>
      </c>
      <c r="D698" s="19">
        <v>162</v>
      </c>
    </row>
    <row r="699" spans="1:4" x14ac:dyDescent="0.25">
      <c r="A699" s="17">
        <v>698</v>
      </c>
      <c r="B699" s="18" t="s">
        <v>1595</v>
      </c>
      <c r="C699" s="18" t="s">
        <v>858</v>
      </c>
      <c r="D699" s="19">
        <v>161</v>
      </c>
    </row>
    <row r="700" spans="1:4" x14ac:dyDescent="0.25">
      <c r="A700" s="17">
        <v>699</v>
      </c>
      <c r="B700" s="18" t="s">
        <v>817</v>
      </c>
      <c r="C700" s="26" t="s">
        <v>818</v>
      </c>
      <c r="D700" s="19">
        <v>160</v>
      </c>
    </row>
    <row r="701" spans="1:4" x14ac:dyDescent="0.25">
      <c r="A701" s="17">
        <v>700</v>
      </c>
      <c r="B701" s="18" t="s">
        <v>5138</v>
      </c>
      <c r="C701" s="26" t="s">
        <v>693</v>
      </c>
      <c r="D701" s="19">
        <v>160</v>
      </c>
    </row>
    <row r="702" spans="1:4" x14ac:dyDescent="0.25">
      <c r="A702" s="17">
        <v>701</v>
      </c>
      <c r="B702" s="4" t="s">
        <v>1153</v>
      </c>
      <c r="C702" s="2" t="s">
        <v>385</v>
      </c>
      <c r="D702" s="19">
        <v>157</v>
      </c>
    </row>
    <row r="703" spans="1:4" x14ac:dyDescent="0.25">
      <c r="A703" s="17">
        <v>702</v>
      </c>
      <c r="B703" s="18" t="s">
        <v>1204</v>
      </c>
      <c r="C703" s="18" t="s">
        <v>157</v>
      </c>
      <c r="D703" s="19">
        <v>157</v>
      </c>
    </row>
    <row r="704" spans="1:4" x14ac:dyDescent="0.25">
      <c r="A704" s="17">
        <v>703</v>
      </c>
      <c r="B704" s="18" t="s">
        <v>965</v>
      </c>
      <c r="C704" s="26" t="s">
        <v>123</v>
      </c>
      <c r="D704" s="19">
        <v>156</v>
      </c>
    </row>
    <row r="705" spans="1:4" x14ac:dyDescent="0.25">
      <c r="A705" s="17">
        <v>704</v>
      </c>
      <c r="B705" s="18" t="s">
        <v>2395</v>
      </c>
      <c r="C705" s="26" t="s">
        <v>152</v>
      </c>
      <c r="D705" s="38">
        <v>153</v>
      </c>
    </row>
    <row r="706" spans="1:4" x14ac:dyDescent="0.25">
      <c r="A706" s="17">
        <v>705</v>
      </c>
      <c r="B706" s="18" t="s">
        <v>2287</v>
      </c>
      <c r="C706" s="26" t="s">
        <v>67</v>
      </c>
      <c r="D706" s="38">
        <v>153</v>
      </c>
    </row>
    <row r="707" spans="1:4" x14ac:dyDescent="0.25">
      <c r="A707" s="17">
        <v>706</v>
      </c>
      <c r="B707" s="18" t="s">
        <v>1082</v>
      </c>
      <c r="C707" s="26" t="s">
        <v>385</v>
      </c>
      <c r="D707" s="19">
        <v>153</v>
      </c>
    </row>
    <row r="708" spans="1:4" x14ac:dyDescent="0.25">
      <c r="A708" s="17">
        <v>707</v>
      </c>
      <c r="B708" s="28" t="s">
        <v>4851</v>
      </c>
      <c r="C708" s="18" t="s">
        <v>927</v>
      </c>
      <c r="D708" s="19">
        <v>153</v>
      </c>
    </row>
    <row r="709" spans="1:4" x14ac:dyDescent="0.25">
      <c r="A709" s="17">
        <v>708</v>
      </c>
      <c r="B709" s="18" t="s">
        <v>1828</v>
      </c>
      <c r="C709" s="26" t="s">
        <v>1608</v>
      </c>
      <c r="D709" s="19">
        <v>152</v>
      </c>
    </row>
    <row r="710" spans="1:4" x14ac:dyDescent="0.25">
      <c r="A710" s="17">
        <v>709</v>
      </c>
      <c r="B710" s="18" t="s">
        <v>4945</v>
      </c>
      <c r="C710" s="18" t="s">
        <v>858</v>
      </c>
      <c r="D710" s="19">
        <v>152</v>
      </c>
    </row>
    <row r="711" spans="1:4" x14ac:dyDescent="0.25">
      <c r="A711" s="17">
        <v>710</v>
      </c>
      <c r="B711" s="18" t="s">
        <v>2263</v>
      </c>
      <c r="C711" s="26" t="s">
        <v>201</v>
      </c>
      <c r="D711" s="19">
        <v>150</v>
      </c>
    </row>
    <row r="712" spans="1:4" x14ac:dyDescent="0.25">
      <c r="A712" s="17">
        <v>711</v>
      </c>
      <c r="B712" s="18" t="s">
        <v>2111</v>
      </c>
      <c r="C712" s="18" t="s">
        <v>901</v>
      </c>
      <c r="D712" s="19">
        <v>150</v>
      </c>
    </row>
    <row r="713" spans="1:4" x14ac:dyDescent="0.25">
      <c r="A713" s="17">
        <v>712</v>
      </c>
      <c r="B713" s="18" t="s">
        <v>1606</v>
      </c>
      <c r="C713" s="26" t="s">
        <v>60</v>
      </c>
      <c r="D713" s="38">
        <v>150</v>
      </c>
    </row>
    <row r="714" spans="1:4" x14ac:dyDescent="0.25">
      <c r="A714" s="17">
        <v>713</v>
      </c>
      <c r="B714" s="18" t="s">
        <v>436</v>
      </c>
      <c r="C714" s="26" t="s">
        <v>104</v>
      </c>
      <c r="D714" s="19">
        <v>150</v>
      </c>
    </row>
    <row r="715" spans="1:4" x14ac:dyDescent="0.25">
      <c r="A715" s="17">
        <v>714</v>
      </c>
      <c r="B715" s="18" t="s">
        <v>692</v>
      </c>
      <c r="C715" s="26" t="s">
        <v>693</v>
      </c>
      <c r="D715" s="19">
        <v>147</v>
      </c>
    </row>
    <row r="716" spans="1:4" x14ac:dyDescent="0.25">
      <c r="A716" s="17">
        <v>715</v>
      </c>
      <c r="B716" s="18" t="s">
        <v>1273</v>
      </c>
      <c r="C716" s="26" t="s">
        <v>267</v>
      </c>
      <c r="D716" s="19">
        <v>146</v>
      </c>
    </row>
    <row r="717" spans="1:4" x14ac:dyDescent="0.25">
      <c r="A717" s="17">
        <v>716</v>
      </c>
      <c r="B717" s="18" t="s">
        <v>3000</v>
      </c>
      <c r="C717" s="26" t="s">
        <v>47</v>
      </c>
      <c r="D717" s="19">
        <v>145</v>
      </c>
    </row>
    <row r="718" spans="1:4" x14ac:dyDescent="0.25">
      <c r="A718" s="17">
        <v>717</v>
      </c>
      <c r="B718" s="18" t="s">
        <v>3026</v>
      </c>
      <c r="C718" s="26" t="s">
        <v>145</v>
      </c>
      <c r="D718" s="19">
        <v>145</v>
      </c>
    </row>
    <row r="719" spans="1:4" x14ac:dyDescent="0.25">
      <c r="A719" s="17">
        <v>718</v>
      </c>
      <c r="B719" s="18" t="s">
        <v>1166</v>
      </c>
      <c r="C719" s="26" t="s">
        <v>98</v>
      </c>
      <c r="D719" s="19">
        <v>145</v>
      </c>
    </row>
    <row r="720" spans="1:4" x14ac:dyDescent="0.25">
      <c r="A720" s="17">
        <v>719</v>
      </c>
      <c r="B720" s="18" t="s">
        <v>1381</v>
      </c>
      <c r="C720" s="26" t="s">
        <v>151</v>
      </c>
      <c r="D720" s="19">
        <v>142</v>
      </c>
    </row>
    <row r="721" spans="1:4" x14ac:dyDescent="0.25">
      <c r="A721" s="17">
        <v>720</v>
      </c>
      <c r="B721" s="18" t="s">
        <v>3034</v>
      </c>
      <c r="C721" s="18" t="s">
        <v>111</v>
      </c>
      <c r="D721" s="38">
        <v>142</v>
      </c>
    </row>
    <row r="722" spans="1:4" x14ac:dyDescent="0.25">
      <c r="A722" s="17">
        <v>721</v>
      </c>
      <c r="B722" s="18" t="s">
        <v>2296</v>
      </c>
      <c r="C722" s="26" t="s">
        <v>47</v>
      </c>
      <c r="D722" s="19">
        <v>141</v>
      </c>
    </row>
    <row r="723" spans="1:4" x14ac:dyDescent="0.25">
      <c r="A723" s="17">
        <v>722</v>
      </c>
      <c r="B723" s="18" t="s">
        <v>2545</v>
      </c>
      <c r="C723" s="26" t="s">
        <v>152</v>
      </c>
      <c r="D723" s="19">
        <v>141</v>
      </c>
    </row>
    <row r="724" spans="1:4" x14ac:dyDescent="0.25">
      <c r="A724" s="17">
        <v>723</v>
      </c>
      <c r="B724" s="18" t="s">
        <v>5033</v>
      </c>
      <c r="C724" s="18" t="s">
        <v>1032</v>
      </c>
      <c r="D724" s="19">
        <v>140</v>
      </c>
    </row>
    <row r="725" spans="1:4" x14ac:dyDescent="0.25">
      <c r="A725" s="17">
        <v>724</v>
      </c>
      <c r="B725" s="18" t="s">
        <v>5136</v>
      </c>
      <c r="C725" s="26" t="s">
        <v>1587</v>
      </c>
      <c r="D725" s="19">
        <v>140</v>
      </c>
    </row>
    <row r="726" spans="1:4" x14ac:dyDescent="0.25">
      <c r="A726" s="17">
        <v>725</v>
      </c>
      <c r="B726" s="18" t="s">
        <v>2795</v>
      </c>
      <c r="C726" s="26" t="s">
        <v>1794</v>
      </c>
      <c r="D726" s="19">
        <v>140</v>
      </c>
    </row>
    <row r="727" spans="1:4" x14ac:dyDescent="0.25">
      <c r="A727" s="17">
        <v>726</v>
      </c>
      <c r="B727" s="18" t="s">
        <v>4877</v>
      </c>
      <c r="C727" s="26" t="s">
        <v>128</v>
      </c>
      <c r="D727" s="19">
        <v>139</v>
      </c>
    </row>
    <row r="728" spans="1:4" x14ac:dyDescent="0.25">
      <c r="A728" s="17">
        <v>727</v>
      </c>
      <c r="B728" s="18" t="s">
        <v>345</v>
      </c>
      <c r="C728" s="26" t="s">
        <v>25</v>
      </c>
      <c r="D728" s="19">
        <v>138</v>
      </c>
    </row>
    <row r="729" spans="1:4" x14ac:dyDescent="0.25">
      <c r="A729" s="17">
        <v>728</v>
      </c>
      <c r="B729" s="18" t="s">
        <v>475</v>
      </c>
      <c r="C729" s="26" t="s">
        <v>114</v>
      </c>
      <c r="D729" s="19">
        <v>138</v>
      </c>
    </row>
    <row r="730" spans="1:4" x14ac:dyDescent="0.25">
      <c r="A730" s="17">
        <v>729</v>
      </c>
      <c r="B730" s="18" t="s">
        <v>2331</v>
      </c>
      <c r="C730" s="2" t="s">
        <v>385</v>
      </c>
      <c r="D730" s="38">
        <v>137</v>
      </c>
    </row>
    <row r="731" spans="1:4" x14ac:dyDescent="0.25">
      <c r="A731" s="17">
        <v>730</v>
      </c>
      <c r="B731" s="18" t="s">
        <v>2677</v>
      </c>
      <c r="C731" s="26" t="s">
        <v>318</v>
      </c>
      <c r="D731" s="19">
        <v>137</v>
      </c>
    </row>
    <row r="732" spans="1:4" x14ac:dyDescent="0.25">
      <c r="A732" s="17">
        <v>731</v>
      </c>
      <c r="B732" s="18" t="s">
        <v>2963</v>
      </c>
      <c r="C732" s="26" t="s">
        <v>835</v>
      </c>
      <c r="D732" s="19">
        <v>137</v>
      </c>
    </row>
    <row r="733" spans="1:4" x14ac:dyDescent="0.25">
      <c r="A733" s="17">
        <v>732</v>
      </c>
      <c r="B733" s="18" t="s">
        <v>2894</v>
      </c>
      <c r="C733" s="18" t="s">
        <v>181</v>
      </c>
      <c r="D733" s="19">
        <v>136</v>
      </c>
    </row>
    <row r="734" spans="1:4" x14ac:dyDescent="0.25">
      <c r="A734" s="17">
        <v>733</v>
      </c>
      <c r="B734" s="18" t="s">
        <v>2510</v>
      </c>
      <c r="C734" s="26" t="s">
        <v>134</v>
      </c>
      <c r="D734" s="38">
        <v>135</v>
      </c>
    </row>
    <row r="735" spans="1:4" x14ac:dyDescent="0.25">
      <c r="A735" s="17">
        <v>734</v>
      </c>
      <c r="B735" s="18" t="s">
        <v>2143</v>
      </c>
      <c r="C735" s="26" t="s">
        <v>818</v>
      </c>
      <c r="D735" s="19">
        <v>135</v>
      </c>
    </row>
    <row r="736" spans="1:4" x14ac:dyDescent="0.25">
      <c r="A736" s="17">
        <v>735</v>
      </c>
      <c r="B736" s="18" t="s">
        <v>949</v>
      </c>
      <c r="C736" s="18" t="s">
        <v>798</v>
      </c>
      <c r="D736" s="19">
        <v>134</v>
      </c>
    </row>
    <row r="737" spans="1:4" x14ac:dyDescent="0.25">
      <c r="A737" s="17">
        <v>736</v>
      </c>
      <c r="B737" s="18" t="s">
        <v>3648</v>
      </c>
      <c r="C737" s="26" t="s">
        <v>1608</v>
      </c>
      <c r="D737" s="38">
        <v>134</v>
      </c>
    </row>
    <row r="738" spans="1:4" x14ac:dyDescent="0.25">
      <c r="A738" s="17">
        <v>737</v>
      </c>
      <c r="B738" s="18" t="s">
        <v>1586</v>
      </c>
      <c r="C738" s="26" t="s">
        <v>1587</v>
      </c>
      <c r="D738" s="19">
        <v>133</v>
      </c>
    </row>
    <row r="739" spans="1:4" x14ac:dyDescent="0.25">
      <c r="A739" s="17">
        <v>738</v>
      </c>
      <c r="B739" s="18" t="s">
        <v>1346</v>
      </c>
      <c r="C739" s="26" t="s">
        <v>382</v>
      </c>
      <c r="D739" s="19">
        <v>133</v>
      </c>
    </row>
    <row r="740" spans="1:4" x14ac:dyDescent="0.25">
      <c r="A740" s="17">
        <v>739</v>
      </c>
      <c r="B740" s="18" t="s">
        <v>2949</v>
      </c>
      <c r="C740" s="26" t="s">
        <v>916</v>
      </c>
      <c r="D740" s="19">
        <v>132</v>
      </c>
    </row>
    <row r="741" spans="1:4" x14ac:dyDescent="0.25">
      <c r="A741" s="17">
        <v>740</v>
      </c>
      <c r="B741" s="18" t="s">
        <v>2369</v>
      </c>
      <c r="C741" s="26" t="s">
        <v>1627</v>
      </c>
      <c r="D741" s="19">
        <v>131</v>
      </c>
    </row>
    <row r="742" spans="1:4" x14ac:dyDescent="0.25">
      <c r="A742" s="17">
        <v>741</v>
      </c>
      <c r="B742" s="18" t="s">
        <v>2328</v>
      </c>
      <c r="C742" s="26" t="s">
        <v>830</v>
      </c>
      <c r="D742" s="19">
        <v>131</v>
      </c>
    </row>
    <row r="743" spans="1:4" x14ac:dyDescent="0.25">
      <c r="A743" s="17">
        <v>742</v>
      </c>
      <c r="B743" s="28" t="s">
        <v>4869</v>
      </c>
      <c r="C743" s="26" t="s">
        <v>916</v>
      </c>
      <c r="D743" s="19">
        <v>131</v>
      </c>
    </row>
    <row r="744" spans="1:4" x14ac:dyDescent="0.25">
      <c r="A744" s="17">
        <v>743</v>
      </c>
      <c r="B744" s="18" t="s">
        <v>2613</v>
      </c>
      <c r="C744" s="26" t="s">
        <v>128</v>
      </c>
      <c r="D744" s="19">
        <v>130</v>
      </c>
    </row>
    <row r="745" spans="1:4" x14ac:dyDescent="0.25">
      <c r="A745" s="17">
        <v>744</v>
      </c>
      <c r="B745" s="18" t="s">
        <v>1193</v>
      </c>
      <c r="C745" s="26" t="s">
        <v>47</v>
      </c>
      <c r="D745" s="19">
        <v>129</v>
      </c>
    </row>
    <row r="746" spans="1:4" x14ac:dyDescent="0.25">
      <c r="A746" s="17">
        <v>745</v>
      </c>
      <c r="B746" s="18" t="s">
        <v>2035</v>
      </c>
      <c r="C746" s="26" t="s">
        <v>830</v>
      </c>
      <c r="D746" s="19">
        <v>129</v>
      </c>
    </row>
    <row r="747" spans="1:4" x14ac:dyDescent="0.25">
      <c r="A747" s="17">
        <v>746</v>
      </c>
      <c r="B747" s="18" t="s">
        <v>1359</v>
      </c>
      <c r="C747" s="26" t="s">
        <v>94</v>
      </c>
      <c r="D747" s="19">
        <v>128</v>
      </c>
    </row>
    <row r="748" spans="1:4" x14ac:dyDescent="0.25">
      <c r="A748" s="17">
        <v>747</v>
      </c>
      <c r="B748" s="18" t="s">
        <v>1480</v>
      </c>
      <c r="C748" s="26" t="s">
        <v>259</v>
      </c>
      <c r="D748" s="19">
        <v>127</v>
      </c>
    </row>
    <row r="749" spans="1:4" x14ac:dyDescent="0.25">
      <c r="A749" s="17">
        <v>748</v>
      </c>
      <c r="B749" s="18" t="s">
        <v>4991</v>
      </c>
      <c r="C749" s="26" t="s">
        <v>359</v>
      </c>
      <c r="D749" s="19">
        <v>127</v>
      </c>
    </row>
    <row r="750" spans="1:4" x14ac:dyDescent="0.25">
      <c r="A750" s="17">
        <v>749</v>
      </c>
      <c r="B750" s="18" t="s">
        <v>4963</v>
      </c>
      <c r="C750" s="18" t="s">
        <v>775</v>
      </c>
      <c r="D750" s="19">
        <v>125</v>
      </c>
    </row>
    <row r="751" spans="1:4" x14ac:dyDescent="0.25">
      <c r="A751" s="17">
        <v>750</v>
      </c>
      <c r="B751" s="28" t="s">
        <v>4861</v>
      </c>
      <c r="C751" s="26" t="s">
        <v>916</v>
      </c>
      <c r="D751" s="19">
        <v>125</v>
      </c>
    </row>
    <row r="752" spans="1:4" x14ac:dyDescent="0.25">
      <c r="A752" s="17">
        <v>751</v>
      </c>
      <c r="B752" s="18" t="s">
        <v>2429</v>
      </c>
      <c r="C752" s="18" t="s">
        <v>2430</v>
      </c>
      <c r="D752" s="19">
        <v>125</v>
      </c>
    </row>
    <row r="753" spans="1:4" x14ac:dyDescent="0.25">
      <c r="A753" s="17">
        <v>752</v>
      </c>
      <c r="B753" s="18" t="s">
        <v>1573</v>
      </c>
      <c r="C753" s="26" t="s">
        <v>318</v>
      </c>
      <c r="D753" s="19">
        <v>124</v>
      </c>
    </row>
    <row r="754" spans="1:4" x14ac:dyDescent="0.25">
      <c r="A754" s="17">
        <v>753</v>
      </c>
      <c r="B754" s="18" t="s">
        <v>5027</v>
      </c>
      <c r="C754" s="26" t="s">
        <v>359</v>
      </c>
      <c r="D754" s="19">
        <v>124</v>
      </c>
    </row>
    <row r="755" spans="1:4" x14ac:dyDescent="0.25">
      <c r="A755" s="17">
        <v>754</v>
      </c>
      <c r="B755" s="18" t="s">
        <v>3136</v>
      </c>
      <c r="C755" s="26" t="s">
        <v>1552</v>
      </c>
      <c r="D755" s="19">
        <v>123</v>
      </c>
    </row>
    <row r="756" spans="1:4" x14ac:dyDescent="0.25">
      <c r="A756" s="17">
        <v>755</v>
      </c>
      <c r="B756" s="18" t="s">
        <v>2707</v>
      </c>
      <c r="C756" s="26" t="s">
        <v>2324</v>
      </c>
      <c r="D756" s="19">
        <v>122</v>
      </c>
    </row>
    <row r="757" spans="1:4" x14ac:dyDescent="0.25">
      <c r="A757" s="17">
        <v>756</v>
      </c>
      <c r="B757" s="18" t="s">
        <v>52</v>
      </c>
      <c r="C757" s="26" t="s">
        <v>53</v>
      </c>
      <c r="D757" s="19">
        <v>121</v>
      </c>
    </row>
    <row r="758" spans="1:4" x14ac:dyDescent="0.25">
      <c r="A758" s="17">
        <v>757</v>
      </c>
      <c r="B758" s="18" t="s">
        <v>5103</v>
      </c>
      <c r="C758" s="26" t="s">
        <v>146</v>
      </c>
      <c r="D758" s="38">
        <v>120</v>
      </c>
    </row>
    <row r="759" spans="1:4" x14ac:dyDescent="0.25">
      <c r="A759" s="17">
        <v>758</v>
      </c>
      <c r="B759" s="18" t="s">
        <v>2344</v>
      </c>
      <c r="C759" s="26" t="s">
        <v>25</v>
      </c>
      <c r="D759" s="19">
        <v>120</v>
      </c>
    </row>
    <row r="760" spans="1:4" x14ac:dyDescent="0.25">
      <c r="A760" s="17">
        <v>759</v>
      </c>
      <c r="B760" s="18" t="s">
        <v>150</v>
      </c>
      <c r="C760" s="26" t="s">
        <v>151</v>
      </c>
      <c r="D760" s="19">
        <v>120</v>
      </c>
    </row>
    <row r="761" spans="1:4" x14ac:dyDescent="0.25">
      <c r="A761" s="17">
        <v>760</v>
      </c>
      <c r="B761" s="18" t="s">
        <v>5057</v>
      </c>
      <c r="C761" s="26" t="s">
        <v>60</v>
      </c>
      <c r="D761" s="19">
        <v>120</v>
      </c>
    </row>
    <row r="762" spans="1:4" x14ac:dyDescent="0.25">
      <c r="A762" s="17">
        <v>761</v>
      </c>
      <c r="B762" s="18" t="s">
        <v>2926</v>
      </c>
      <c r="C762" s="26" t="s">
        <v>1552</v>
      </c>
      <c r="D762" s="19">
        <v>118</v>
      </c>
    </row>
    <row r="763" spans="1:4" x14ac:dyDescent="0.25">
      <c r="A763" s="17">
        <v>762</v>
      </c>
      <c r="B763" s="18" t="s">
        <v>4845</v>
      </c>
      <c r="C763" s="18" t="s">
        <v>111</v>
      </c>
      <c r="D763" s="38">
        <v>118</v>
      </c>
    </row>
    <row r="764" spans="1:4" x14ac:dyDescent="0.25">
      <c r="A764" s="17">
        <v>763</v>
      </c>
      <c r="B764" s="18" t="s">
        <v>1039</v>
      </c>
      <c r="C764" s="26" t="s">
        <v>88</v>
      </c>
      <c r="D764" s="19">
        <v>117</v>
      </c>
    </row>
    <row r="765" spans="1:4" x14ac:dyDescent="0.25">
      <c r="A765" s="17">
        <v>764</v>
      </c>
      <c r="B765" s="18" t="s">
        <v>5120</v>
      </c>
      <c r="C765" s="26" t="s">
        <v>369</v>
      </c>
      <c r="D765" s="19">
        <v>116</v>
      </c>
    </row>
    <row r="766" spans="1:4" x14ac:dyDescent="0.25">
      <c r="A766" s="17">
        <v>765</v>
      </c>
      <c r="B766" s="28" t="s">
        <v>4850</v>
      </c>
      <c r="C766" s="26" t="s">
        <v>55</v>
      </c>
      <c r="D766" s="19">
        <v>116</v>
      </c>
    </row>
    <row r="767" spans="1:4" x14ac:dyDescent="0.25">
      <c r="A767" s="17">
        <v>766</v>
      </c>
      <c r="B767" s="18" t="s">
        <v>4862</v>
      </c>
      <c r="C767" s="26" t="s">
        <v>1255</v>
      </c>
      <c r="D767" s="19">
        <v>116</v>
      </c>
    </row>
    <row r="768" spans="1:4" x14ac:dyDescent="0.25">
      <c r="A768" s="17">
        <v>767</v>
      </c>
      <c r="B768" s="18" t="s">
        <v>1602</v>
      </c>
      <c r="C768" s="26" t="s">
        <v>471</v>
      </c>
      <c r="D768" s="19">
        <v>115</v>
      </c>
    </row>
    <row r="769" spans="1:4" x14ac:dyDescent="0.25">
      <c r="A769" s="17">
        <v>768</v>
      </c>
      <c r="B769" s="18" t="s">
        <v>1050</v>
      </c>
      <c r="C769" s="26" t="s">
        <v>114</v>
      </c>
      <c r="D769" s="19">
        <v>115</v>
      </c>
    </row>
    <row r="770" spans="1:4" x14ac:dyDescent="0.25">
      <c r="A770" s="17">
        <v>769</v>
      </c>
      <c r="B770" s="18" t="s">
        <v>1258</v>
      </c>
      <c r="C770" s="26" t="s">
        <v>145</v>
      </c>
      <c r="D770" s="19">
        <v>114</v>
      </c>
    </row>
    <row r="771" spans="1:4" x14ac:dyDescent="0.25">
      <c r="A771" s="17">
        <v>770</v>
      </c>
      <c r="B771" s="18" t="s">
        <v>4915</v>
      </c>
      <c r="C771" s="26" t="s">
        <v>161</v>
      </c>
      <c r="D771" s="19">
        <v>114</v>
      </c>
    </row>
    <row r="772" spans="1:4" x14ac:dyDescent="0.25">
      <c r="A772" s="17">
        <v>771</v>
      </c>
      <c r="B772" s="18" t="s">
        <v>1131</v>
      </c>
      <c r="C772" s="18" t="s">
        <v>157</v>
      </c>
      <c r="D772" s="19">
        <v>113</v>
      </c>
    </row>
    <row r="773" spans="1:4" x14ac:dyDescent="0.25">
      <c r="A773" s="17">
        <v>772</v>
      </c>
      <c r="B773" s="18" t="s">
        <v>2628</v>
      </c>
      <c r="C773" s="18" t="s">
        <v>927</v>
      </c>
      <c r="D773" s="19">
        <v>112</v>
      </c>
    </row>
    <row r="774" spans="1:4" x14ac:dyDescent="0.25">
      <c r="A774" s="17">
        <v>773</v>
      </c>
      <c r="B774" s="18" t="s">
        <v>1567</v>
      </c>
      <c r="C774" s="28" t="s">
        <v>3157</v>
      </c>
      <c r="D774" s="38">
        <v>111</v>
      </c>
    </row>
    <row r="775" spans="1:4" x14ac:dyDescent="0.25">
      <c r="A775" s="17">
        <v>774</v>
      </c>
      <c r="B775" s="18" t="s">
        <v>1314</v>
      </c>
      <c r="C775" s="26" t="s">
        <v>72</v>
      </c>
      <c r="D775" s="19">
        <v>110</v>
      </c>
    </row>
    <row r="776" spans="1:4" x14ac:dyDescent="0.25">
      <c r="A776" s="17">
        <v>775</v>
      </c>
      <c r="B776" s="18" t="s">
        <v>2530</v>
      </c>
      <c r="C776" s="18" t="s">
        <v>798</v>
      </c>
      <c r="D776" s="19">
        <v>110</v>
      </c>
    </row>
    <row r="777" spans="1:4" x14ac:dyDescent="0.25">
      <c r="A777" s="17">
        <v>776</v>
      </c>
      <c r="B777" s="18" t="s">
        <v>618</v>
      </c>
      <c r="C777" s="26" t="s">
        <v>146</v>
      </c>
      <c r="D777" s="19">
        <v>109</v>
      </c>
    </row>
    <row r="778" spans="1:4" x14ac:dyDescent="0.25">
      <c r="A778" s="17">
        <v>777</v>
      </c>
      <c r="B778" s="18" t="s">
        <v>1527</v>
      </c>
      <c r="C778" s="26" t="s">
        <v>385</v>
      </c>
      <c r="D778" s="19">
        <v>109</v>
      </c>
    </row>
    <row r="779" spans="1:4" x14ac:dyDescent="0.25">
      <c r="A779" s="17">
        <v>778</v>
      </c>
      <c r="B779" s="18" t="s">
        <v>4956</v>
      </c>
      <c r="C779" s="26" t="s">
        <v>186</v>
      </c>
      <c r="D779" s="19">
        <v>108</v>
      </c>
    </row>
    <row r="780" spans="1:4" x14ac:dyDescent="0.25">
      <c r="A780" s="17">
        <v>779</v>
      </c>
      <c r="B780" s="18" t="s">
        <v>5096</v>
      </c>
      <c r="C780" s="18" t="s">
        <v>59</v>
      </c>
      <c r="D780" s="19">
        <v>107</v>
      </c>
    </row>
    <row r="781" spans="1:4" x14ac:dyDescent="0.25">
      <c r="A781" s="17">
        <v>780</v>
      </c>
      <c r="B781" s="18" t="s">
        <v>2256</v>
      </c>
      <c r="C781" s="26" t="s">
        <v>1255</v>
      </c>
      <c r="D781" s="38">
        <v>106</v>
      </c>
    </row>
    <row r="782" spans="1:4" x14ac:dyDescent="0.25">
      <c r="A782" s="17">
        <v>781</v>
      </c>
      <c r="B782" s="18" t="s">
        <v>4919</v>
      </c>
      <c r="C782" s="26" t="s">
        <v>161</v>
      </c>
      <c r="D782" s="19">
        <v>105</v>
      </c>
    </row>
    <row r="783" spans="1:4" x14ac:dyDescent="0.25">
      <c r="A783" s="17">
        <v>782</v>
      </c>
      <c r="B783" s="18" t="s">
        <v>2110</v>
      </c>
      <c r="C783" s="26" t="s">
        <v>1608</v>
      </c>
      <c r="D783" s="38">
        <v>105</v>
      </c>
    </row>
    <row r="784" spans="1:4" x14ac:dyDescent="0.25">
      <c r="A784" s="17">
        <v>783</v>
      </c>
      <c r="B784" s="18" t="s">
        <v>2686</v>
      </c>
      <c r="C784" s="26" t="s">
        <v>168</v>
      </c>
      <c r="D784" s="19">
        <v>104</v>
      </c>
    </row>
    <row r="785" spans="1:4" x14ac:dyDescent="0.25">
      <c r="A785" s="17">
        <v>784</v>
      </c>
      <c r="B785" s="18" t="s">
        <v>1607</v>
      </c>
      <c r="C785" s="26" t="s">
        <v>1608</v>
      </c>
      <c r="D785" s="19">
        <v>104</v>
      </c>
    </row>
    <row r="786" spans="1:4" x14ac:dyDescent="0.25">
      <c r="A786" s="17">
        <v>785</v>
      </c>
      <c r="B786" s="18" t="s">
        <v>368</v>
      </c>
      <c r="C786" s="26" t="s">
        <v>369</v>
      </c>
      <c r="D786" s="19">
        <v>103</v>
      </c>
    </row>
    <row r="787" spans="1:4" x14ac:dyDescent="0.25">
      <c r="A787" s="17">
        <v>786</v>
      </c>
      <c r="B787" s="18" t="s">
        <v>2351</v>
      </c>
      <c r="C787" s="26" t="s">
        <v>1379</v>
      </c>
      <c r="D787" s="19">
        <v>103</v>
      </c>
    </row>
    <row r="788" spans="1:4" x14ac:dyDescent="0.25">
      <c r="A788" s="17">
        <v>787</v>
      </c>
      <c r="B788" s="18" t="s">
        <v>1972</v>
      </c>
      <c r="C788" s="26" t="s">
        <v>843</v>
      </c>
      <c r="D788" s="19">
        <v>103</v>
      </c>
    </row>
    <row r="789" spans="1:4" x14ac:dyDescent="0.25">
      <c r="A789" s="17">
        <v>788</v>
      </c>
      <c r="B789" s="18" t="s">
        <v>880</v>
      </c>
      <c r="C789" s="18" t="s">
        <v>874</v>
      </c>
      <c r="D789" s="19">
        <v>103</v>
      </c>
    </row>
    <row r="790" spans="1:4" x14ac:dyDescent="0.25">
      <c r="A790" s="17">
        <v>789</v>
      </c>
      <c r="B790" s="18" t="s">
        <v>200</v>
      </c>
      <c r="C790" s="26" t="s">
        <v>201</v>
      </c>
      <c r="D790" s="19">
        <v>102</v>
      </c>
    </row>
    <row r="791" spans="1:4" x14ac:dyDescent="0.25">
      <c r="A791" s="17">
        <v>790</v>
      </c>
      <c r="B791" s="18" t="s">
        <v>2343</v>
      </c>
      <c r="C791" s="26" t="s">
        <v>1608</v>
      </c>
      <c r="D791" s="38">
        <v>102</v>
      </c>
    </row>
    <row r="792" spans="1:4" x14ac:dyDescent="0.25">
      <c r="A792" s="17">
        <v>791</v>
      </c>
      <c r="B792" s="18" t="s">
        <v>2288</v>
      </c>
      <c r="C792" s="26" t="s">
        <v>82</v>
      </c>
      <c r="D792" s="19">
        <v>101</v>
      </c>
    </row>
    <row r="793" spans="1:4" x14ac:dyDescent="0.25">
      <c r="A793" s="17">
        <v>792</v>
      </c>
      <c r="B793" s="18" t="s">
        <v>1373</v>
      </c>
      <c r="C793" s="26" t="s">
        <v>564</v>
      </c>
      <c r="D793" s="19">
        <v>100</v>
      </c>
    </row>
    <row r="794" spans="1:4" x14ac:dyDescent="0.25">
      <c r="A794" s="17">
        <v>793</v>
      </c>
      <c r="B794" s="18" t="s">
        <v>774</v>
      </c>
      <c r="C794" s="18" t="s">
        <v>775</v>
      </c>
      <c r="D794" s="19">
        <v>100</v>
      </c>
    </row>
    <row r="795" spans="1:4" x14ac:dyDescent="0.25">
      <c r="A795" s="17">
        <v>794</v>
      </c>
      <c r="B795" s="18" t="s">
        <v>5008</v>
      </c>
      <c r="C795" s="26" t="s">
        <v>728</v>
      </c>
      <c r="D795" s="19">
        <v>99</v>
      </c>
    </row>
    <row r="796" spans="1:4" x14ac:dyDescent="0.25">
      <c r="A796" s="17">
        <v>795</v>
      </c>
      <c r="B796" s="18" t="s">
        <v>842</v>
      </c>
      <c r="C796" s="26" t="s">
        <v>843</v>
      </c>
      <c r="D796" s="19">
        <v>98</v>
      </c>
    </row>
    <row r="797" spans="1:4" x14ac:dyDescent="0.25">
      <c r="A797" s="17">
        <v>796</v>
      </c>
      <c r="B797" s="18" t="s">
        <v>962</v>
      </c>
      <c r="C797" s="18" t="s">
        <v>901</v>
      </c>
      <c r="D797" s="19">
        <v>97</v>
      </c>
    </row>
    <row r="798" spans="1:4" x14ac:dyDescent="0.25">
      <c r="A798" s="17">
        <v>797</v>
      </c>
      <c r="B798" s="18" t="s">
        <v>3004</v>
      </c>
      <c r="C798" s="26" t="s">
        <v>106</v>
      </c>
      <c r="D798" s="38">
        <v>97</v>
      </c>
    </row>
    <row r="799" spans="1:4" x14ac:dyDescent="0.25">
      <c r="A799" s="17">
        <v>798</v>
      </c>
      <c r="B799" s="18" t="s">
        <v>1378</v>
      </c>
      <c r="C799" s="26" t="s">
        <v>1379</v>
      </c>
      <c r="D799" s="19">
        <v>95</v>
      </c>
    </row>
    <row r="800" spans="1:4" x14ac:dyDescent="0.25">
      <c r="A800" s="17">
        <v>799</v>
      </c>
      <c r="B800" s="18" t="s">
        <v>1981</v>
      </c>
      <c r="C800" s="26" t="s">
        <v>1627</v>
      </c>
      <c r="D800" s="38">
        <v>95</v>
      </c>
    </row>
    <row r="801" spans="1:4" x14ac:dyDescent="0.25">
      <c r="A801" s="17">
        <v>800</v>
      </c>
      <c r="B801" s="18" t="s">
        <v>1779</v>
      </c>
      <c r="C801" s="18" t="s">
        <v>181</v>
      </c>
      <c r="D801" s="19">
        <v>95</v>
      </c>
    </row>
    <row r="802" spans="1:4" x14ac:dyDescent="0.25">
      <c r="A802" s="17">
        <v>801</v>
      </c>
      <c r="B802" s="18" t="s">
        <v>2627</v>
      </c>
      <c r="C802" s="26" t="s">
        <v>564</v>
      </c>
      <c r="D802" s="38">
        <v>94</v>
      </c>
    </row>
    <row r="803" spans="1:4" x14ac:dyDescent="0.25">
      <c r="A803" s="17">
        <v>802</v>
      </c>
      <c r="B803" s="18" t="s">
        <v>2472</v>
      </c>
      <c r="C803" s="26" t="s">
        <v>296</v>
      </c>
      <c r="D803" s="19">
        <v>94</v>
      </c>
    </row>
    <row r="804" spans="1:4" x14ac:dyDescent="0.25">
      <c r="A804" s="17">
        <v>803</v>
      </c>
      <c r="B804" s="18" t="s">
        <v>2957</v>
      </c>
      <c r="C804" s="26" t="s">
        <v>304</v>
      </c>
      <c r="D804" s="19">
        <v>93</v>
      </c>
    </row>
    <row r="805" spans="1:4" x14ac:dyDescent="0.25">
      <c r="A805" s="17">
        <v>804</v>
      </c>
      <c r="B805" s="18" t="s">
        <v>1680</v>
      </c>
      <c r="C805" s="26" t="s">
        <v>186</v>
      </c>
      <c r="D805" s="19">
        <v>93</v>
      </c>
    </row>
    <row r="806" spans="1:4" x14ac:dyDescent="0.25">
      <c r="A806" s="17">
        <v>805</v>
      </c>
      <c r="B806" s="18" t="s">
        <v>2606</v>
      </c>
      <c r="C806" s="18" t="s">
        <v>775</v>
      </c>
      <c r="D806" s="38">
        <v>93</v>
      </c>
    </row>
    <row r="807" spans="1:4" x14ac:dyDescent="0.25">
      <c r="A807" s="17">
        <v>806</v>
      </c>
      <c r="B807" s="18" t="s">
        <v>1563</v>
      </c>
      <c r="C807" s="26" t="s">
        <v>818</v>
      </c>
      <c r="D807" s="19">
        <v>93</v>
      </c>
    </row>
    <row r="808" spans="1:4" x14ac:dyDescent="0.25">
      <c r="A808" s="17">
        <v>807</v>
      </c>
      <c r="B808" s="18" t="s">
        <v>5104</v>
      </c>
      <c r="C808" s="26" t="s">
        <v>162</v>
      </c>
      <c r="D808" s="19">
        <v>92</v>
      </c>
    </row>
    <row r="809" spans="1:4" x14ac:dyDescent="0.25">
      <c r="A809" s="17">
        <v>808</v>
      </c>
      <c r="B809" s="18" t="s">
        <v>1135</v>
      </c>
      <c r="C809" s="26" t="s">
        <v>134</v>
      </c>
      <c r="D809" s="19">
        <v>91</v>
      </c>
    </row>
    <row r="810" spans="1:4" x14ac:dyDescent="0.25">
      <c r="A810" s="17">
        <v>809</v>
      </c>
      <c r="B810" s="18" t="s">
        <v>2241</v>
      </c>
      <c r="C810" s="18" t="s">
        <v>901</v>
      </c>
      <c r="D810" s="19">
        <v>91</v>
      </c>
    </row>
    <row r="811" spans="1:4" x14ac:dyDescent="0.25">
      <c r="A811" s="17">
        <v>810</v>
      </c>
      <c r="B811" s="18" t="s">
        <v>358</v>
      </c>
      <c r="C811" s="26" t="s">
        <v>359</v>
      </c>
      <c r="D811" s="19">
        <v>91</v>
      </c>
    </row>
    <row r="812" spans="1:4" x14ac:dyDescent="0.25">
      <c r="A812" s="17">
        <v>811</v>
      </c>
      <c r="B812" s="26" t="s">
        <v>1427</v>
      </c>
      <c r="C812" s="26" t="s">
        <v>82</v>
      </c>
      <c r="D812" s="19">
        <v>90</v>
      </c>
    </row>
    <row r="813" spans="1:4" x14ac:dyDescent="0.25">
      <c r="A813" s="17">
        <v>812</v>
      </c>
      <c r="B813" s="18" t="s">
        <v>2806</v>
      </c>
      <c r="C813" s="26" t="s">
        <v>313</v>
      </c>
      <c r="D813" s="19">
        <v>90</v>
      </c>
    </row>
    <row r="814" spans="1:4" x14ac:dyDescent="0.25">
      <c r="A814" s="17">
        <v>813</v>
      </c>
      <c r="B814" s="18" t="s">
        <v>2943</v>
      </c>
      <c r="C814" s="26" t="s">
        <v>161</v>
      </c>
      <c r="D814" s="38">
        <v>90</v>
      </c>
    </row>
    <row r="815" spans="1:4" x14ac:dyDescent="0.25">
      <c r="A815" s="17">
        <v>814</v>
      </c>
      <c r="B815" s="18" t="s">
        <v>2504</v>
      </c>
      <c r="C815" s="26" t="s">
        <v>225</v>
      </c>
      <c r="D815" s="19">
        <v>90</v>
      </c>
    </row>
    <row r="816" spans="1:4" x14ac:dyDescent="0.25">
      <c r="A816" s="17">
        <v>815</v>
      </c>
      <c r="B816" s="18" t="s">
        <v>937</v>
      </c>
      <c r="C816" s="26" t="s">
        <v>60</v>
      </c>
      <c r="D816" s="19">
        <v>90</v>
      </c>
    </row>
    <row r="817" spans="1:4" x14ac:dyDescent="0.25">
      <c r="A817" s="17">
        <v>816</v>
      </c>
      <c r="B817" s="18" t="s">
        <v>2014</v>
      </c>
      <c r="C817" s="26" t="s">
        <v>1076</v>
      </c>
      <c r="D817" s="38">
        <v>89</v>
      </c>
    </row>
    <row r="818" spans="1:4" x14ac:dyDescent="0.25">
      <c r="A818" s="17">
        <v>817</v>
      </c>
      <c r="B818" s="18" t="s">
        <v>1916</v>
      </c>
      <c r="C818" s="26" t="s">
        <v>818</v>
      </c>
      <c r="D818" s="19">
        <v>89</v>
      </c>
    </row>
    <row r="819" spans="1:4" x14ac:dyDescent="0.25">
      <c r="A819" s="17">
        <v>818</v>
      </c>
      <c r="B819" s="18" t="s">
        <v>1014</v>
      </c>
      <c r="C819" s="26" t="s">
        <v>161</v>
      </c>
      <c r="D819" s="19">
        <v>88</v>
      </c>
    </row>
    <row r="820" spans="1:4" x14ac:dyDescent="0.25">
      <c r="A820" s="17">
        <v>819</v>
      </c>
      <c r="B820" s="18" t="s">
        <v>2001</v>
      </c>
      <c r="C820" s="26" t="s">
        <v>304</v>
      </c>
      <c r="D820" s="38">
        <v>87</v>
      </c>
    </row>
    <row r="821" spans="1:4" x14ac:dyDescent="0.25">
      <c r="A821" s="17">
        <v>820</v>
      </c>
      <c r="B821" s="18" t="s">
        <v>1479</v>
      </c>
      <c r="C821" s="26" t="s">
        <v>146</v>
      </c>
      <c r="D821" s="19">
        <v>86</v>
      </c>
    </row>
    <row r="822" spans="1:4" x14ac:dyDescent="0.25">
      <c r="A822" s="17">
        <v>821</v>
      </c>
      <c r="B822" s="18" t="s">
        <v>2108</v>
      </c>
      <c r="C822" s="26" t="s">
        <v>123</v>
      </c>
      <c r="D822" s="38">
        <v>85</v>
      </c>
    </row>
    <row r="823" spans="1:4" x14ac:dyDescent="0.25">
      <c r="A823" s="17">
        <v>822</v>
      </c>
      <c r="B823" s="18" t="s">
        <v>1365</v>
      </c>
      <c r="C823" s="26" t="s">
        <v>916</v>
      </c>
      <c r="D823" s="19">
        <v>85</v>
      </c>
    </row>
    <row r="824" spans="1:4" x14ac:dyDescent="0.25">
      <c r="A824" s="17">
        <v>823</v>
      </c>
      <c r="B824" s="18" t="s">
        <v>2270</v>
      </c>
      <c r="C824" s="18" t="s">
        <v>181</v>
      </c>
      <c r="D824" s="19">
        <v>84</v>
      </c>
    </row>
    <row r="825" spans="1:4" x14ac:dyDescent="0.25">
      <c r="A825" s="17">
        <v>824</v>
      </c>
      <c r="B825" s="18" t="s">
        <v>1804</v>
      </c>
      <c r="C825" s="26" t="s">
        <v>94</v>
      </c>
      <c r="D825" s="19">
        <v>83</v>
      </c>
    </row>
    <row r="826" spans="1:4" x14ac:dyDescent="0.25">
      <c r="A826" s="17">
        <v>825</v>
      </c>
      <c r="B826" s="18" t="s">
        <v>1310</v>
      </c>
      <c r="C826" s="26" t="s">
        <v>290</v>
      </c>
      <c r="D826" s="19">
        <v>83</v>
      </c>
    </row>
    <row r="827" spans="1:4" x14ac:dyDescent="0.25">
      <c r="A827" s="17">
        <v>826</v>
      </c>
      <c r="B827" s="18" t="s">
        <v>1560</v>
      </c>
      <c r="C827" s="26" t="s">
        <v>886</v>
      </c>
      <c r="D827" s="19">
        <v>82</v>
      </c>
    </row>
    <row r="828" spans="1:4" x14ac:dyDescent="0.25">
      <c r="A828" s="17">
        <v>827</v>
      </c>
      <c r="B828" s="18" t="s">
        <v>2533</v>
      </c>
      <c r="C828" s="26" t="s">
        <v>34</v>
      </c>
      <c r="D828" s="19">
        <v>80</v>
      </c>
    </row>
    <row r="829" spans="1:4" x14ac:dyDescent="0.25">
      <c r="A829" s="17">
        <v>828</v>
      </c>
      <c r="B829" s="18" t="s">
        <v>2277</v>
      </c>
      <c r="C829" s="26" t="s">
        <v>798</v>
      </c>
      <c r="D829" s="38">
        <v>80</v>
      </c>
    </row>
    <row r="830" spans="1:4" x14ac:dyDescent="0.25">
      <c r="A830" s="17">
        <v>829</v>
      </c>
      <c r="B830" s="18" t="s">
        <v>5032</v>
      </c>
      <c r="C830" s="26" t="s">
        <v>55</v>
      </c>
      <c r="D830" s="19">
        <v>79</v>
      </c>
    </row>
    <row r="831" spans="1:4" x14ac:dyDescent="0.25">
      <c r="A831" s="17">
        <v>830</v>
      </c>
      <c r="B831" s="18" t="s">
        <v>2753</v>
      </c>
      <c r="C831" s="26" t="s">
        <v>259</v>
      </c>
      <c r="D831" s="19">
        <v>79</v>
      </c>
    </row>
    <row r="832" spans="1:4" x14ac:dyDescent="0.25">
      <c r="A832" s="17">
        <v>831</v>
      </c>
      <c r="B832" s="18" t="s">
        <v>5059</v>
      </c>
      <c r="C832" s="26" t="s">
        <v>152</v>
      </c>
      <c r="D832" s="19">
        <v>78</v>
      </c>
    </row>
    <row r="833" spans="1:4" x14ac:dyDescent="0.25">
      <c r="A833" s="17">
        <v>832</v>
      </c>
      <c r="B833" s="18" t="s">
        <v>2500</v>
      </c>
      <c r="C833" s="26" t="s">
        <v>337</v>
      </c>
      <c r="D833" s="19">
        <v>77</v>
      </c>
    </row>
    <row r="834" spans="1:4" x14ac:dyDescent="0.25">
      <c r="A834" s="17">
        <v>833</v>
      </c>
      <c r="B834" s="18" t="s">
        <v>2836</v>
      </c>
      <c r="C834" s="18" t="s">
        <v>181</v>
      </c>
      <c r="D834" s="19">
        <v>76</v>
      </c>
    </row>
    <row r="835" spans="1:4" x14ac:dyDescent="0.25">
      <c r="A835" s="17">
        <v>834</v>
      </c>
      <c r="B835" s="18" t="s">
        <v>2142</v>
      </c>
      <c r="C835" s="26" t="s">
        <v>382</v>
      </c>
      <c r="D835" s="38">
        <v>76</v>
      </c>
    </row>
    <row r="836" spans="1:4" x14ac:dyDescent="0.25">
      <c r="A836" s="17">
        <v>835</v>
      </c>
      <c r="B836" s="18" t="s">
        <v>2271</v>
      </c>
      <c r="C836" s="26" t="s">
        <v>1379</v>
      </c>
      <c r="D836" s="19">
        <v>75</v>
      </c>
    </row>
    <row r="837" spans="1:4" x14ac:dyDescent="0.25">
      <c r="A837" s="17">
        <v>836</v>
      </c>
      <c r="B837" s="28" t="s">
        <v>1754</v>
      </c>
      <c r="C837" s="26" t="s">
        <v>98</v>
      </c>
      <c r="D837" s="38">
        <v>75</v>
      </c>
    </row>
    <row r="838" spans="1:4" x14ac:dyDescent="0.25">
      <c r="A838" s="17">
        <v>837</v>
      </c>
      <c r="B838" s="18" t="s">
        <v>2518</v>
      </c>
      <c r="C838" s="26" t="s">
        <v>337</v>
      </c>
      <c r="D838" s="19">
        <v>73</v>
      </c>
    </row>
    <row r="839" spans="1:4" x14ac:dyDescent="0.25">
      <c r="A839" s="17">
        <v>838</v>
      </c>
      <c r="B839" s="18" t="s">
        <v>4920</v>
      </c>
      <c r="C839" s="26" t="s">
        <v>728</v>
      </c>
      <c r="D839" s="19">
        <v>73</v>
      </c>
    </row>
    <row r="840" spans="1:4" x14ac:dyDescent="0.25">
      <c r="A840" s="17">
        <v>839</v>
      </c>
      <c r="B840" s="18" t="s">
        <v>934</v>
      </c>
      <c r="C840" s="18" t="s">
        <v>779</v>
      </c>
      <c r="D840" s="19">
        <v>73</v>
      </c>
    </row>
    <row r="841" spans="1:4" x14ac:dyDescent="0.25">
      <c r="A841" s="17">
        <v>840</v>
      </c>
      <c r="B841" s="18" t="s">
        <v>2829</v>
      </c>
      <c r="C841" s="26" t="s">
        <v>2207</v>
      </c>
      <c r="D841" s="19">
        <v>72</v>
      </c>
    </row>
    <row r="842" spans="1:4" x14ac:dyDescent="0.25">
      <c r="A842" s="17">
        <v>841</v>
      </c>
      <c r="B842" s="18" t="s">
        <v>2864</v>
      </c>
      <c r="C842" s="26" t="s">
        <v>134</v>
      </c>
      <c r="D842" s="19">
        <v>71</v>
      </c>
    </row>
    <row r="843" spans="1:4" x14ac:dyDescent="0.25">
      <c r="A843" s="17">
        <v>842</v>
      </c>
      <c r="B843" s="18" t="s">
        <v>3019</v>
      </c>
      <c r="C843" s="26" t="s">
        <v>104</v>
      </c>
      <c r="D843" s="19">
        <v>71</v>
      </c>
    </row>
    <row r="844" spans="1:4" x14ac:dyDescent="0.25">
      <c r="A844" s="17">
        <v>843</v>
      </c>
      <c r="B844" s="28" t="s">
        <v>4829</v>
      </c>
      <c r="C844" s="18" t="s">
        <v>1032</v>
      </c>
      <c r="D844" s="19">
        <v>70</v>
      </c>
    </row>
    <row r="845" spans="1:4" x14ac:dyDescent="0.25">
      <c r="A845" s="17">
        <v>844</v>
      </c>
      <c r="B845" s="18" t="s">
        <v>4918</v>
      </c>
      <c r="C845" s="26" t="s">
        <v>369</v>
      </c>
      <c r="D845" s="19">
        <v>70</v>
      </c>
    </row>
    <row r="846" spans="1:4" x14ac:dyDescent="0.25">
      <c r="A846" s="17">
        <v>845</v>
      </c>
      <c r="B846" s="18" t="s">
        <v>5041</v>
      </c>
      <c r="C846" s="26" t="s">
        <v>296</v>
      </c>
      <c r="D846" s="19">
        <v>70</v>
      </c>
    </row>
    <row r="847" spans="1:4" x14ac:dyDescent="0.25">
      <c r="A847" s="17">
        <v>846</v>
      </c>
      <c r="B847" s="18" t="s">
        <v>551</v>
      </c>
      <c r="C847" s="26" t="s">
        <v>290</v>
      </c>
      <c r="D847" s="19">
        <v>70</v>
      </c>
    </row>
    <row r="848" spans="1:4" x14ac:dyDescent="0.25">
      <c r="A848" s="17">
        <v>847</v>
      </c>
      <c r="B848" s="18" t="s">
        <v>605</v>
      </c>
      <c r="C848" s="26" t="s">
        <v>41</v>
      </c>
      <c r="D848" s="19">
        <v>69</v>
      </c>
    </row>
    <row r="849" spans="1:4" x14ac:dyDescent="0.25">
      <c r="A849" s="17">
        <v>848</v>
      </c>
      <c r="B849" s="18" t="s">
        <v>2441</v>
      </c>
      <c r="C849" s="26" t="s">
        <v>168</v>
      </c>
      <c r="D849" s="19">
        <v>68</v>
      </c>
    </row>
    <row r="850" spans="1:4" x14ac:dyDescent="0.25">
      <c r="A850" s="17">
        <v>849</v>
      </c>
      <c r="B850" s="18" t="s">
        <v>4958</v>
      </c>
      <c r="C850" s="26" t="s">
        <v>1673</v>
      </c>
      <c r="D850" s="19">
        <v>67</v>
      </c>
    </row>
    <row r="851" spans="1:4" x14ac:dyDescent="0.25">
      <c r="A851" s="17">
        <v>850</v>
      </c>
      <c r="B851" s="28" t="s">
        <v>4852</v>
      </c>
      <c r="C851" s="26" t="s">
        <v>369</v>
      </c>
      <c r="D851" s="19">
        <v>67</v>
      </c>
    </row>
    <row r="852" spans="1:4" x14ac:dyDescent="0.25">
      <c r="A852" s="17">
        <v>851</v>
      </c>
      <c r="B852" s="18" t="s">
        <v>2467</v>
      </c>
      <c r="C852" s="18" t="s">
        <v>1416</v>
      </c>
      <c r="D852" s="19">
        <v>67</v>
      </c>
    </row>
    <row r="853" spans="1:4" x14ac:dyDescent="0.25">
      <c r="A853" s="17">
        <v>852</v>
      </c>
      <c r="B853" s="18" t="s">
        <v>1807</v>
      </c>
      <c r="C853" s="26" t="s">
        <v>290</v>
      </c>
      <c r="D853" s="38">
        <v>67</v>
      </c>
    </row>
    <row r="854" spans="1:4" x14ac:dyDescent="0.25">
      <c r="A854" s="17">
        <v>853</v>
      </c>
      <c r="B854" s="18" t="s">
        <v>4955</v>
      </c>
      <c r="C854" s="26" t="s">
        <v>739</v>
      </c>
      <c r="D854" s="19">
        <v>66</v>
      </c>
    </row>
    <row r="855" spans="1:4" x14ac:dyDescent="0.25">
      <c r="A855" s="17">
        <v>854</v>
      </c>
      <c r="B855" s="26" t="s">
        <v>1466</v>
      </c>
      <c r="C855" s="26" t="s">
        <v>259</v>
      </c>
      <c r="D855" s="19">
        <v>66</v>
      </c>
    </row>
    <row r="856" spans="1:4" x14ac:dyDescent="0.25">
      <c r="A856" s="17">
        <v>855</v>
      </c>
      <c r="B856" s="18" t="s">
        <v>1536</v>
      </c>
      <c r="C856" s="26" t="s">
        <v>219</v>
      </c>
      <c r="D856" s="19">
        <v>65</v>
      </c>
    </row>
    <row r="857" spans="1:4" x14ac:dyDescent="0.25">
      <c r="A857" s="17">
        <v>856</v>
      </c>
      <c r="B857" s="18" t="s">
        <v>1326</v>
      </c>
      <c r="C857" s="18" t="s">
        <v>1327</v>
      </c>
      <c r="D857" s="19">
        <v>65</v>
      </c>
    </row>
    <row r="858" spans="1:4" x14ac:dyDescent="0.25">
      <c r="A858" s="17">
        <v>857</v>
      </c>
      <c r="B858" s="18" t="s">
        <v>2574</v>
      </c>
      <c r="C858" s="26" t="s">
        <v>739</v>
      </c>
      <c r="D858" s="38">
        <v>63</v>
      </c>
    </row>
    <row r="859" spans="1:4" x14ac:dyDescent="0.25">
      <c r="A859" s="17">
        <v>858</v>
      </c>
      <c r="B859" s="18" t="s">
        <v>2348</v>
      </c>
      <c r="C859" s="26" t="s">
        <v>277</v>
      </c>
      <c r="D859" s="19">
        <v>62</v>
      </c>
    </row>
    <row r="860" spans="1:4" x14ac:dyDescent="0.25">
      <c r="A860" s="17">
        <v>859</v>
      </c>
      <c r="B860" s="18" t="s">
        <v>2496</v>
      </c>
      <c r="C860" s="18" t="s">
        <v>927</v>
      </c>
      <c r="D860" s="19">
        <v>62</v>
      </c>
    </row>
    <row r="861" spans="1:4" x14ac:dyDescent="0.25">
      <c r="A861" s="17">
        <v>860</v>
      </c>
      <c r="B861" s="28" t="s">
        <v>4858</v>
      </c>
      <c r="C861" s="26" t="s">
        <v>1673</v>
      </c>
      <c r="D861" s="19">
        <v>61</v>
      </c>
    </row>
    <row r="862" spans="1:4" x14ac:dyDescent="0.25">
      <c r="A862" s="17">
        <v>861</v>
      </c>
      <c r="B862" s="18" t="s">
        <v>2061</v>
      </c>
      <c r="C862" s="26" t="s">
        <v>988</v>
      </c>
      <c r="D862" s="19">
        <v>61</v>
      </c>
    </row>
    <row r="863" spans="1:4" x14ac:dyDescent="0.25">
      <c r="A863" s="17">
        <v>862</v>
      </c>
      <c r="B863" s="18" t="s">
        <v>1598</v>
      </c>
      <c r="C863" s="26" t="s">
        <v>382</v>
      </c>
      <c r="D863" s="38">
        <v>61</v>
      </c>
    </row>
    <row r="864" spans="1:4" x14ac:dyDescent="0.25">
      <c r="A864" s="17">
        <v>863</v>
      </c>
      <c r="B864" s="18" t="s">
        <v>4989</v>
      </c>
      <c r="C864" s="18" t="s">
        <v>1921</v>
      </c>
      <c r="D864" s="19">
        <v>61</v>
      </c>
    </row>
    <row r="865" spans="1:4" x14ac:dyDescent="0.25">
      <c r="A865" s="17">
        <v>864</v>
      </c>
      <c r="B865" s="18" t="s">
        <v>537</v>
      </c>
      <c r="C865" s="26" t="s">
        <v>40</v>
      </c>
      <c r="D865" s="19">
        <v>60</v>
      </c>
    </row>
    <row r="866" spans="1:4" x14ac:dyDescent="0.25">
      <c r="A866" s="17">
        <v>865</v>
      </c>
      <c r="B866" s="18" t="s">
        <v>1196</v>
      </c>
      <c r="C866" s="26" t="s">
        <v>60</v>
      </c>
      <c r="D866" s="19">
        <v>59</v>
      </c>
    </row>
    <row r="867" spans="1:4" x14ac:dyDescent="0.25">
      <c r="A867" s="17">
        <v>866</v>
      </c>
      <c r="B867" s="18" t="s">
        <v>2043</v>
      </c>
      <c r="C867" s="26" t="s">
        <v>104</v>
      </c>
      <c r="D867" s="19">
        <v>58</v>
      </c>
    </row>
    <row r="868" spans="1:4" x14ac:dyDescent="0.25">
      <c r="A868" s="17">
        <v>867</v>
      </c>
      <c r="B868" s="28" t="s">
        <v>2683</v>
      </c>
      <c r="C868" s="26" t="s">
        <v>296</v>
      </c>
      <c r="D868" s="19">
        <v>57</v>
      </c>
    </row>
    <row r="869" spans="1:4" x14ac:dyDescent="0.25">
      <c r="A869" s="17">
        <v>868</v>
      </c>
      <c r="B869" s="28" t="s">
        <v>4897</v>
      </c>
      <c r="C869" s="26" t="s">
        <v>1688</v>
      </c>
      <c r="D869" s="19">
        <v>57</v>
      </c>
    </row>
    <row r="870" spans="1:4" x14ac:dyDescent="0.25">
      <c r="A870" s="17">
        <v>869</v>
      </c>
      <c r="B870" s="18" t="s">
        <v>4878</v>
      </c>
      <c r="C870" s="26" t="s">
        <v>186</v>
      </c>
      <c r="D870" s="19">
        <v>56</v>
      </c>
    </row>
    <row r="871" spans="1:4" x14ac:dyDescent="0.25">
      <c r="A871" s="17">
        <v>870</v>
      </c>
      <c r="B871" s="18" t="s">
        <v>4983</v>
      </c>
      <c r="C871" s="26" t="s">
        <v>225</v>
      </c>
      <c r="D871" s="19">
        <v>56</v>
      </c>
    </row>
    <row r="872" spans="1:4" x14ac:dyDescent="0.25">
      <c r="A872" s="17">
        <v>871</v>
      </c>
      <c r="B872" s="18" t="s">
        <v>1228</v>
      </c>
      <c r="C872" s="18" t="s">
        <v>111</v>
      </c>
      <c r="D872" s="19">
        <v>56</v>
      </c>
    </row>
    <row r="873" spans="1:4" x14ac:dyDescent="0.25">
      <c r="A873" s="17">
        <v>872</v>
      </c>
      <c r="B873" s="18" t="s">
        <v>1336</v>
      </c>
      <c r="C873" s="26" t="s">
        <v>886</v>
      </c>
      <c r="D873" s="19">
        <v>55</v>
      </c>
    </row>
    <row r="874" spans="1:4" x14ac:dyDescent="0.25">
      <c r="A874" s="17">
        <v>873</v>
      </c>
      <c r="B874" s="18" t="s">
        <v>4947</v>
      </c>
      <c r="C874" s="26" t="s">
        <v>337</v>
      </c>
      <c r="D874" s="19">
        <v>55</v>
      </c>
    </row>
    <row r="875" spans="1:4" x14ac:dyDescent="0.25">
      <c r="A875" s="17">
        <v>874</v>
      </c>
      <c r="B875" s="18" t="s">
        <v>2872</v>
      </c>
      <c r="C875" s="26" t="s">
        <v>25</v>
      </c>
      <c r="D875" s="19">
        <v>55</v>
      </c>
    </row>
    <row r="876" spans="1:4" x14ac:dyDescent="0.25">
      <c r="A876" s="17">
        <v>875</v>
      </c>
      <c r="B876" s="18" t="s">
        <v>4911</v>
      </c>
      <c r="C876" s="18" t="s">
        <v>927</v>
      </c>
      <c r="D876" s="19">
        <v>55</v>
      </c>
    </row>
    <row r="877" spans="1:4" x14ac:dyDescent="0.25">
      <c r="A877" s="17">
        <v>876</v>
      </c>
      <c r="B877" s="18" t="s">
        <v>1870</v>
      </c>
      <c r="C877" s="26" t="s">
        <v>318</v>
      </c>
      <c r="D877" s="19">
        <v>55</v>
      </c>
    </row>
    <row r="878" spans="1:4" x14ac:dyDescent="0.25">
      <c r="A878" s="17">
        <v>877</v>
      </c>
      <c r="B878" s="18" t="s">
        <v>2476</v>
      </c>
      <c r="C878" s="26" t="s">
        <v>162</v>
      </c>
      <c r="D878" s="38">
        <v>54</v>
      </c>
    </row>
    <row r="879" spans="1:4" x14ac:dyDescent="0.25">
      <c r="A879" s="17">
        <v>878</v>
      </c>
      <c r="B879" s="18" t="s">
        <v>2944</v>
      </c>
      <c r="C879" s="26" t="s">
        <v>843</v>
      </c>
      <c r="D879" s="38">
        <v>53</v>
      </c>
    </row>
    <row r="880" spans="1:4" x14ac:dyDescent="0.25">
      <c r="A880" s="17">
        <v>879</v>
      </c>
      <c r="B880" s="18" t="s">
        <v>920</v>
      </c>
      <c r="C880" s="26" t="s">
        <v>331</v>
      </c>
      <c r="D880" s="19">
        <v>52</v>
      </c>
    </row>
    <row r="881" spans="1:4" x14ac:dyDescent="0.25">
      <c r="A881" s="17">
        <v>880</v>
      </c>
      <c r="B881" s="18" t="s">
        <v>2897</v>
      </c>
      <c r="C881" s="26" t="s">
        <v>220</v>
      </c>
      <c r="D881" s="19">
        <v>52</v>
      </c>
    </row>
    <row r="882" spans="1:4" x14ac:dyDescent="0.25">
      <c r="A882" s="17">
        <v>881</v>
      </c>
      <c r="B882" s="18" t="s">
        <v>885</v>
      </c>
      <c r="C882" s="26" t="s">
        <v>886</v>
      </c>
      <c r="D882" s="19">
        <v>51</v>
      </c>
    </row>
    <row r="883" spans="1:4" x14ac:dyDescent="0.25">
      <c r="A883" s="17">
        <v>882</v>
      </c>
      <c r="B883" s="18" t="s">
        <v>4942</v>
      </c>
      <c r="C883" s="26" t="s">
        <v>759</v>
      </c>
      <c r="D883" s="38">
        <v>51</v>
      </c>
    </row>
    <row r="884" spans="1:4" x14ac:dyDescent="0.25">
      <c r="A884" s="17">
        <v>883</v>
      </c>
      <c r="B884" s="18" t="s">
        <v>2610</v>
      </c>
      <c r="C884" s="26" t="s">
        <v>60</v>
      </c>
      <c r="D884" s="19">
        <v>50</v>
      </c>
    </row>
    <row r="885" spans="1:4" x14ac:dyDescent="0.25">
      <c r="A885" s="17">
        <v>884</v>
      </c>
      <c r="B885" s="18" t="s">
        <v>5123</v>
      </c>
      <c r="C885" s="26" t="s">
        <v>34</v>
      </c>
      <c r="D885" s="19">
        <v>49</v>
      </c>
    </row>
    <row r="886" spans="1:4" x14ac:dyDescent="0.25">
      <c r="A886" s="17">
        <v>885</v>
      </c>
      <c r="B886" s="18" t="s">
        <v>4943</v>
      </c>
      <c r="C886" s="26" t="s">
        <v>1379</v>
      </c>
      <c r="D886" s="19">
        <v>48</v>
      </c>
    </row>
    <row r="887" spans="1:4" x14ac:dyDescent="0.25">
      <c r="A887" s="17">
        <v>886</v>
      </c>
      <c r="B887" s="18" t="s">
        <v>4974</v>
      </c>
      <c r="C887" s="26" t="s">
        <v>359</v>
      </c>
      <c r="D887" s="19">
        <v>48</v>
      </c>
    </row>
    <row r="888" spans="1:4" x14ac:dyDescent="0.25">
      <c r="A888" s="17">
        <v>887</v>
      </c>
      <c r="B888" s="18" t="s">
        <v>1454</v>
      </c>
      <c r="C888" s="26" t="s">
        <v>830</v>
      </c>
      <c r="D888" s="19">
        <v>47</v>
      </c>
    </row>
    <row r="889" spans="1:4" x14ac:dyDescent="0.25">
      <c r="A889" s="17">
        <v>888</v>
      </c>
      <c r="B889" s="18" t="s">
        <v>1395</v>
      </c>
      <c r="C889" s="26" t="s">
        <v>77</v>
      </c>
      <c r="D889" s="19">
        <v>47</v>
      </c>
    </row>
    <row r="890" spans="1:4" x14ac:dyDescent="0.25">
      <c r="A890" s="17">
        <v>889</v>
      </c>
      <c r="B890" s="18" t="s">
        <v>363</v>
      </c>
      <c r="C890" s="26" t="s">
        <v>364</v>
      </c>
      <c r="D890" s="19">
        <v>46</v>
      </c>
    </row>
    <row r="891" spans="1:4" x14ac:dyDescent="0.25">
      <c r="A891" s="17">
        <v>890</v>
      </c>
      <c r="B891" s="18" t="s">
        <v>5113</v>
      </c>
      <c r="C891" s="26" t="s">
        <v>152</v>
      </c>
      <c r="D891" s="19">
        <v>46</v>
      </c>
    </row>
    <row r="892" spans="1:4" x14ac:dyDescent="0.25">
      <c r="A892" s="17">
        <v>891</v>
      </c>
      <c r="B892" s="18" t="s">
        <v>1491</v>
      </c>
      <c r="C892" s="26" t="s">
        <v>123</v>
      </c>
      <c r="D892" s="19">
        <v>46</v>
      </c>
    </row>
    <row r="893" spans="1:4" x14ac:dyDescent="0.25">
      <c r="A893" s="17">
        <v>892</v>
      </c>
      <c r="B893" s="18" t="s">
        <v>1532</v>
      </c>
      <c r="C893" s="26" t="s">
        <v>843</v>
      </c>
      <c r="D893" s="38">
        <v>46</v>
      </c>
    </row>
    <row r="894" spans="1:4" x14ac:dyDescent="0.25">
      <c r="A894" s="17">
        <v>893</v>
      </c>
      <c r="B894" s="18" t="s">
        <v>1533</v>
      </c>
      <c r="C894" s="26" t="s">
        <v>764</v>
      </c>
      <c r="D894" s="19">
        <v>46</v>
      </c>
    </row>
    <row r="895" spans="1:4" x14ac:dyDescent="0.25">
      <c r="A895" s="17">
        <v>894</v>
      </c>
      <c r="B895" s="18" t="s">
        <v>4925</v>
      </c>
      <c r="C895" s="26" t="s">
        <v>77</v>
      </c>
      <c r="D895" s="19">
        <v>46</v>
      </c>
    </row>
    <row r="896" spans="1:4" x14ac:dyDescent="0.25">
      <c r="A896" s="17">
        <v>895</v>
      </c>
      <c r="B896" s="18" t="s">
        <v>5072</v>
      </c>
      <c r="C896" s="26" t="s">
        <v>2015</v>
      </c>
      <c r="D896" s="19">
        <v>45</v>
      </c>
    </row>
    <row r="897" spans="1:4" x14ac:dyDescent="0.25">
      <c r="A897" s="17">
        <v>896</v>
      </c>
      <c r="B897" s="18" t="s">
        <v>1941</v>
      </c>
      <c r="C897" s="26" t="s">
        <v>34</v>
      </c>
      <c r="D897" s="38">
        <v>45</v>
      </c>
    </row>
    <row r="898" spans="1:4" x14ac:dyDescent="0.25">
      <c r="A898" s="17">
        <v>897</v>
      </c>
      <c r="B898" s="18" t="s">
        <v>2914</v>
      </c>
      <c r="C898" s="26" t="s">
        <v>313</v>
      </c>
      <c r="D898" s="38">
        <v>45</v>
      </c>
    </row>
    <row r="899" spans="1:4" x14ac:dyDescent="0.25">
      <c r="A899" s="17">
        <v>898</v>
      </c>
      <c r="B899" s="18" t="s">
        <v>1299</v>
      </c>
      <c r="C899" s="26" t="s">
        <v>1300</v>
      </c>
      <c r="D899" s="19">
        <v>45</v>
      </c>
    </row>
    <row r="900" spans="1:4" x14ac:dyDescent="0.25">
      <c r="A900" s="17">
        <v>899</v>
      </c>
      <c r="B900" s="18" t="s">
        <v>2729</v>
      </c>
      <c r="C900" s="18" t="s">
        <v>2430</v>
      </c>
      <c r="D900" s="19">
        <v>45</v>
      </c>
    </row>
    <row r="901" spans="1:4" x14ac:dyDescent="0.25">
      <c r="A901" s="17">
        <v>900</v>
      </c>
      <c r="B901" s="18" t="s">
        <v>3048</v>
      </c>
      <c r="C901" s="26" t="s">
        <v>1266</v>
      </c>
      <c r="D901" s="19">
        <v>44</v>
      </c>
    </row>
    <row r="902" spans="1:4" x14ac:dyDescent="0.25">
      <c r="A902" s="17">
        <v>901</v>
      </c>
      <c r="B902" s="18" t="s">
        <v>4951</v>
      </c>
      <c r="C902" s="26" t="s">
        <v>98</v>
      </c>
      <c r="D902" s="19">
        <v>44</v>
      </c>
    </row>
    <row r="903" spans="1:4" x14ac:dyDescent="0.25">
      <c r="A903" s="17">
        <v>902</v>
      </c>
      <c r="B903" s="18" t="s">
        <v>2065</v>
      </c>
      <c r="C903" s="26" t="s">
        <v>162</v>
      </c>
      <c r="D903" s="38">
        <v>44</v>
      </c>
    </row>
    <row r="904" spans="1:4" x14ac:dyDescent="0.25">
      <c r="A904" s="17">
        <v>903</v>
      </c>
      <c r="B904" s="18" t="s">
        <v>2548</v>
      </c>
      <c r="C904" s="26" t="s">
        <v>916</v>
      </c>
      <c r="D904" s="19">
        <v>44</v>
      </c>
    </row>
    <row r="905" spans="1:4" x14ac:dyDescent="0.25">
      <c r="A905" s="17">
        <v>904</v>
      </c>
      <c r="B905" s="18" t="s">
        <v>1241</v>
      </c>
      <c r="C905" s="26" t="s">
        <v>1242</v>
      </c>
      <c r="D905" s="19">
        <v>43</v>
      </c>
    </row>
    <row r="906" spans="1:4" x14ac:dyDescent="0.25">
      <c r="A906" s="17">
        <v>905</v>
      </c>
      <c r="B906" s="18" t="s">
        <v>1005</v>
      </c>
      <c r="C906" s="26" t="s">
        <v>220</v>
      </c>
      <c r="D906" s="19">
        <v>43</v>
      </c>
    </row>
    <row r="907" spans="1:4" x14ac:dyDescent="0.25">
      <c r="A907" s="17">
        <v>906</v>
      </c>
      <c r="B907" s="18" t="s">
        <v>1031</v>
      </c>
      <c r="C907" s="18" t="s">
        <v>1032</v>
      </c>
      <c r="D907" s="19">
        <v>42</v>
      </c>
    </row>
    <row r="908" spans="1:4" x14ac:dyDescent="0.25">
      <c r="A908" s="17">
        <v>907</v>
      </c>
      <c r="B908" s="18" t="s">
        <v>1982</v>
      </c>
      <c r="C908" s="26" t="s">
        <v>843</v>
      </c>
      <c r="D908" s="19">
        <v>42</v>
      </c>
    </row>
    <row r="909" spans="1:4" x14ac:dyDescent="0.25">
      <c r="A909" s="17">
        <v>908</v>
      </c>
      <c r="B909" s="18" t="s">
        <v>3643</v>
      </c>
      <c r="C909" s="26" t="s">
        <v>1688</v>
      </c>
      <c r="D909" s="19">
        <v>42</v>
      </c>
    </row>
    <row r="910" spans="1:4" x14ac:dyDescent="0.25">
      <c r="A910" s="17">
        <v>909</v>
      </c>
      <c r="B910" s="18" t="s">
        <v>803</v>
      </c>
      <c r="C910" s="26" t="s">
        <v>313</v>
      </c>
      <c r="D910" s="19">
        <v>41</v>
      </c>
    </row>
    <row r="911" spans="1:4" x14ac:dyDescent="0.25">
      <c r="A911" s="17">
        <v>910</v>
      </c>
      <c r="B911" s="18" t="s">
        <v>1741</v>
      </c>
      <c r="C911" s="26" t="s">
        <v>1614</v>
      </c>
      <c r="D911" s="19">
        <v>40</v>
      </c>
    </row>
    <row r="912" spans="1:4" x14ac:dyDescent="0.25">
      <c r="A912" s="17">
        <v>911</v>
      </c>
      <c r="B912" s="18" t="s">
        <v>4895</v>
      </c>
      <c r="C912" s="26" t="s">
        <v>359</v>
      </c>
      <c r="D912" s="19">
        <v>40</v>
      </c>
    </row>
    <row r="913" spans="1:4" x14ac:dyDescent="0.25">
      <c r="A913" s="17">
        <v>912</v>
      </c>
      <c r="B913" s="18" t="s">
        <v>1594</v>
      </c>
      <c r="C913" s="26" t="s">
        <v>67</v>
      </c>
      <c r="D913" s="38">
        <v>39</v>
      </c>
    </row>
    <row r="914" spans="1:4" x14ac:dyDescent="0.25">
      <c r="A914" s="17">
        <v>913</v>
      </c>
      <c r="B914" s="18" t="s">
        <v>1110</v>
      </c>
      <c r="C914" s="18" t="s">
        <v>874</v>
      </c>
      <c r="D914" s="19">
        <v>39</v>
      </c>
    </row>
    <row r="915" spans="1:4" x14ac:dyDescent="0.25">
      <c r="A915" s="17">
        <v>914</v>
      </c>
      <c r="B915" s="18" t="s">
        <v>3644</v>
      </c>
      <c r="C915" s="26" t="s">
        <v>1076</v>
      </c>
      <c r="D915" s="38">
        <v>38</v>
      </c>
    </row>
    <row r="916" spans="1:4" x14ac:dyDescent="0.25">
      <c r="A916" s="17">
        <v>915</v>
      </c>
      <c r="B916" s="18" t="s">
        <v>721</v>
      </c>
      <c r="C916" s="26" t="s">
        <v>67</v>
      </c>
      <c r="D916" s="19">
        <v>38</v>
      </c>
    </row>
    <row r="917" spans="1:4" x14ac:dyDescent="0.25">
      <c r="A917" s="17">
        <v>916</v>
      </c>
      <c r="B917" s="18" t="s">
        <v>1519</v>
      </c>
      <c r="C917" s="26" t="s">
        <v>161</v>
      </c>
      <c r="D917" s="38">
        <v>38</v>
      </c>
    </row>
    <row r="918" spans="1:4" x14ac:dyDescent="0.25">
      <c r="A918" s="17">
        <v>917</v>
      </c>
      <c r="B918" s="18" t="s">
        <v>1789</v>
      </c>
      <c r="C918" s="26" t="s">
        <v>34</v>
      </c>
      <c r="D918" s="19">
        <v>37</v>
      </c>
    </row>
    <row r="919" spans="1:4" x14ac:dyDescent="0.25">
      <c r="A919" s="17">
        <v>918</v>
      </c>
      <c r="B919" s="18" t="s">
        <v>4906</v>
      </c>
      <c r="C919" s="26" t="s">
        <v>564</v>
      </c>
      <c r="D919" s="19">
        <v>37</v>
      </c>
    </row>
    <row r="920" spans="1:4" x14ac:dyDescent="0.25">
      <c r="A920" s="17">
        <v>919</v>
      </c>
      <c r="B920" s="18" t="s">
        <v>2616</v>
      </c>
      <c r="C920" s="26" t="s">
        <v>759</v>
      </c>
      <c r="D920" s="19">
        <v>37</v>
      </c>
    </row>
    <row r="921" spans="1:4" x14ac:dyDescent="0.25">
      <c r="A921" s="17">
        <v>920</v>
      </c>
      <c r="B921" s="28" t="s">
        <v>1844</v>
      </c>
      <c r="C921" s="18" t="s">
        <v>1327</v>
      </c>
      <c r="D921" s="19">
        <v>36</v>
      </c>
    </row>
    <row r="922" spans="1:4" x14ac:dyDescent="0.25">
      <c r="A922" s="17">
        <v>921</v>
      </c>
      <c r="B922" s="18" t="s">
        <v>1540</v>
      </c>
      <c r="C922" s="26" t="s">
        <v>55</v>
      </c>
      <c r="D922" s="19">
        <v>36</v>
      </c>
    </row>
    <row r="923" spans="1:4" x14ac:dyDescent="0.25">
      <c r="A923" s="17">
        <v>922</v>
      </c>
      <c r="B923" s="18" t="s">
        <v>2118</v>
      </c>
      <c r="C923" s="26" t="s">
        <v>152</v>
      </c>
      <c r="D923" s="19">
        <v>35</v>
      </c>
    </row>
    <row r="924" spans="1:4" x14ac:dyDescent="0.25">
      <c r="A924" s="17">
        <v>923</v>
      </c>
      <c r="B924" s="18" t="s">
        <v>5124</v>
      </c>
      <c r="C924" s="26" t="s">
        <v>886</v>
      </c>
      <c r="D924" s="19">
        <v>35</v>
      </c>
    </row>
    <row r="925" spans="1:4" x14ac:dyDescent="0.25">
      <c r="A925" s="17">
        <v>924</v>
      </c>
      <c r="B925" s="18" t="s">
        <v>2198</v>
      </c>
      <c r="C925" s="26" t="s">
        <v>1587</v>
      </c>
      <c r="D925" s="19">
        <v>35</v>
      </c>
    </row>
    <row r="926" spans="1:4" x14ac:dyDescent="0.25">
      <c r="A926" s="17">
        <v>925</v>
      </c>
      <c r="B926" s="18" t="s">
        <v>2619</v>
      </c>
      <c r="C926" s="18" t="s">
        <v>181</v>
      </c>
      <c r="D926" s="19">
        <v>35</v>
      </c>
    </row>
    <row r="927" spans="1:4" x14ac:dyDescent="0.25">
      <c r="A927" s="17">
        <v>926</v>
      </c>
      <c r="B927" s="18" t="s">
        <v>653</v>
      </c>
      <c r="C927" s="18" t="s">
        <v>59</v>
      </c>
      <c r="D927" s="19">
        <v>35</v>
      </c>
    </row>
    <row r="928" spans="1:4" x14ac:dyDescent="0.25">
      <c r="A928" s="17">
        <v>927</v>
      </c>
      <c r="B928" s="28" t="s">
        <v>5052</v>
      </c>
      <c r="C928" s="26" t="s">
        <v>1688</v>
      </c>
      <c r="D928" s="19">
        <v>35</v>
      </c>
    </row>
    <row r="929" spans="1:4" x14ac:dyDescent="0.25">
      <c r="A929" s="17">
        <v>928</v>
      </c>
      <c r="B929" s="18" t="s">
        <v>782</v>
      </c>
      <c r="C929" s="26" t="s">
        <v>364</v>
      </c>
      <c r="D929" s="19">
        <v>34</v>
      </c>
    </row>
    <row r="930" spans="1:4" x14ac:dyDescent="0.25">
      <c r="A930" s="17">
        <v>929</v>
      </c>
      <c r="B930" s="18" t="s">
        <v>2941</v>
      </c>
      <c r="C930" s="26" t="s">
        <v>2942</v>
      </c>
      <c r="D930" s="38">
        <v>34</v>
      </c>
    </row>
    <row r="931" spans="1:4" x14ac:dyDescent="0.25">
      <c r="A931" s="17">
        <v>930</v>
      </c>
      <c r="B931" s="18" t="s">
        <v>2124</v>
      </c>
      <c r="C931" s="26" t="s">
        <v>152</v>
      </c>
      <c r="D931" s="19">
        <v>33</v>
      </c>
    </row>
    <row r="932" spans="1:4" x14ac:dyDescent="0.25">
      <c r="A932" s="17">
        <v>931</v>
      </c>
      <c r="B932" s="18" t="s">
        <v>2070</v>
      </c>
      <c r="C932" s="18" t="s">
        <v>901</v>
      </c>
      <c r="D932" s="19">
        <v>33</v>
      </c>
    </row>
    <row r="933" spans="1:4" x14ac:dyDescent="0.25">
      <c r="A933" s="17">
        <v>932</v>
      </c>
      <c r="B933" s="28" t="s">
        <v>4872</v>
      </c>
      <c r="C933" s="26" t="s">
        <v>186</v>
      </c>
      <c r="D933" s="19">
        <v>33</v>
      </c>
    </row>
    <row r="934" spans="1:4" x14ac:dyDescent="0.25">
      <c r="A934" s="17">
        <v>933</v>
      </c>
      <c r="B934" s="18" t="s">
        <v>1302</v>
      </c>
      <c r="C934" s="26" t="s">
        <v>290</v>
      </c>
      <c r="D934" s="19">
        <v>33</v>
      </c>
    </row>
    <row r="935" spans="1:4" x14ac:dyDescent="0.25">
      <c r="A935" s="17">
        <v>934</v>
      </c>
      <c r="B935" s="18" t="s">
        <v>1102</v>
      </c>
      <c r="C935" s="26" t="s">
        <v>1076</v>
      </c>
      <c r="D935" s="19">
        <v>32</v>
      </c>
    </row>
    <row r="936" spans="1:4" x14ac:dyDescent="0.25">
      <c r="A936" s="17">
        <v>935</v>
      </c>
      <c r="B936" s="18" t="s">
        <v>4927</v>
      </c>
      <c r="C936" s="26" t="s">
        <v>2015</v>
      </c>
      <c r="D936" s="19">
        <v>30</v>
      </c>
    </row>
    <row r="937" spans="1:4" x14ac:dyDescent="0.25">
      <c r="A937" s="17">
        <v>936</v>
      </c>
      <c r="B937" s="18" t="s">
        <v>2032</v>
      </c>
      <c r="C937" s="26" t="s">
        <v>1379</v>
      </c>
      <c r="D937" s="19">
        <v>30</v>
      </c>
    </row>
    <row r="938" spans="1:4" x14ac:dyDescent="0.25">
      <c r="A938" s="17">
        <v>937</v>
      </c>
      <c r="B938" s="18" t="s">
        <v>4902</v>
      </c>
      <c r="C938" s="26" t="s">
        <v>87</v>
      </c>
      <c r="D938" s="38">
        <v>30</v>
      </c>
    </row>
    <row r="939" spans="1:4" x14ac:dyDescent="0.25">
      <c r="A939" s="17">
        <v>938</v>
      </c>
      <c r="B939" s="18" t="s">
        <v>4916</v>
      </c>
      <c r="C939" s="26" t="s">
        <v>359</v>
      </c>
      <c r="D939" s="19">
        <v>30</v>
      </c>
    </row>
    <row r="940" spans="1:4" x14ac:dyDescent="0.25">
      <c r="A940" s="17">
        <v>939</v>
      </c>
      <c r="B940" s="18" t="s">
        <v>2400</v>
      </c>
      <c r="C940" s="26" t="s">
        <v>1608</v>
      </c>
      <c r="D940" s="38">
        <v>30</v>
      </c>
    </row>
    <row r="941" spans="1:4" x14ac:dyDescent="0.25">
      <c r="A941" s="17">
        <v>940</v>
      </c>
      <c r="B941" s="18" t="s">
        <v>2825</v>
      </c>
      <c r="C941" s="26" t="s">
        <v>34</v>
      </c>
      <c r="D941" s="19">
        <v>29</v>
      </c>
    </row>
    <row r="942" spans="1:4" x14ac:dyDescent="0.25">
      <c r="A942" s="17">
        <v>941</v>
      </c>
      <c r="B942" s="18" t="s">
        <v>915</v>
      </c>
      <c r="C942" s="26" t="s">
        <v>916</v>
      </c>
      <c r="D942" s="19">
        <v>29</v>
      </c>
    </row>
    <row r="943" spans="1:4" x14ac:dyDescent="0.25">
      <c r="A943" s="17">
        <v>942</v>
      </c>
      <c r="B943" s="18" t="s">
        <v>4965</v>
      </c>
      <c r="C943" s="26" t="s">
        <v>1242</v>
      </c>
      <c r="D943" s="19">
        <v>29</v>
      </c>
    </row>
    <row r="944" spans="1:4" x14ac:dyDescent="0.25">
      <c r="A944" s="17">
        <v>943</v>
      </c>
      <c r="B944" s="18" t="s">
        <v>1557</v>
      </c>
      <c r="C944" s="26" t="s">
        <v>83</v>
      </c>
      <c r="D944" s="19">
        <v>28</v>
      </c>
    </row>
    <row r="945" spans="1:4" x14ac:dyDescent="0.25">
      <c r="A945" s="17">
        <v>944</v>
      </c>
      <c r="B945" s="18" t="s">
        <v>1483</v>
      </c>
      <c r="C945" s="26" t="s">
        <v>219</v>
      </c>
      <c r="D945" s="38">
        <v>28</v>
      </c>
    </row>
    <row r="946" spans="1:4" x14ac:dyDescent="0.25">
      <c r="A946" s="17">
        <v>945</v>
      </c>
      <c r="B946" s="18" t="s">
        <v>1438</v>
      </c>
      <c r="C946" s="26" t="s">
        <v>886</v>
      </c>
      <c r="D946" s="19">
        <v>28</v>
      </c>
    </row>
    <row r="947" spans="1:4" x14ac:dyDescent="0.25">
      <c r="A947" s="17">
        <v>946</v>
      </c>
      <c r="B947" s="18" t="s">
        <v>4908</v>
      </c>
      <c r="C947" s="26" t="s">
        <v>739</v>
      </c>
      <c r="D947" s="19">
        <v>27</v>
      </c>
    </row>
    <row r="948" spans="1:4" x14ac:dyDescent="0.25">
      <c r="A948" s="17">
        <v>947</v>
      </c>
      <c r="B948" s="18" t="s">
        <v>2115</v>
      </c>
      <c r="C948" s="18" t="s">
        <v>157</v>
      </c>
      <c r="D948" s="19">
        <v>27</v>
      </c>
    </row>
    <row r="949" spans="1:4" x14ac:dyDescent="0.25">
      <c r="A949" s="17">
        <v>948</v>
      </c>
      <c r="B949" s="18" t="s">
        <v>2401</v>
      </c>
      <c r="C949" s="26" t="s">
        <v>1409</v>
      </c>
      <c r="D949" s="19">
        <v>26</v>
      </c>
    </row>
    <row r="950" spans="1:4" x14ac:dyDescent="0.25">
      <c r="A950" s="17">
        <v>949</v>
      </c>
      <c r="B950" s="18" t="s">
        <v>2909</v>
      </c>
      <c r="C950" s="26" t="s">
        <v>1379</v>
      </c>
      <c r="D950" s="19">
        <v>25</v>
      </c>
    </row>
    <row r="951" spans="1:4" x14ac:dyDescent="0.25">
      <c r="A951" s="17">
        <v>950</v>
      </c>
      <c r="B951" s="18" t="s">
        <v>4978</v>
      </c>
      <c r="C951" s="26" t="s">
        <v>98</v>
      </c>
      <c r="D951" s="19">
        <v>25</v>
      </c>
    </row>
    <row r="952" spans="1:4" x14ac:dyDescent="0.25">
      <c r="A952" s="17">
        <v>951</v>
      </c>
      <c r="B952" s="18" t="s">
        <v>2361</v>
      </c>
      <c r="C952" s="26" t="s">
        <v>385</v>
      </c>
      <c r="D952" s="19">
        <v>25</v>
      </c>
    </row>
    <row r="953" spans="1:4" x14ac:dyDescent="0.25">
      <c r="A953" s="17">
        <v>952</v>
      </c>
      <c r="B953" s="28" t="s">
        <v>2254</v>
      </c>
      <c r="C953" s="26" t="s">
        <v>1242</v>
      </c>
      <c r="D953" s="19">
        <v>25</v>
      </c>
    </row>
    <row r="954" spans="1:4" x14ac:dyDescent="0.25">
      <c r="A954" s="17">
        <v>953</v>
      </c>
      <c r="B954" s="18" t="s">
        <v>793</v>
      </c>
      <c r="C954" s="26" t="s">
        <v>794</v>
      </c>
      <c r="D954" s="19">
        <v>25</v>
      </c>
    </row>
    <row r="955" spans="1:4" x14ac:dyDescent="0.25">
      <c r="A955" s="17">
        <v>954</v>
      </c>
      <c r="B955" s="18" t="s">
        <v>1849</v>
      </c>
      <c r="C955" s="18" t="s">
        <v>798</v>
      </c>
      <c r="D955" s="38">
        <v>25</v>
      </c>
    </row>
    <row r="956" spans="1:4" x14ac:dyDescent="0.25">
      <c r="A956" s="17">
        <v>955</v>
      </c>
      <c r="B956" s="18" t="s">
        <v>952</v>
      </c>
      <c r="C956" s="26" t="s">
        <v>140</v>
      </c>
      <c r="D956" s="19">
        <v>24</v>
      </c>
    </row>
    <row r="957" spans="1:4" x14ac:dyDescent="0.25">
      <c r="A957" s="17">
        <v>956</v>
      </c>
      <c r="B957" s="18" t="s">
        <v>2232</v>
      </c>
      <c r="C957" s="26" t="s">
        <v>364</v>
      </c>
      <c r="D957" s="38">
        <v>24</v>
      </c>
    </row>
    <row r="958" spans="1:4" x14ac:dyDescent="0.25">
      <c r="A958" s="17">
        <v>957</v>
      </c>
      <c r="B958" s="18" t="s">
        <v>2564</v>
      </c>
      <c r="C958" s="26" t="s">
        <v>1409</v>
      </c>
      <c r="D958" s="19">
        <v>24</v>
      </c>
    </row>
    <row r="959" spans="1:4" x14ac:dyDescent="0.25">
      <c r="A959" s="17">
        <v>958</v>
      </c>
      <c r="B959" s="18" t="s">
        <v>2516</v>
      </c>
      <c r="C959" s="26" t="s">
        <v>66</v>
      </c>
      <c r="D959" s="38">
        <v>24</v>
      </c>
    </row>
    <row r="960" spans="1:4" x14ac:dyDescent="0.25">
      <c r="A960" s="17">
        <v>959</v>
      </c>
      <c r="B960" s="18" t="s">
        <v>1214</v>
      </c>
      <c r="C960" s="26" t="s">
        <v>220</v>
      </c>
      <c r="D960" s="19">
        <v>24</v>
      </c>
    </row>
    <row r="961" spans="1:4" x14ac:dyDescent="0.25">
      <c r="A961" s="17">
        <v>960</v>
      </c>
      <c r="B961" s="18" t="s">
        <v>1612</v>
      </c>
      <c r="C961" s="26" t="s">
        <v>104</v>
      </c>
      <c r="D961" s="19">
        <v>24</v>
      </c>
    </row>
    <row r="962" spans="1:4" x14ac:dyDescent="0.25">
      <c r="A962" s="17">
        <v>961</v>
      </c>
      <c r="B962" s="18" t="s">
        <v>2520</v>
      </c>
      <c r="C962" s="26" t="s">
        <v>867</v>
      </c>
      <c r="D962" s="19">
        <v>23</v>
      </c>
    </row>
    <row r="963" spans="1:4" x14ac:dyDescent="0.25">
      <c r="A963" s="17">
        <v>962</v>
      </c>
      <c r="B963" s="18" t="s">
        <v>870</v>
      </c>
      <c r="C963" s="26" t="s">
        <v>867</v>
      </c>
      <c r="D963" s="19">
        <v>23</v>
      </c>
    </row>
    <row r="964" spans="1:4" x14ac:dyDescent="0.25">
      <c r="A964" s="17">
        <v>963</v>
      </c>
      <c r="B964" s="18" t="s">
        <v>5012</v>
      </c>
      <c r="C964" s="26" t="s">
        <v>1688</v>
      </c>
      <c r="D964" s="19">
        <v>23</v>
      </c>
    </row>
    <row r="965" spans="1:4" x14ac:dyDescent="0.25">
      <c r="A965" s="17">
        <v>964</v>
      </c>
      <c r="B965" s="18" t="s">
        <v>5019</v>
      </c>
      <c r="C965" s="26" t="s">
        <v>886</v>
      </c>
      <c r="D965" s="19">
        <v>22</v>
      </c>
    </row>
    <row r="966" spans="1:4" x14ac:dyDescent="0.25">
      <c r="A966" s="17">
        <v>965</v>
      </c>
      <c r="B966" s="18" t="s">
        <v>5036</v>
      </c>
      <c r="C966" s="26" t="s">
        <v>134</v>
      </c>
      <c r="D966" s="19">
        <v>22</v>
      </c>
    </row>
    <row r="967" spans="1:4" x14ac:dyDescent="0.25">
      <c r="A967" s="17">
        <v>966</v>
      </c>
      <c r="B967" s="28" t="s">
        <v>5004</v>
      </c>
      <c r="C967" s="26" t="s">
        <v>1688</v>
      </c>
      <c r="D967" s="19">
        <v>22</v>
      </c>
    </row>
    <row r="968" spans="1:4" x14ac:dyDescent="0.25">
      <c r="A968" s="17">
        <v>967</v>
      </c>
      <c r="B968" s="18" t="s">
        <v>4890</v>
      </c>
      <c r="C968" s="26" t="s">
        <v>448</v>
      </c>
      <c r="D968" s="19">
        <v>21</v>
      </c>
    </row>
    <row r="969" spans="1:4" x14ac:dyDescent="0.25">
      <c r="A969" s="17">
        <v>968</v>
      </c>
      <c r="B969" s="18" t="s">
        <v>2742</v>
      </c>
      <c r="C969" s="26" t="s">
        <v>916</v>
      </c>
      <c r="D969" s="19">
        <v>21</v>
      </c>
    </row>
    <row r="970" spans="1:4" x14ac:dyDescent="0.25">
      <c r="A970" s="17">
        <v>969</v>
      </c>
      <c r="B970" s="18" t="s">
        <v>5141</v>
      </c>
      <c r="C970" s="26" t="s">
        <v>313</v>
      </c>
      <c r="D970" s="19">
        <v>18</v>
      </c>
    </row>
    <row r="971" spans="1:4" x14ac:dyDescent="0.25">
      <c r="A971" s="17">
        <v>970</v>
      </c>
      <c r="B971" s="18" t="s">
        <v>2007</v>
      </c>
      <c r="C971" s="18" t="s">
        <v>927</v>
      </c>
      <c r="D971" s="19">
        <v>18</v>
      </c>
    </row>
    <row r="972" spans="1:4" x14ac:dyDescent="0.25">
      <c r="A972" s="17">
        <v>971</v>
      </c>
      <c r="B972" s="18" t="s">
        <v>1163</v>
      </c>
      <c r="C972" s="26" t="s">
        <v>318</v>
      </c>
      <c r="D972" s="19">
        <v>18</v>
      </c>
    </row>
    <row r="973" spans="1:4" x14ac:dyDescent="0.25">
      <c r="A973" s="17">
        <v>972</v>
      </c>
      <c r="B973" s="18" t="s">
        <v>4839</v>
      </c>
      <c r="C973" s="26" t="s">
        <v>77</v>
      </c>
      <c r="D973" s="19">
        <v>18</v>
      </c>
    </row>
    <row r="974" spans="1:4" x14ac:dyDescent="0.25">
      <c r="A974" s="17">
        <v>973</v>
      </c>
      <c r="B974" s="18" t="s">
        <v>4938</v>
      </c>
      <c r="C974" s="26" t="s">
        <v>359</v>
      </c>
      <c r="D974" s="19">
        <v>18</v>
      </c>
    </row>
    <row r="975" spans="1:4" x14ac:dyDescent="0.25">
      <c r="A975" s="17">
        <v>974</v>
      </c>
      <c r="B975" s="18" t="s">
        <v>5085</v>
      </c>
      <c r="C975" s="26" t="s">
        <v>1409</v>
      </c>
      <c r="D975" s="19">
        <v>17</v>
      </c>
    </row>
    <row r="976" spans="1:4" x14ac:dyDescent="0.25">
      <c r="A976" s="17">
        <v>975</v>
      </c>
      <c r="B976" s="28" t="s">
        <v>4849</v>
      </c>
      <c r="C976" s="26" t="s">
        <v>1409</v>
      </c>
      <c r="D976" s="19">
        <v>17</v>
      </c>
    </row>
    <row r="977" spans="1:4" x14ac:dyDescent="0.25">
      <c r="A977" s="17">
        <v>976</v>
      </c>
      <c r="B977" s="18" t="s">
        <v>1362</v>
      </c>
      <c r="C977" s="26" t="s">
        <v>98</v>
      </c>
      <c r="D977" s="19">
        <v>17</v>
      </c>
    </row>
    <row r="978" spans="1:4" x14ac:dyDescent="0.25">
      <c r="A978" s="17">
        <v>977</v>
      </c>
      <c r="B978" s="18" t="s">
        <v>5108</v>
      </c>
      <c r="C978" s="26" t="s">
        <v>759</v>
      </c>
      <c r="D978" s="19">
        <v>17</v>
      </c>
    </row>
    <row r="979" spans="1:4" x14ac:dyDescent="0.25">
      <c r="A979" s="17">
        <v>978</v>
      </c>
      <c r="B979" s="28" t="s">
        <v>2340</v>
      </c>
      <c r="C979" s="26" t="s">
        <v>1379</v>
      </c>
      <c r="D979" s="19">
        <v>16</v>
      </c>
    </row>
    <row r="980" spans="1:4" x14ac:dyDescent="0.25">
      <c r="A980" s="17">
        <v>979</v>
      </c>
      <c r="B980" s="18" t="s">
        <v>1891</v>
      </c>
      <c r="C980" s="26" t="s">
        <v>835</v>
      </c>
      <c r="D980" s="19">
        <v>16</v>
      </c>
    </row>
    <row r="981" spans="1:4" x14ac:dyDescent="0.25">
      <c r="A981" s="17">
        <v>980</v>
      </c>
      <c r="B981" s="18" t="s">
        <v>4856</v>
      </c>
      <c r="C981" s="26" t="s">
        <v>2207</v>
      </c>
      <c r="D981" s="19">
        <v>15</v>
      </c>
    </row>
    <row r="982" spans="1:4" x14ac:dyDescent="0.25">
      <c r="A982" s="17">
        <v>981</v>
      </c>
      <c r="B982" s="18" t="s">
        <v>4970</v>
      </c>
      <c r="C982" s="18" t="s">
        <v>1032</v>
      </c>
      <c r="D982" s="19">
        <v>15</v>
      </c>
    </row>
    <row r="983" spans="1:4" x14ac:dyDescent="0.25">
      <c r="A983" s="17">
        <v>982</v>
      </c>
      <c r="B983" s="18" t="s">
        <v>2592</v>
      </c>
      <c r="C983" s="26" t="s">
        <v>337</v>
      </c>
      <c r="D983" s="19">
        <v>15</v>
      </c>
    </row>
    <row r="984" spans="1:4" x14ac:dyDescent="0.25">
      <c r="A984" s="17">
        <v>983</v>
      </c>
      <c r="B984" s="18" t="s">
        <v>1208</v>
      </c>
      <c r="C984" s="26" t="s">
        <v>161</v>
      </c>
      <c r="D984" s="19">
        <v>15</v>
      </c>
    </row>
    <row r="985" spans="1:4" x14ac:dyDescent="0.25">
      <c r="A985" s="17">
        <v>984</v>
      </c>
      <c r="B985" s="18" t="s">
        <v>2962</v>
      </c>
      <c r="C985" s="26" t="s">
        <v>304</v>
      </c>
      <c r="D985" s="38">
        <v>14</v>
      </c>
    </row>
    <row r="986" spans="1:4" x14ac:dyDescent="0.25">
      <c r="A986" s="17">
        <v>985</v>
      </c>
      <c r="B986" s="18" t="s">
        <v>4912</v>
      </c>
      <c r="C986" s="18" t="s">
        <v>1032</v>
      </c>
      <c r="D986" s="19">
        <v>14</v>
      </c>
    </row>
    <row r="987" spans="1:4" x14ac:dyDescent="0.25">
      <c r="A987" s="17">
        <v>986</v>
      </c>
      <c r="B987" s="18" t="s">
        <v>2866</v>
      </c>
      <c r="C987" s="26" t="s">
        <v>313</v>
      </c>
      <c r="D987" s="38">
        <v>14</v>
      </c>
    </row>
    <row r="988" spans="1:4" x14ac:dyDescent="0.25">
      <c r="A988" s="17">
        <v>987</v>
      </c>
      <c r="B988" s="18" t="s">
        <v>2265</v>
      </c>
      <c r="C988" s="26" t="s">
        <v>835</v>
      </c>
      <c r="D988" s="19">
        <v>14</v>
      </c>
    </row>
    <row r="989" spans="1:4" x14ac:dyDescent="0.25">
      <c r="A989" s="17">
        <v>988</v>
      </c>
      <c r="B989" s="18" t="s">
        <v>3035</v>
      </c>
      <c r="C989" s="26" t="s">
        <v>1794</v>
      </c>
      <c r="D989" s="19">
        <v>13</v>
      </c>
    </row>
    <row r="990" spans="1:4" x14ac:dyDescent="0.25">
      <c r="A990" s="17">
        <v>989</v>
      </c>
      <c r="B990" s="18" t="s">
        <v>994</v>
      </c>
      <c r="C990" s="26" t="s">
        <v>87</v>
      </c>
      <c r="D990" s="19">
        <v>12</v>
      </c>
    </row>
    <row r="991" spans="1:4" x14ac:dyDescent="0.25">
      <c r="A991" s="17">
        <v>990</v>
      </c>
      <c r="B991" s="28" t="s">
        <v>1510</v>
      </c>
      <c r="C991" s="26" t="s">
        <v>114</v>
      </c>
      <c r="D991" s="19">
        <v>12</v>
      </c>
    </row>
    <row r="992" spans="1:4" x14ac:dyDescent="0.25">
      <c r="A992" s="17">
        <v>991</v>
      </c>
      <c r="B992" s="18" t="s">
        <v>1261</v>
      </c>
      <c r="C992" s="26" t="s">
        <v>53</v>
      </c>
      <c r="D992" s="19">
        <v>12</v>
      </c>
    </row>
    <row r="993" spans="1:4" x14ac:dyDescent="0.25">
      <c r="A993" s="17">
        <v>992</v>
      </c>
      <c r="B993" s="18" t="s">
        <v>2127</v>
      </c>
      <c r="C993" s="26" t="s">
        <v>916</v>
      </c>
      <c r="D993" s="19">
        <v>12</v>
      </c>
    </row>
    <row r="994" spans="1:4" x14ac:dyDescent="0.25">
      <c r="A994" s="17">
        <v>993</v>
      </c>
      <c r="B994" s="18" t="s">
        <v>5067</v>
      </c>
      <c r="C994" s="18" t="s">
        <v>2430</v>
      </c>
      <c r="D994" s="19">
        <v>12</v>
      </c>
    </row>
    <row r="995" spans="1:4" x14ac:dyDescent="0.25">
      <c r="A995" s="17">
        <v>994</v>
      </c>
      <c r="B995" s="18" t="s">
        <v>4909</v>
      </c>
      <c r="C995" s="26" t="s">
        <v>1076</v>
      </c>
      <c r="D995" s="19">
        <v>11</v>
      </c>
    </row>
    <row r="996" spans="1:4" x14ac:dyDescent="0.25">
      <c r="A996" s="17">
        <v>995</v>
      </c>
      <c r="B996" s="18" t="s">
        <v>4982</v>
      </c>
      <c r="C996" s="26" t="s">
        <v>104</v>
      </c>
      <c r="D996" s="19">
        <v>11</v>
      </c>
    </row>
    <row r="997" spans="1:4" x14ac:dyDescent="0.25">
      <c r="A997" s="17">
        <v>996</v>
      </c>
      <c r="B997" s="18" t="s">
        <v>2206</v>
      </c>
      <c r="C997" s="26" t="s">
        <v>2207</v>
      </c>
      <c r="D997" s="19">
        <v>10</v>
      </c>
    </row>
    <row r="998" spans="1:4" x14ac:dyDescent="0.25">
      <c r="A998" s="17">
        <v>997</v>
      </c>
      <c r="B998" s="18" t="s">
        <v>2902</v>
      </c>
      <c r="C998" s="26" t="s">
        <v>34</v>
      </c>
      <c r="D998" s="19">
        <v>10</v>
      </c>
    </row>
    <row r="999" spans="1:4" x14ac:dyDescent="0.25">
      <c r="A999" s="17">
        <v>998</v>
      </c>
      <c r="B999" s="18" t="s">
        <v>2319</v>
      </c>
      <c r="C999" s="26" t="s">
        <v>98</v>
      </c>
      <c r="D999" s="38">
        <v>10</v>
      </c>
    </row>
    <row r="1000" spans="1:4" x14ac:dyDescent="0.25">
      <c r="A1000" s="17">
        <v>999</v>
      </c>
      <c r="B1000" s="18" t="s">
        <v>3015</v>
      </c>
      <c r="C1000" s="26" t="s">
        <v>764</v>
      </c>
      <c r="D1000" s="19">
        <v>10</v>
      </c>
    </row>
    <row r="1001" spans="1:4" x14ac:dyDescent="0.25">
      <c r="A1001" s="17">
        <v>1000</v>
      </c>
      <c r="B1001" s="18" t="s">
        <v>4932</v>
      </c>
      <c r="C1001" s="26" t="s">
        <v>290</v>
      </c>
      <c r="D1001" s="19">
        <v>10</v>
      </c>
    </row>
    <row r="1002" spans="1:4" x14ac:dyDescent="0.25">
      <c r="A1002" s="17">
        <v>1001</v>
      </c>
      <c r="B1002" s="18" t="s">
        <v>5114</v>
      </c>
      <c r="C1002" s="26" t="s">
        <v>382</v>
      </c>
      <c r="D1002" s="19">
        <v>10</v>
      </c>
    </row>
    <row r="1003" spans="1:4" x14ac:dyDescent="0.25">
      <c r="A1003" s="17">
        <v>1002</v>
      </c>
      <c r="B1003" s="18" t="s">
        <v>1809</v>
      </c>
      <c r="C1003" s="26" t="s">
        <v>843</v>
      </c>
      <c r="D1003" s="19">
        <v>9</v>
      </c>
    </row>
    <row r="1004" spans="1:4" x14ac:dyDescent="0.25">
      <c r="A1004" s="17">
        <v>1003</v>
      </c>
      <c r="B1004" s="18" t="s">
        <v>2335</v>
      </c>
      <c r="C1004" s="26" t="s">
        <v>98</v>
      </c>
      <c r="D1004" s="38">
        <v>9</v>
      </c>
    </row>
    <row r="1005" spans="1:4" x14ac:dyDescent="0.25">
      <c r="A1005" s="17">
        <v>1004</v>
      </c>
      <c r="B1005" s="18" t="s">
        <v>5024</v>
      </c>
      <c r="C1005" s="26" t="s">
        <v>98</v>
      </c>
      <c r="D1005" s="19">
        <v>9</v>
      </c>
    </row>
    <row r="1006" spans="1:4" x14ac:dyDescent="0.25">
      <c r="A1006" s="17">
        <v>1005</v>
      </c>
      <c r="B1006" s="18" t="s">
        <v>2862</v>
      </c>
      <c r="C1006" s="26" t="s">
        <v>448</v>
      </c>
      <c r="D1006" s="19">
        <v>9</v>
      </c>
    </row>
    <row r="1007" spans="1:4" x14ac:dyDescent="0.25">
      <c r="A1007" s="17">
        <v>1006</v>
      </c>
      <c r="B1007" s="18" t="s">
        <v>2551</v>
      </c>
      <c r="C1007" s="18" t="s">
        <v>901</v>
      </c>
      <c r="D1007" s="19">
        <v>9</v>
      </c>
    </row>
    <row r="1008" spans="1:4" x14ac:dyDescent="0.25">
      <c r="A1008" s="17">
        <v>1007</v>
      </c>
      <c r="B1008" s="28" t="s">
        <v>4834</v>
      </c>
      <c r="C1008" s="26" t="s">
        <v>87</v>
      </c>
      <c r="D1008" s="19">
        <v>9</v>
      </c>
    </row>
    <row r="1009" spans="1:4" x14ac:dyDescent="0.25">
      <c r="A1009" s="17">
        <v>1008</v>
      </c>
      <c r="B1009" s="18" t="s">
        <v>2002</v>
      </c>
      <c r="C1009" s="26" t="s">
        <v>60</v>
      </c>
      <c r="D1009" s="19">
        <v>9</v>
      </c>
    </row>
    <row r="1010" spans="1:4" x14ac:dyDescent="0.25">
      <c r="A1010" s="17">
        <v>1009</v>
      </c>
      <c r="B1010" s="18" t="s">
        <v>1895</v>
      </c>
      <c r="C1010" s="26" t="s">
        <v>1614</v>
      </c>
      <c r="D1010" s="38">
        <v>8</v>
      </c>
    </row>
    <row r="1011" spans="1:4" x14ac:dyDescent="0.25">
      <c r="A1011" s="17">
        <v>1010</v>
      </c>
      <c r="B1011" s="18" t="s">
        <v>2932</v>
      </c>
      <c r="C1011" s="26" t="s">
        <v>364</v>
      </c>
      <c r="D1011" s="19">
        <v>8</v>
      </c>
    </row>
    <row r="1012" spans="1:4" x14ac:dyDescent="0.25">
      <c r="A1012" s="17">
        <v>1011</v>
      </c>
      <c r="B1012" s="28" t="s">
        <v>4835</v>
      </c>
      <c r="C1012" s="26" t="s">
        <v>162</v>
      </c>
      <c r="D1012" s="19">
        <v>8</v>
      </c>
    </row>
    <row r="1013" spans="1:4" x14ac:dyDescent="0.25">
      <c r="A1013" s="17">
        <v>1012</v>
      </c>
      <c r="B1013" s="18" t="s">
        <v>1551</v>
      </c>
      <c r="C1013" s="26" t="s">
        <v>1552</v>
      </c>
      <c r="D1013" s="19">
        <v>8</v>
      </c>
    </row>
    <row r="1014" spans="1:4" x14ac:dyDescent="0.25">
      <c r="A1014" s="17">
        <v>1013</v>
      </c>
      <c r="B1014" s="18" t="s">
        <v>1945</v>
      </c>
      <c r="C1014" s="26" t="s">
        <v>119</v>
      </c>
      <c r="D1014" s="19">
        <v>8</v>
      </c>
    </row>
    <row r="1015" spans="1:4" x14ac:dyDescent="0.25">
      <c r="A1015" s="17">
        <v>1014</v>
      </c>
      <c r="B1015" s="18" t="s">
        <v>3038</v>
      </c>
      <c r="C1015" s="26" t="s">
        <v>1177</v>
      </c>
      <c r="D1015" s="19">
        <v>8</v>
      </c>
    </row>
    <row r="1016" spans="1:4" x14ac:dyDescent="0.25">
      <c r="A1016" s="17">
        <v>1015</v>
      </c>
      <c r="B1016" s="18" t="s">
        <v>2267</v>
      </c>
      <c r="C1016" s="26" t="s">
        <v>764</v>
      </c>
      <c r="D1016" s="19">
        <v>7</v>
      </c>
    </row>
    <row r="1017" spans="1:4" x14ac:dyDescent="0.25">
      <c r="A1017" s="17">
        <v>1016</v>
      </c>
      <c r="B1017" s="18" t="s">
        <v>2161</v>
      </c>
      <c r="C1017" s="18" t="s">
        <v>874</v>
      </c>
      <c r="D1017" s="19">
        <v>7</v>
      </c>
    </row>
    <row r="1018" spans="1:4" x14ac:dyDescent="0.25">
      <c r="A1018" s="17">
        <v>1017</v>
      </c>
      <c r="B1018" s="18" t="s">
        <v>4961</v>
      </c>
      <c r="C1018" s="18" t="s">
        <v>775</v>
      </c>
      <c r="D1018" s="19">
        <v>7</v>
      </c>
    </row>
    <row r="1019" spans="1:4" x14ac:dyDescent="0.25">
      <c r="A1019" s="17">
        <v>1018</v>
      </c>
      <c r="B1019" s="37" t="s">
        <v>5028</v>
      </c>
      <c r="C1019" s="26" t="s">
        <v>364</v>
      </c>
      <c r="D1019" s="19">
        <v>6</v>
      </c>
    </row>
    <row r="1020" spans="1:4" x14ac:dyDescent="0.25">
      <c r="A1020" s="17">
        <v>1019</v>
      </c>
      <c r="B1020" s="18" t="s">
        <v>1772</v>
      </c>
      <c r="C1020" s="26" t="s">
        <v>47</v>
      </c>
      <c r="D1020" s="19">
        <v>6</v>
      </c>
    </row>
    <row r="1021" spans="1:4" x14ac:dyDescent="0.25">
      <c r="A1021" s="17">
        <v>1020</v>
      </c>
      <c r="B1021" s="18" t="s">
        <v>1691</v>
      </c>
      <c r="C1021" s="26" t="s">
        <v>41</v>
      </c>
      <c r="D1021" s="38">
        <v>6</v>
      </c>
    </row>
    <row r="1022" spans="1:4" x14ac:dyDescent="0.25">
      <c r="A1022" s="17">
        <v>1021</v>
      </c>
      <c r="B1022" s="18" t="s">
        <v>5025</v>
      </c>
      <c r="C1022" s="18" t="s">
        <v>901</v>
      </c>
      <c r="D1022" s="19">
        <v>6</v>
      </c>
    </row>
    <row r="1023" spans="1:4" x14ac:dyDescent="0.25">
      <c r="A1023" s="17">
        <v>1022</v>
      </c>
      <c r="B1023" s="18" t="s">
        <v>2891</v>
      </c>
      <c r="C1023" s="26" t="s">
        <v>87</v>
      </c>
      <c r="D1023" s="19">
        <v>6</v>
      </c>
    </row>
    <row r="1024" spans="1:4" x14ac:dyDescent="0.25">
      <c r="A1024" s="17">
        <v>1023</v>
      </c>
      <c r="B1024" s="18" t="s">
        <v>2869</v>
      </c>
      <c r="C1024" s="18" t="s">
        <v>775</v>
      </c>
      <c r="D1024" s="19">
        <v>6</v>
      </c>
    </row>
    <row r="1025" spans="1:4" x14ac:dyDescent="0.25">
      <c r="A1025" s="17">
        <v>1024</v>
      </c>
      <c r="B1025" s="18" t="s">
        <v>1655</v>
      </c>
      <c r="C1025" s="26" t="s">
        <v>835</v>
      </c>
      <c r="D1025" s="19">
        <v>6</v>
      </c>
    </row>
    <row r="1026" spans="1:4" x14ac:dyDescent="0.25">
      <c r="A1026" s="17">
        <v>1025</v>
      </c>
      <c r="B1026" s="18" t="s">
        <v>1613</v>
      </c>
      <c r="C1026" s="26" t="s">
        <v>1614</v>
      </c>
      <c r="D1026" s="19">
        <v>5</v>
      </c>
    </row>
    <row r="1027" spans="1:4" x14ac:dyDescent="0.25">
      <c r="A1027" s="17">
        <v>1026</v>
      </c>
      <c r="B1027" s="18" t="s">
        <v>1924</v>
      </c>
      <c r="C1027" s="26" t="s">
        <v>114</v>
      </c>
      <c r="D1027" s="19">
        <v>5</v>
      </c>
    </row>
    <row r="1028" spans="1:4" x14ac:dyDescent="0.25">
      <c r="A1028" s="17">
        <v>1027</v>
      </c>
      <c r="B1028" s="18" t="s">
        <v>1449</v>
      </c>
      <c r="C1028" s="26" t="s">
        <v>225</v>
      </c>
      <c r="D1028" s="19">
        <v>5</v>
      </c>
    </row>
    <row r="1029" spans="1:4" x14ac:dyDescent="0.25">
      <c r="A1029" s="17">
        <v>1028</v>
      </c>
      <c r="B1029" s="18" t="s">
        <v>1948</v>
      </c>
      <c r="C1029" s="18" t="s">
        <v>825</v>
      </c>
      <c r="D1029" s="19">
        <v>5</v>
      </c>
    </row>
    <row r="1030" spans="1:4" x14ac:dyDescent="0.25">
      <c r="A1030" s="17">
        <v>1029</v>
      </c>
      <c r="B1030" s="18" t="s">
        <v>824</v>
      </c>
      <c r="C1030" s="18" t="s">
        <v>825</v>
      </c>
      <c r="D1030" s="19">
        <v>5</v>
      </c>
    </row>
    <row r="1031" spans="1:4" x14ac:dyDescent="0.25">
      <c r="A1031" s="17">
        <v>1030</v>
      </c>
      <c r="B1031" s="18" t="s">
        <v>5060</v>
      </c>
      <c r="C1031" s="26" t="s">
        <v>1673</v>
      </c>
      <c r="D1031" s="19">
        <v>4</v>
      </c>
    </row>
    <row r="1032" spans="1:4" x14ac:dyDescent="0.25">
      <c r="A1032" s="17">
        <v>1031</v>
      </c>
      <c r="B1032" s="18" t="s">
        <v>1976</v>
      </c>
      <c r="C1032" s="26" t="s">
        <v>1379</v>
      </c>
      <c r="D1032" s="38">
        <v>4</v>
      </c>
    </row>
    <row r="1033" spans="1:4" x14ac:dyDescent="0.25">
      <c r="A1033" s="17">
        <v>1032</v>
      </c>
      <c r="B1033" s="18" t="s">
        <v>2800</v>
      </c>
      <c r="C1033" s="26" t="s">
        <v>313</v>
      </c>
      <c r="D1033" s="19">
        <v>4</v>
      </c>
    </row>
    <row r="1034" spans="1:4" x14ac:dyDescent="0.25">
      <c r="A1034" s="17">
        <v>1033</v>
      </c>
      <c r="B1034" s="18" t="s">
        <v>1776</v>
      </c>
      <c r="C1034" s="26" t="s">
        <v>1688</v>
      </c>
      <c r="D1034" s="19">
        <v>4</v>
      </c>
    </row>
    <row r="1035" spans="1:4" x14ac:dyDescent="0.25">
      <c r="A1035" s="17">
        <v>1034</v>
      </c>
      <c r="B1035" s="18" t="s">
        <v>2711</v>
      </c>
      <c r="C1035" s="26" t="s">
        <v>259</v>
      </c>
      <c r="D1035" s="19">
        <v>4</v>
      </c>
    </row>
    <row r="1036" spans="1:4" x14ac:dyDescent="0.25">
      <c r="A1036" s="17">
        <v>1035</v>
      </c>
      <c r="B1036" s="18" t="s">
        <v>1769</v>
      </c>
      <c r="C1036" s="26" t="s">
        <v>1076</v>
      </c>
      <c r="D1036" s="19">
        <v>3</v>
      </c>
    </row>
    <row r="1037" spans="1:4" x14ac:dyDescent="0.25">
      <c r="A1037" s="17">
        <v>1036</v>
      </c>
      <c r="B1037" s="18" t="s">
        <v>2844</v>
      </c>
      <c r="C1037" s="26" t="s">
        <v>369</v>
      </c>
      <c r="D1037" s="19">
        <v>3</v>
      </c>
    </row>
    <row r="1038" spans="1:4" x14ac:dyDescent="0.25">
      <c r="A1038" s="17">
        <v>1037</v>
      </c>
      <c r="B1038" s="18" t="s">
        <v>2939</v>
      </c>
      <c r="C1038" s="26" t="s">
        <v>739</v>
      </c>
      <c r="D1038" s="19">
        <v>3</v>
      </c>
    </row>
    <row r="1039" spans="1:4" x14ac:dyDescent="0.25">
      <c r="A1039" s="17">
        <v>1038</v>
      </c>
      <c r="B1039" s="18" t="s">
        <v>1952</v>
      </c>
      <c r="C1039" s="26" t="s">
        <v>331</v>
      </c>
      <c r="D1039" s="19">
        <v>3</v>
      </c>
    </row>
    <row r="1040" spans="1:4" x14ac:dyDescent="0.25">
      <c r="A1040" s="17">
        <v>1039</v>
      </c>
      <c r="B1040" s="18" t="s">
        <v>1231</v>
      </c>
      <c r="C1040" s="26" t="s">
        <v>988</v>
      </c>
      <c r="D1040" s="19">
        <v>3</v>
      </c>
    </row>
    <row r="1041" spans="1:4" x14ac:dyDescent="0.25">
      <c r="A1041" s="17">
        <v>1040</v>
      </c>
      <c r="B1041" s="18" t="s">
        <v>1920</v>
      </c>
      <c r="C1041" s="18" t="s">
        <v>1921</v>
      </c>
      <c r="D1041" s="19">
        <v>3</v>
      </c>
    </row>
    <row r="1042" spans="1:4" x14ac:dyDescent="0.25">
      <c r="A1042" s="17">
        <v>1041</v>
      </c>
      <c r="B1042" s="18" t="s">
        <v>2960</v>
      </c>
      <c r="C1042" s="26" t="s">
        <v>106</v>
      </c>
      <c r="D1042" s="19">
        <v>3</v>
      </c>
    </row>
    <row r="1043" spans="1:4" x14ac:dyDescent="0.25">
      <c r="A1043" s="17">
        <v>1042</v>
      </c>
      <c r="B1043" s="18" t="s">
        <v>2404</v>
      </c>
      <c r="C1043" s="26" t="s">
        <v>2207</v>
      </c>
      <c r="D1043" s="19">
        <v>2</v>
      </c>
    </row>
    <row r="1044" spans="1:4" x14ac:dyDescent="0.25">
      <c r="A1044" s="17">
        <v>1043</v>
      </c>
      <c r="B1044" s="18" t="s">
        <v>5093</v>
      </c>
      <c r="C1044" s="26" t="s">
        <v>201</v>
      </c>
      <c r="D1044" s="19">
        <v>2</v>
      </c>
    </row>
    <row r="1045" spans="1:4" x14ac:dyDescent="0.25">
      <c r="A1045" s="17">
        <v>1044</v>
      </c>
      <c r="B1045" s="18" t="s">
        <v>1878</v>
      </c>
      <c r="C1045" s="26" t="s">
        <v>98</v>
      </c>
      <c r="D1045" s="38">
        <v>2</v>
      </c>
    </row>
    <row r="1046" spans="1:4" x14ac:dyDescent="0.25">
      <c r="A1046" s="17">
        <v>1045</v>
      </c>
      <c r="B1046" s="18" t="s">
        <v>2568</v>
      </c>
      <c r="C1046" s="26" t="s">
        <v>313</v>
      </c>
      <c r="D1046" s="19">
        <v>2</v>
      </c>
    </row>
    <row r="1047" spans="1:4" x14ac:dyDescent="0.25">
      <c r="A1047" s="17">
        <v>1046</v>
      </c>
      <c r="B1047" s="18" t="s">
        <v>833</v>
      </c>
      <c r="C1047" s="26" t="s">
        <v>161</v>
      </c>
      <c r="D1047" s="19">
        <v>2</v>
      </c>
    </row>
    <row r="1048" spans="1:4" x14ac:dyDescent="0.25">
      <c r="A1048" s="17">
        <v>1047</v>
      </c>
      <c r="B1048" s="18" t="s">
        <v>5146</v>
      </c>
      <c r="C1048" s="18" t="s">
        <v>901</v>
      </c>
      <c r="D1048" s="19">
        <v>2</v>
      </c>
    </row>
    <row r="1049" spans="1:4" x14ac:dyDescent="0.25">
      <c r="A1049" s="17">
        <v>1048</v>
      </c>
      <c r="B1049" s="18" t="s">
        <v>2368</v>
      </c>
      <c r="C1049" s="26" t="s">
        <v>186</v>
      </c>
      <c r="D1049" s="38">
        <v>2</v>
      </c>
    </row>
    <row r="1050" spans="1:4" x14ac:dyDescent="0.25">
      <c r="A1050" s="17">
        <v>1049</v>
      </c>
      <c r="B1050" s="18" t="s">
        <v>2985</v>
      </c>
      <c r="C1050" s="26" t="s">
        <v>162</v>
      </c>
      <c r="D1050" s="19">
        <v>2</v>
      </c>
    </row>
    <row r="1051" spans="1:4" x14ac:dyDescent="0.25">
      <c r="A1051" s="17">
        <v>1050</v>
      </c>
      <c r="B1051" s="18" t="s">
        <v>1994</v>
      </c>
      <c r="C1051" s="26" t="s">
        <v>1794</v>
      </c>
      <c r="D1051" s="19">
        <v>2</v>
      </c>
    </row>
    <row r="1052" spans="1:4" x14ac:dyDescent="0.25">
      <c r="A1052" s="17">
        <v>1051</v>
      </c>
      <c r="B1052" s="28" t="s">
        <v>1500</v>
      </c>
      <c r="C1052" s="26" t="s">
        <v>835</v>
      </c>
      <c r="D1052" s="38">
        <v>2</v>
      </c>
    </row>
    <row r="1053" spans="1:4" x14ac:dyDescent="0.25">
      <c r="A1053" s="17">
        <v>1052</v>
      </c>
      <c r="B1053" s="18" t="s">
        <v>2499</v>
      </c>
      <c r="C1053" s="26" t="s">
        <v>364</v>
      </c>
      <c r="D1053" s="38">
        <v>1</v>
      </c>
    </row>
    <row r="1054" spans="1:4" x14ac:dyDescent="0.25">
      <c r="A1054" s="17">
        <v>1053</v>
      </c>
      <c r="B1054" s="18" t="s">
        <v>5097</v>
      </c>
      <c r="C1054" s="26" t="s">
        <v>2207</v>
      </c>
      <c r="D1054" s="19">
        <v>1</v>
      </c>
    </row>
    <row r="1055" spans="1:4" x14ac:dyDescent="0.25">
      <c r="A1055" s="17">
        <v>1054</v>
      </c>
      <c r="B1055" s="18" t="s">
        <v>1867</v>
      </c>
      <c r="C1055" s="26" t="s">
        <v>1076</v>
      </c>
      <c r="D1055" s="38">
        <v>1</v>
      </c>
    </row>
    <row r="1056" spans="1:4" x14ac:dyDescent="0.25">
      <c r="A1056" s="17">
        <v>1055</v>
      </c>
      <c r="B1056" s="18" t="s">
        <v>2247</v>
      </c>
      <c r="C1056" s="26" t="s">
        <v>1076</v>
      </c>
      <c r="D1056" s="19">
        <v>1</v>
      </c>
    </row>
    <row r="1057" spans="1:4" x14ac:dyDescent="0.25">
      <c r="A1057" s="17">
        <v>1056</v>
      </c>
      <c r="B1057" s="18" t="s">
        <v>2457</v>
      </c>
      <c r="C1057" s="26" t="s">
        <v>353</v>
      </c>
      <c r="D1057" s="19">
        <v>1</v>
      </c>
    </row>
    <row r="1058" spans="1:4" x14ac:dyDescent="0.25">
      <c r="A1058" s="17">
        <v>1057</v>
      </c>
      <c r="B1058" s="18" t="s">
        <v>2945</v>
      </c>
      <c r="C1058" s="26" t="s">
        <v>369</v>
      </c>
      <c r="D1058" s="19">
        <v>1</v>
      </c>
    </row>
    <row r="1059" spans="1:4" x14ac:dyDescent="0.25">
      <c r="A1059" s="17">
        <v>1058</v>
      </c>
      <c r="B1059" s="18" t="s">
        <v>2100</v>
      </c>
      <c r="C1059" s="26" t="s">
        <v>1409</v>
      </c>
      <c r="D1059" s="19">
        <v>1</v>
      </c>
    </row>
    <row r="1060" spans="1:4" x14ac:dyDescent="0.25">
      <c r="A1060" s="17">
        <v>1059</v>
      </c>
      <c r="B1060" s="18" t="s">
        <v>4990</v>
      </c>
      <c r="C1060" s="26" t="s">
        <v>2324</v>
      </c>
      <c r="D1060" s="38">
        <v>1</v>
      </c>
    </row>
    <row r="1061" spans="1:4" x14ac:dyDescent="0.25">
      <c r="A1061" s="17">
        <v>1060</v>
      </c>
      <c r="B1061" s="18" t="s">
        <v>2746</v>
      </c>
      <c r="C1061" s="26" t="s">
        <v>764</v>
      </c>
      <c r="D1061" s="19">
        <v>1</v>
      </c>
    </row>
    <row r="1062" spans="1:4" x14ac:dyDescent="0.25">
      <c r="A1062" s="17">
        <v>1061</v>
      </c>
      <c r="B1062" s="18" t="s">
        <v>2971</v>
      </c>
      <c r="C1062" s="26" t="s">
        <v>764</v>
      </c>
      <c r="D1062" s="19">
        <v>1</v>
      </c>
    </row>
    <row r="1063" spans="1:4" x14ac:dyDescent="0.25">
      <c r="A1063" s="17">
        <v>1062</v>
      </c>
      <c r="B1063" s="18" t="s">
        <v>4934</v>
      </c>
      <c r="C1063" s="26" t="s">
        <v>878</v>
      </c>
      <c r="D1063" s="19">
        <v>1</v>
      </c>
    </row>
    <row r="1064" spans="1:4" x14ac:dyDescent="0.25">
      <c r="A1064" s="17">
        <v>1063</v>
      </c>
      <c r="B1064" s="18" t="s">
        <v>1458</v>
      </c>
      <c r="C1064" s="26" t="s">
        <v>878</v>
      </c>
      <c r="D1064" s="19">
        <v>1</v>
      </c>
    </row>
    <row r="1065" spans="1:4" x14ac:dyDescent="0.25">
      <c r="A1065" s="17">
        <v>1064</v>
      </c>
      <c r="B1065" s="18" t="s">
        <v>5090</v>
      </c>
      <c r="C1065" s="26" t="s">
        <v>161</v>
      </c>
      <c r="D1065" s="38">
        <v>1</v>
      </c>
    </row>
    <row r="1066" spans="1:4" x14ac:dyDescent="0.25">
      <c r="A1066" s="17">
        <v>1065</v>
      </c>
      <c r="B1066" s="28" t="s">
        <v>1505</v>
      </c>
      <c r="C1066" s="26" t="s">
        <v>94</v>
      </c>
      <c r="D1066" s="38">
        <v>1</v>
      </c>
    </row>
    <row r="1067" spans="1:4" x14ac:dyDescent="0.25">
      <c r="A1067" s="17">
        <v>1066</v>
      </c>
      <c r="B1067" s="18" t="s">
        <v>2448</v>
      </c>
      <c r="C1067" s="18" t="s">
        <v>927</v>
      </c>
      <c r="D1067" s="19">
        <v>1</v>
      </c>
    </row>
    <row r="1068" spans="1:4" x14ac:dyDescent="0.25">
      <c r="A1068" s="17">
        <v>1067</v>
      </c>
      <c r="B1068" s="18" t="s">
        <v>1572</v>
      </c>
      <c r="C1068" s="26" t="s">
        <v>162</v>
      </c>
      <c r="D1068" s="38">
        <v>1</v>
      </c>
    </row>
    <row r="1069" spans="1:4" x14ac:dyDescent="0.25">
      <c r="B1069" s="18" t="s">
        <v>2451</v>
      </c>
      <c r="C1069" s="26" t="s">
        <v>59</v>
      </c>
      <c r="D1069" s="38">
        <v>1</v>
      </c>
    </row>
    <row r="1070" spans="1:4" x14ac:dyDescent="0.25">
      <c r="B1070" s="18" t="s">
        <v>5010</v>
      </c>
      <c r="C1070" s="26" t="s">
        <v>77</v>
      </c>
      <c r="D1070" s="19">
        <v>1</v>
      </c>
    </row>
    <row r="1071" spans="1:4" x14ac:dyDescent="0.25">
      <c r="B1071" s="18" t="s">
        <v>2236</v>
      </c>
      <c r="C1071" s="26" t="s">
        <v>53</v>
      </c>
      <c r="D1071" s="19">
        <v>1</v>
      </c>
    </row>
    <row r="1072" spans="1:4" x14ac:dyDescent="0.25">
      <c r="B1072" s="18" t="s">
        <v>2251</v>
      </c>
      <c r="C1072" s="26" t="s">
        <v>916</v>
      </c>
      <c r="D1072" s="19">
        <v>1</v>
      </c>
    </row>
    <row r="1073" spans="2:4" x14ac:dyDescent="0.25">
      <c r="B1073" s="18" t="s">
        <v>1718</v>
      </c>
      <c r="C1073" s="26" t="s">
        <v>1242</v>
      </c>
      <c r="D1073" s="19">
        <v>1</v>
      </c>
    </row>
    <row r="1074" spans="2:4" x14ac:dyDescent="0.25">
      <c r="B1074" s="18" t="s">
        <v>5039</v>
      </c>
      <c r="C1074" s="26" t="s">
        <v>1688</v>
      </c>
      <c r="D1074" s="19">
        <v>1</v>
      </c>
    </row>
    <row r="1075" spans="2:4" x14ac:dyDescent="0.25">
      <c r="B1075" s="18" t="s">
        <v>1577</v>
      </c>
      <c r="C1075" s="18" t="s">
        <v>779</v>
      </c>
      <c r="D1075" s="19">
        <v>1</v>
      </c>
    </row>
    <row r="1076" spans="2:4" x14ac:dyDescent="0.25">
      <c r="B1076" s="18" t="s">
        <v>1494</v>
      </c>
      <c r="C1076" s="26" t="s">
        <v>259</v>
      </c>
      <c r="D1076" s="19">
        <v>1</v>
      </c>
    </row>
    <row r="1077" spans="2:4" x14ac:dyDescent="0.25">
      <c r="B1077" s="18" t="s">
        <v>2827</v>
      </c>
      <c r="C1077" s="26" t="s">
        <v>835</v>
      </c>
      <c r="D1077" s="19">
        <v>1</v>
      </c>
    </row>
    <row r="1078" spans="2:4" x14ac:dyDescent="0.25">
      <c r="C1078" s="26"/>
      <c r="D1078" s="13"/>
    </row>
    <row r="1079" spans="2:4" x14ac:dyDescent="0.25">
      <c r="C1079" s="26"/>
      <c r="D1079" s="8"/>
    </row>
    <row r="1080" spans="2:4" x14ac:dyDescent="0.25">
      <c r="C1080" s="26"/>
      <c r="D1080" s="13"/>
    </row>
    <row r="1081" spans="2:4" x14ac:dyDescent="0.25">
      <c r="B1081"/>
      <c r="C1081" s="26"/>
    </row>
    <row r="1082" spans="2:4" x14ac:dyDescent="0.25">
      <c r="B1082"/>
      <c r="C1082" s="26"/>
    </row>
    <row r="1083" spans="2:4" x14ac:dyDescent="0.25">
      <c r="B1083"/>
      <c r="C1083"/>
    </row>
    <row r="1084" spans="2:4" x14ac:dyDescent="0.25">
      <c r="B1084"/>
      <c r="C1084"/>
    </row>
    <row r="1085" spans="2:4" x14ac:dyDescent="0.25">
      <c r="B1085"/>
      <c r="C1085" s="26"/>
    </row>
    <row r="1086" spans="2:4" x14ac:dyDescent="0.25">
      <c r="B1086"/>
      <c r="C1086"/>
    </row>
    <row r="1087" spans="2:4" x14ac:dyDescent="0.25">
      <c r="B1087"/>
      <c r="C1087" s="26"/>
    </row>
    <row r="1088" spans="2:4" x14ac:dyDescent="0.25">
      <c r="B1088"/>
      <c r="C1088" s="26"/>
    </row>
    <row r="1089" spans="2:3" x14ac:dyDescent="0.25">
      <c r="B1089"/>
      <c r="C1089" s="26"/>
    </row>
    <row r="1090" spans="2:3" x14ac:dyDescent="0.25">
      <c r="B1090"/>
      <c r="C1090" s="26"/>
    </row>
    <row r="1091" spans="2:3" x14ac:dyDescent="0.25">
      <c r="B1091"/>
      <c r="C1091" s="26"/>
    </row>
    <row r="1092" spans="2:3" x14ac:dyDescent="0.25">
      <c r="B1092"/>
      <c r="C1092" s="26"/>
    </row>
    <row r="1093" spans="2:3" x14ac:dyDescent="0.25">
      <c r="B1093"/>
      <c r="C1093"/>
    </row>
    <row r="1094" spans="2:3" x14ac:dyDescent="0.25">
      <c r="B1094"/>
      <c r="C1094" s="26"/>
    </row>
    <row r="1095" spans="2:3" x14ac:dyDescent="0.25">
      <c r="B1095"/>
      <c r="C1095" s="26"/>
    </row>
    <row r="1096" spans="2:3" x14ac:dyDescent="0.25">
      <c r="B1096"/>
      <c r="C1096" s="26"/>
    </row>
    <row r="1097" spans="2:3" x14ac:dyDescent="0.25">
      <c r="B1097"/>
      <c r="C1097" s="26"/>
    </row>
    <row r="1098" spans="2:3" x14ac:dyDescent="0.25">
      <c r="B1098"/>
      <c r="C1098"/>
    </row>
    <row r="1099" spans="2:3" x14ac:dyDescent="0.25">
      <c r="B1099"/>
      <c r="C1099" s="26"/>
    </row>
    <row r="1100" spans="2:3" x14ac:dyDescent="0.25">
      <c r="B1100"/>
      <c r="C1100" s="26"/>
    </row>
    <row r="1101" spans="2:3" x14ac:dyDescent="0.25">
      <c r="B1101"/>
      <c r="C1101" s="26"/>
    </row>
  </sheetData>
  <sortState ref="B2:D1077">
    <sortCondition descending="1" ref="D2:D1077"/>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A1:A8"/>
  <sheetViews>
    <sheetView workbookViewId="0">
      <selection activeCell="A7" sqref="A7"/>
    </sheetView>
  </sheetViews>
  <sheetFormatPr defaultColWidth="8.85546875" defaultRowHeight="15" x14ac:dyDescent="0.25"/>
  <cols>
    <col min="1" max="2" width="8.85546875" style="18" customWidth="1"/>
    <col min="3" max="16384" width="8.85546875" style="18"/>
  </cols>
  <sheetData>
    <row r="1" spans="1:1" x14ac:dyDescent="0.25">
      <c r="A1" t="s">
        <v>3065</v>
      </c>
    </row>
    <row r="2" spans="1:1" x14ac:dyDescent="0.25">
      <c r="A2" t="s">
        <v>3066</v>
      </c>
    </row>
    <row r="4" spans="1:1" x14ac:dyDescent="0.25">
      <c r="A4" t="s">
        <v>3067</v>
      </c>
    </row>
    <row r="6" spans="1:1" x14ac:dyDescent="0.25">
      <c r="A6" t="s">
        <v>3068</v>
      </c>
    </row>
    <row r="7" spans="1:1" x14ac:dyDescent="0.25">
      <c r="A7" t="s">
        <v>3069</v>
      </c>
    </row>
    <row r="8" spans="1:1" x14ac:dyDescent="0.25">
      <c r="A8" t="s">
        <v>3070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25"/>
  <sheetViews>
    <sheetView tabSelected="1" workbookViewId="0">
      <selection sqref="A1:XFD1"/>
    </sheetView>
  </sheetViews>
  <sheetFormatPr defaultColWidth="8.85546875" defaultRowHeight="15" x14ac:dyDescent="0.25"/>
  <cols>
    <col min="1" max="1" width="11.28515625" style="18" customWidth="1"/>
    <col min="2" max="2" width="31.7109375" style="18" customWidth="1"/>
    <col min="3" max="3" width="9.7109375" style="18" customWidth="1"/>
    <col min="4" max="4" width="8.28515625" style="13" customWidth="1"/>
    <col min="5" max="5" width="9.85546875" style="13" customWidth="1"/>
    <col min="6" max="6" width="8.140625" style="13" customWidth="1"/>
    <col min="7" max="7" width="19" style="18" customWidth="1"/>
    <col min="8" max="9" width="8.85546875" style="18" customWidth="1"/>
    <col min="10" max="10" width="29.140625" style="18" customWidth="1"/>
    <col min="11" max="11" width="8.85546875" style="18" customWidth="1"/>
    <col min="12" max="12" width="23.42578125" style="18" customWidth="1"/>
    <col min="13" max="16" width="8.85546875" style="18"/>
    <col min="18" max="16384" width="8.85546875" style="18"/>
  </cols>
  <sheetData>
    <row r="1" spans="1:16" x14ac:dyDescent="0.25">
      <c r="A1" s="40" t="s">
        <v>3062</v>
      </c>
      <c r="B1" s="4" t="s">
        <v>3071</v>
      </c>
      <c r="C1" s="4" t="s">
        <v>3072</v>
      </c>
      <c r="D1" s="8" t="s">
        <v>3073</v>
      </c>
      <c r="E1" s="8" t="s">
        <v>3074</v>
      </c>
      <c r="F1" s="8" t="s">
        <v>3075</v>
      </c>
      <c r="G1" s="4" t="s">
        <v>3076</v>
      </c>
      <c r="L1" s="18" t="s">
        <v>8</v>
      </c>
      <c r="M1" s="18" t="s">
        <v>5148</v>
      </c>
      <c r="N1" s="19" t="s">
        <v>5149</v>
      </c>
      <c r="O1" s="19" t="s">
        <v>3074</v>
      </c>
      <c r="P1" s="35" t="s">
        <v>3075</v>
      </c>
    </row>
    <row r="2" spans="1:16" x14ac:dyDescent="0.25">
      <c r="A2" s="40">
        <v>1</v>
      </c>
      <c r="B2" s="4" t="s">
        <v>192</v>
      </c>
      <c r="C2" s="4">
        <v>15</v>
      </c>
      <c r="D2" s="8">
        <v>49607</v>
      </c>
      <c r="E2" s="8">
        <v>3097</v>
      </c>
      <c r="F2" s="8">
        <v>3307.13</v>
      </c>
      <c r="G2" s="41" t="s">
        <v>3972</v>
      </c>
      <c r="L2" s="18" t="s">
        <v>1614</v>
      </c>
      <c r="M2" s="18">
        <v>6</v>
      </c>
      <c r="N2" s="19">
        <v>3270</v>
      </c>
      <c r="O2" s="19">
        <v>269</v>
      </c>
      <c r="P2" s="19">
        <v>545</v>
      </c>
    </row>
    <row r="3" spans="1:16" x14ac:dyDescent="0.25">
      <c r="A3" s="40">
        <v>2</v>
      </c>
      <c r="B3" s="4" t="s">
        <v>72</v>
      </c>
      <c r="C3" s="4">
        <v>7</v>
      </c>
      <c r="D3" s="8">
        <v>16603</v>
      </c>
      <c r="E3" s="8">
        <v>2590</v>
      </c>
      <c r="F3" s="8">
        <v>2371.86</v>
      </c>
      <c r="G3" s="41" t="s">
        <v>3877</v>
      </c>
      <c r="L3" s="18" t="s">
        <v>140</v>
      </c>
      <c r="M3" s="18">
        <v>13</v>
      </c>
      <c r="N3" s="19">
        <v>37482</v>
      </c>
      <c r="O3" s="19">
        <v>1638</v>
      </c>
      <c r="P3" s="19">
        <v>2883.23</v>
      </c>
    </row>
    <row r="4" spans="1:16" x14ac:dyDescent="0.25">
      <c r="A4" s="40">
        <v>3</v>
      </c>
      <c r="B4" s="4" t="s">
        <v>88</v>
      </c>
      <c r="C4" s="4">
        <v>24</v>
      </c>
      <c r="D4" s="8">
        <v>106398</v>
      </c>
      <c r="E4" s="8">
        <v>2402.5</v>
      </c>
      <c r="F4" s="8">
        <v>4433.25</v>
      </c>
      <c r="G4" s="41" t="s">
        <v>3920</v>
      </c>
      <c r="L4" s="18" t="s">
        <v>364</v>
      </c>
      <c r="M4" s="18">
        <v>7</v>
      </c>
      <c r="N4" s="19">
        <v>461</v>
      </c>
      <c r="O4" s="19">
        <v>24</v>
      </c>
      <c r="P4" s="35">
        <v>65.86</v>
      </c>
    </row>
    <row r="5" spans="1:16" x14ac:dyDescent="0.25">
      <c r="A5" s="40">
        <v>4</v>
      </c>
      <c r="B5" s="4" t="s">
        <v>1266</v>
      </c>
      <c r="C5" s="4">
        <v>6</v>
      </c>
      <c r="D5" s="8">
        <v>11910</v>
      </c>
      <c r="E5" s="8">
        <v>2073.5</v>
      </c>
      <c r="F5" s="8">
        <v>1985</v>
      </c>
      <c r="G5" s="41" t="s">
        <v>3899</v>
      </c>
      <c r="L5" s="18" t="s">
        <v>2207</v>
      </c>
      <c r="M5" s="18">
        <v>7</v>
      </c>
      <c r="N5" s="19">
        <v>1212</v>
      </c>
      <c r="O5" s="19">
        <v>15</v>
      </c>
      <c r="P5" s="19">
        <v>173.14</v>
      </c>
    </row>
    <row r="6" spans="1:16" x14ac:dyDescent="0.25">
      <c r="A6" s="40">
        <v>5</v>
      </c>
      <c r="B6" s="4" t="s">
        <v>788</v>
      </c>
      <c r="C6" s="4">
        <v>15</v>
      </c>
      <c r="D6" s="8">
        <v>40598</v>
      </c>
      <c r="E6" s="8">
        <v>1888</v>
      </c>
      <c r="F6" s="8">
        <v>2706.53</v>
      </c>
      <c r="G6" s="41" t="s">
        <v>3911</v>
      </c>
      <c r="L6" s="18" t="s">
        <v>82</v>
      </c>
      <c r="M6" s="18">
        <v>8</v>
      </c>
      <c r="N6" s="19">
        <v>3113</v>
      </c>
      <c r="O6" s="19">
        <v>256.5</v>
      </c>
      <c r="P6" s="19">
        <v>389.13</v>
      </c>
    </row>
    <row r="7" spans="1:16" x14ac:dyDescent="0.25">
      <c r="A7" s="40">
        <v>6</v>
      </c>
      <c r="B7" s="4" t="s">
        <v>140</v>
      </c>
      <c r="C7" s="4">
        <v>13</v>
      </c>
      <c r="D7" s="8">
        <v>37482</v>
      </c>
      <c r="E7" s="8">
        <v>1638</v>
      </c>
      <c r="F7" s="8">
        <v>2883.23</v>
      </c>
      <c r="G7" s="41" t="s">
        <v>3869</v>
      </c>
      <c r="L7" s="18" t="s">
        <v>1076</v>
      </c>
      <c r="M7" s="18">
        <v>9</v>
      </c>
      <c r="N7" s="19">
        <v>1933</v>
      </c>
      <c r="O7" s="19">
        <v>32</v>
      </c>
      <c r="P7" s="19">
        <v>214.78</v>
      </c>
    </row>
    <row r="8" spans="1:16" x14ac:dyDescent="0.25">
      <c r="A8" s="40">
        <v>7</v>
      </c>
      <c r="B8" s="4" t="s">
        <v>67</v>
      </c>
      <c r="C8" s="4">
        <v>15</v>
      </c>
      <c r="D8" s="8">
        <v>23652</v>
      </c>
      <c r="E8" s="8">
        <v>1606</v>
      </c>
      <c r="F8" s="8">
        <v>1576.8</v>
      </c>
      <c r="G8" s="41" t="s">
        <v>3905</v>
      </c>
      <c r="L8" s="18" t="s">
        <v>47</v>
      </c>
      <c r="M8" s="18">
        <v>8</v>
      </c>
      <c r="N8" s="19">
        <v>1849</v>
      </c>
      <c r="O8" s="19">
        <v>165</v>
      </c>
      <c r="P8" s="19">
        <v>231.13</v>
      </c>
    </row>
    <row r="9" spans="1:16" x14ac:dyDescent="0.25">
      <c r="A9" s="40">
        <v>8</v>
      </c>
      <c r="B9" s="4" t="s">
        <v>41</v>
      </c>
      <c r="C9" s="4">
        <v>15</v>
      </c>
      <c r="D9" s="8">
        <v>74461</v>
      </c>
      <c r="E9" s="8">
        <v>1464</v>
      </c>
      <c r="F9" s="8">
        <v>4964.07</v>
      </c>
      <c r="G9" s="41" t="s">
        <v>3918</v>
      </c>
      <c r="L9" s="18" t="s">
        <v>304</v>
      </c>
      <c r="M9" s="18">
        <v>9</v>
      </c>
      <c r="N9" s="19">
        <v>4437</v>
      </c>
      <c r="O9" s="19">
        <v>384</v>
      </c>
      <c r="P9" s="19">
        <v>493</v>
      </c>
    </row>
    <row r="10" spans="1:16" x14ac:dyDescent="0.25">
      <c r="A10" s="40">
        <v>9</v>
      </c>
      <c r="B10" s="4" t="s">
        <v>59</v>
      </c>
      <c r="C10" s="4">
        <v>8</v>
      </c>
      <c r="D10" s="8">
        <v>12663</v>
      </c>
      <c r="E10" s="8">
        <v>1423.5</v>
      </c>
      <c r="F10" s="8">
        <v>1582.88</v>
      </c>
      <c r="G10" s="41" t="s">
        <v>3943</v>
      </c>
      <c r="L10" s="18" t="s">
        <v>146</v>
      </c>
      <c r="M10" s="18">
        <v>10</v>
      </c>
      <c r="N10" s="19">
        <v>6901</v>
      </c>
      <c r="O10" s="19">
        <v>452.5</v>
      </c>
      <c r="P10" s="19">
        <v>690.1</v>
      </c>
    </row>
    <row r="11" spans="1:16" x14ac:dyDescent="0.25">
      <c r="A11" s="40">
        <v>10</v>
      </c>
      <c r="B11" s="4" t="s">
        <v>94</v>
      </c>
      <c r="C11" s="4">
        <v>15</v>
      </c>
      <c r="D11" s="8">
        <v>35951</v>
      </c>
      <c r="E11" s="8">
        <v>1361</v>
      </c>
      <c r="F11" s="8">
        <v>2396.73</v>
      </c>
      <c r="G11" s="41" t="s">
        <v>3921</v>
      </c>
      <c r="L11" s="18" t="s">
        <v>72</v>
      </c>
      <c r="M11" s="18">
        <v>7</v>
      </c>
      <c r="N11" s="19">
        <v>16603</v>
      </c>
      <c r="O11" s="19">
        <v>2590</v>
      </c>
      <c r="P11" s="19">
        <v>2371.86</v>
      </c>
    </row>
    <row r="12" spans="1:16" x14ac:dyDescent="0.25">
      <c r="A12" s="40">
        <v>11</v>
      </c>
      <c r="B12" s="4" t="s">
        <v>123</v>
      </c>
      <c r="C12" s="4">
        <v>26</v>
      </c>
      <c r="D12" s="8">
        <v>63414</v>
      </c>
      <c r="E12" s="8">
        <v>1209</v>
      </c>
      <c r="F12" s="8">
        <v>2439</v>
      </c>
      <c r="G12" s="41" t="s">
        <v>3896</v>
      </c>
      <c r="L12" s="18" t="s">
        <v>152</v>
      </c>
      <c r="M12" s="18">
        <v>15</v>
      </c>
      <c r="N12" s="19">
        <v>27699</v>
      </c>
      <c r="O12" s="19">
        <v>415</v>
      </c>
      <c r="P12" s="19">
        <v>1846.6</v>
      </c>
    </row>
    <row r="13" spans="1:16" x14ac:dyDescent="0.25">
      <c r="A13" s="40">
        <v>12</v>
      </c>
      <c r="B13" s="4" t="s">
        <v>331</v>
      </c>
      <c r="C13" s="4">
        <v>6</v>
      </c>
      <c r="D13" s="8">
        <v>20628</v>
      </c>
      <c r="E13" s="8">
        <v>1203</v>
      </c>
      <c r="F13" s="8">
        <v>3438</v>
      </c>
      <c r="G13" s="41" t="s">
        <v>3917</v>
      </c>
      <c r="L13" s="18" t="s">
        <v>1032</v>
      </c>
      <c r="M13" s="18">
        <v>8</v>
      </c>
      <c r="N13" s="19">
        <v>3537</v>
      </c>
      <c r="O13" s="19">
        <v>105</v>
      </c>
      <c r="P13" s="19">
        <v>442.13</v>
      </c>
    </row>
    <row r="14" spans="1:16" x14ac:dyDescent="0.25">
      <c r="A14" s="40">
        <v>13</v>
      </c>
      <c r="B14" s="4" t="s">
        <v>34</v>
      </c>
      <c r="C14" s="4">
        <v>17</v>
      </c>
      <c r="D14" s="8">
        <v>51097</v>
      </c>
      <c r="E14" s="8">
        <v>1080</v>
      </c>
      <c r="F14" s="8">
        <v>3005.71</v>
      </c>
      <c r="G14" s="41" t="s">
        <v>3886</v>
      </c>
      <c r="L14" s="18" t="s">
        <v>201</v>
      </c>
      <c r="M14" s="18">
        <v>6</v>
      </c>
      <c r="N14" s="19">
        <v>3035</v>
      </c>
      <c r="O14" s="19">
        <v>171.5</v>
      </c>
      <c r="P14" s="19">
        <v>505.83</v>
      </c>
    </row>
    <row r="15" spans="1:16" x14ac:dyDescent="0.25">
      <c r="A15" s="40">
        <v>14</v>
      </c>
      <c r="B15" s="4" t="s">
        <v>3077</v>
      </c>
      <c r="C15" s="4">
        <v>7</v>
      </c>
      <c r="D15" s="8">
        <v>7618</v>
      </c>
      <c r="E15" s="8">
        <v>1075</v>
      </c>
      <c r="F15" s="42">
        <v>1088.29</v>
      </c>
      <c r="G15" s="41" t="s">
        <v>3916</v>
      </c>
      <c r="L15" s="18" t="s">
        <v>2015</v>
      </c>
      <c r="M15" s="18">
        <v>2</v>
      </c>
      <c r="N15" s="19">
        <v>75</v>
      </c>
      <c r="O15" s="19">
        <v>37.5</v>
      </c>
      <c r="P15" s="19">
        <v>37.5</v>
      </c>
    </row>
    <row r="16" spans="1:16" x14ac:dyDescent="0.25">
      <c r="A16" s="40">
        <v>15</v>
      </c>
      <c r="B16" s="4" t="s">
        <v>119</v>
      </c>
      <c r="C16" s="4">
        <v>11</v>
      </c>
      <c r="D16" s="8">
        <v>35630</v>
      </c>
      <c r="E16" s="8">
        <v>1066</v>
      </c>
      <c r="F16" s="8">
        <v>3239.09</v>
      </c>
      <c r="G16" s="41" t="s">
        <v>3947</v>
      </c>
      <c r="L16" s="18" t="s">
        <v>353</v>
      </c>
      <c r="M16" s="18">
        <v>2</v>
      </c>
      <c r="N16" s="19">
        <v>205</v>
      </c>
      <c r="O16" s="19">
        <v>102.5</v>
      </c>
      <c r="P16" s="19">
        <v>102.5</v>
      </c>
    </row>
    <row r="17" spans="1:16" x14ac:dyDescent="0.25">
      <c r="A17" s="40">
        <v>16</v>
      </c>
      <c r="B17" s="4" t="s">
        <v>259</v>
      </c>
      <c r="C17" s="4">
        <v>19</v>
      </c>
      <c r="D17" s="8">
        <v>19355</v>
      </c>
      <c r="E17" s="8">
        <v>991</v>
      </c>
      <c r="F17" s="8">
        <v>1018.68</v>
      </c>
      <c r="G17" s="41" t="s">
        <v>3965</v>
      </c>
      <c r="L17" s="18" t="s">
        <v>145</v>
      </c>
      <c r="M17" s="18">
        <v>7</v>
      </c>
      <c r="N17" s="19">
        <v>8242</v>
      </c>
      <c r="O17" s="19">
        <v>355</v>
      </c>
      <c r="P17" s="19">
        <v>1177.43</v>
      </c>
    </row>
    <row r="18" spans="1:16" x14ac:dyDescent="0.25">
      <c r="A18" s="40">
        <v>17</v>
      </c>
      <c r="B18" s="4" t="s">
        <v>779</v>
      </c>
      <c r="C18" s="4">
        <v>12</v>
      </c>
      <c r="D18" s="8">
        <v>26288</v>
      </c>
      <c r="E18" s="8">
        <v>930</v>
      </c>
      <c r="F18" s="8">
        <v>2190.67</v>
      </c>
      <c r="G18" s="41" t="s">
        <v>3958</v>
      </c>
      <c r="L18" s="18" t="s">
        <v>83</v>
      </c>
      <c r="M18" s="18">
        <v>10</v>
      </c>
      <c r="N18" s="19">
        <v>8121</v>
      </c>
      <c r="O18" s="19">
        <v>564</v>
      </c>
      <c r="P18" s="19">
        <v>812.1</v>
      </c>
    </row>
    <row r="19" spans="1:16" x14ac:dyDescent="0.25">
      <c r="A19" s="40">
        <v>18</v>
      </c>
      <c r="B19" s="4" t="s">
        <v>728</v>
      </c>
      <c r="C19" s="4">
        <v>5</v>
      </c>
      <c r="D19" s="8">
        <v>14322</v>
      </c>
      <c r="E19" s="8">
        <v>885</v>
      </c>
      <c r="F19" s="8">
        <v>2864.4</v>
      </c>
      <c r="G19" s="41" t="s">
        <v>3956</v>
      </c>
      <c r="L19" s="18" t="s">
        <v>219</v>
      </c>
      <c r="M19" s="18">
        <v>13</v>
      </c>
      <c r="N19" s="19">
        <v>18356</v>
      </c>
      <c r="O19" s="19">
        <v>730</v>
      </c>
      <c r="P19" s="35">
        <v>1412</v>
      </c>
    </row>
    <row r="20" spans="1:16" x14ac:dyDescent="0.25">
      <c r="A20" s="40">
        <v>19</v>
      </c>
      <c r="B20" s="4" t="s">
        <v>114</v>
      </c>
      <c r="C20" s="4">
        <v>13</v>
      </c>
      <c r="D20" s="8">
        <v>19100</v>
      </c>
      <c r="E20" s="8">
        <v>842</v>
      </c>
      <c r="F20" s="8">
        <v>1469.23</v>
      </c>
      <c r="G20" s="41" t="s">
        <v>3925</v>
      </c>
      <c r="L20" s="18" t="s">
        <v>34</v>
      </c>
      <c r="M20" s="18">
        <v>17</v>
      </c>
      <c r="N20" s="19">
        <v>51097</v>
      </c>
      <c r="O20" s="19">
        <v>1080</v>
      </c>
      <c r="P20" s="19">
        <v>3005.71</v>
      </c>
    </row>
    <row r="21" spans="1:16" x14ac:dyDescent="0.25">
      <c r="A21" s="40">
        <v>20</v>
      </c>
      <c r="B21" s="4" t="s">
        <v>77</v>
      </c>
      <c r="C21" s="4">
        <v>22</v>
      </c>
      <c r="D21" s="8">
        <v>32260</v>
      </c>
      <c r="E21" s="8">
        <v>784.5</v>
      </c>
      <c r="F21" s="8">
        <v>1466.36</v>
      </c>
      <c r="G21" s="41" t="s">
        <v>3946</v>
      </c>
      <c r="L21" s="18" t="s">
        <v>1673</v>
      </c>
      <c r="M21" s="18">
        <v>4</v>
      </c>
      <c r="N21" s="19">
        <v>889</v>
      </c>
      <c r="O21" s="19">
        <v>64</v>
      </c>
      <c r="P21" s="19">
        <v>222.25</v>
      </c>
    </row>
    <row r="22" spans="1:16" x14ac:dyDescent="0.25">
      <c r="A22" s="40">
        <v>21</v>
      </c>
      <c r="B22" s="4" t="s">
        <v>168</v>
      </c>
      <c r="C22" s="4">
        <v>14</v>
      </c>
      <c r="D22" s="8">
        <v>25331</v>
      </c>
      <c r="E22" s="8">
        <v>754</v>
      </c>
      <c r="F22" s="8">
        <v>1809.36</v>
      </c>
      <c r="G22" s="41" t="s">
        <v>3968</v>
      </c>
      <c r="L22" s="18" t="s">
        <v>369</v>
      </c>
      <c r="M22" s="18">
        <v>11</v>
      </c>
      <c r="N22" s="19">
        <v>2688</v>
      </c>
      <c r="O22" s="19">
        <v>116</v>
      </c>
      <c r="P22" s="19">
        <v>244.36</v>
      </c>
    </row>
    <row r="23" spans="1:16" x14ac:dyDescent="0.25">
      <c r="A23" s="40">
        <v>22</v>
      </c>
      <c r="B23" s="4" t="s">
        <v>87</v>
      </c>
      <c r="C23" s="4">
        <v>15</v>
      </c>
      <c r="D23" s="8">
        <v>9815</v>
      </c>
      <c r="E23" s="8">
        <v>746</v>
      </c>
      <c r="F23" s="8">
        <v>654.33000000000004</v>
      </c>
      <c r="G23" s="41" t="s">
        <v>3924</v>
      </c>
      <c r="L23" s="18" t="s">
        <v>739</v>
      </c>
      <c r="M23" s="18">
        <v>6</v>
      </c>
      <c r="N23" s="19">
        <v>1305</v>
      </c>
      <c r="O23" s="19">
        <v>64.5</v>
      </c>
      <c r="P23" s="19">
        <v>217.5</v>
      </c>
    </row>
    <row r="24" spans="1:16" x14ac:dyDescent="0.25">
      <c r="A24" s="40">
        <v>23</v>
      </c>
      <c r="B24" s="4" t="s">
        <v>219</v>
      </c>
      <c r="C24" s="4">
        <v>13</v>
      </c>
      <c r="D24" s="8">
        <v>18356</v>
      </c>
      <c r="E24" s="8">
        <v>730</v>
      </c>
      <c r="F24" s="42">
        <v>1412</v>
      </c>
      <c r="G24" s="41" t="s">
        <v>3885</v>
      </c>
      <c r="L24" s="18" t="s">
        <v>1379</v>
      </c>
      <c r="M24" s="18">
        <v>9</v>
      </c>
      <c r="N24" s="19">
        <v>711</v>
      </c>
      <c r="O24" s="19">
        <v>48</v>
      </c>
      <c r="P24" s="19">
        <v>79</v>
      </c>
    </row>
    <row r="25" spans="1:16" x14ac:dyDescent="0.25">
      <c r="A25" s="40">
        <v>24</v>
      </c>
      <c r="B25" s="4" t="s">
        <v>825</v>
      </c>
      <c r="C25" s="4">
        <v>6</v>
      </c>
      <c r="D25" s="8">
        <v>3729</v>
      </c>
      <c r="E25" s="8">
        <v>717.5</v>
      </c>
      <c r="F25" s="8">
        <v>621.5</v>
      </c>
      <c r="G25" s="41" t="s">
        <v>3944</v>
      </c>
      <c r="L25" s="18" t="s">
        <v>128</v>
      </c>
      <c r="M25" s="18">
        <v>8</v>
      </c>
      <c r="N25" s="19">
        <v>13267</v>
      </c>
      <c r="O25" s="19">
        <v>650.5</v>
      </c>
      <c r="P25" s="19">
        <v>1658.38</v>
      </c>
    </row>
    <row r="26" spans="1:16" x14ac:dyDescent="0.25">
      <c r="A26" s="40">
        <v>25</v>
      </c>
      <c r="B26" s="4" t="s">
        <v>181</v>
      </c>
      <c r="C26" s="4">
        <v>19</v>
      </c>
      <c r="D26" s="8">
        <v>28401</v>
      </c>
      <c r="E26" s="8">
        <v>715</v>
      </c>
      <c r="F26" s="8">
        <v>1494.79</v>
      </c>
      <c r="G26" s="41" t="s">
        <v>3937</v>
      </c>
      <c r="L26" s="18" t="s">
        <v>212</v>
      </c>
      <c r="M26" s="18">
        <v>2</v>
      </c>
      <c r="N26" s="19">
        <v>611</v>
      </c>
      <c r="O26" s="19">
        <v>305.5</v>
      </c>
      <c r="P26" s="19">
        <v>305.5</v>
      </c>
    </row>
    <row r="27" spans="1:16" ht="24" customHeight="1" x14ac:dyDescent="0.25">
      <c r="A27" s="40">
        <v>26</v>
      </c>
      <c r="B27" s="4" t="s">
        <v>220</v>
      </c>
      <c r="C27" s="4">
        <v>12</v>
      </c>
      <c r="D27" s="8">
        <v>20630</v>
      </c>
      <c r="E27" s="8">
        <v>709.5</v>
      </c>
      <c r="F27" s="8">
        <v>1719.17</v>
      </c>
      <c r="G27" s="41" t="s">
        <v>3955</v>
      </c>
      <c r="L27" s="18" t="s">
        <v>564</v>
      </c>
      <c r="M27" s="18">
        <v>9</v>
      </c>
      <c r="N27" s="19">
        <v>5366</v>
      </c>
      <c r="O27" s="19">
        <v>465</v>
      </c>
      <c r="P27" s="19">
        <v>596.22</v>
      </c>
    </row>
    <row r="28" spans="1:16" x14ac:dyDescent="0.25">
      <c r="A28" s="40">
        <v>27</v>
      </c>
      <c r="B28" s="4" t="s">
        <v>277</v>
      </c>
      <c r="C28" s="4">
        <v>14</v>
      </c>
      <c r="D28" s="8">
        <v>51607</v>
      </c>
      <c r="E28" s="8">
        <v>677.5</v>
      </c>
      <c r="F28" s="8">
        <v>3686.21</v>
      </c>
      <c r="G28" s="41" t="s">
        <v>3927</v>
      </c>
      <c r="L28" s="18" t="s">
        <v>1409</v>
      </c>
      <c r="M28" s="18">
        <v>6</v>
      </c>
      <c r="N28" s="19">
        <v>361</v>
      </c>
      <c r="O28" s="19">
        <v>20.5</v>
      </c>
      <c r="P28" s="19">
        <v>60.17</v>
      </c>
    </row>
    <row r="29" spans="1:16" x14ac:dyDescent="0.25">
      <c r="A29" s="40">
        <v>28</v>
      </c>
      <c r="B29" s="4" t="s">
        <v>128</v>
      </c>
      <c r="C29" s="4">
        <v>8</v>
      </c>
      <c r="D29" s="8">
        <v>13267</v>
      </c>
      <c r="E29" s="8">
        <v>650.5</v>
      </c>
      <c r="F29" s="8">
        <v>1658.38</v>
      </c>
      <c r="G29" s="41" t="s">
        <v>3891</v>
      </c>
      <c r="L29" s="18" t="s">
        <v>2324</v>
      </c>
      <c r="M29" s="18">
        <v>4</v>
      </c>
      <c r="N29" s="19">
        <v>556</v>
      </c>
      <c r="O29" s="19">
        <v>155</v>
      </c>
      <c r="P29" s="19">
        <v>139</v>
      </c>
    </row>
    <row r="30" spans="1:16" x14ac:dyDescent="0.25">
      <c r="A30" s="40">
        <v>29</v>
      </c>
      <c r="B30" s="4" t="s">
        <v>1255</v>
      </c>
      <c r="C30" s="4">
        <v>4</v>
      </c>
      <c r="D30" s="8">
        <v>4372</v>
      </c>
      <c r="E30" s="8">
        <v>640.5</v>
      </c>
      <c r="F30" s="8">
        <v>1093</v>
      </c>
      <c r="G30" s="41" t="s">
        <v>3975</v>
      </c>
      <c r="L30" s="18" t="s">
        <v>123</v>
      </c>
      <c r="M30" s="18">
        <v>26</v>
      </c>
      <c r="N30" s="19">
        <v>63414</v>
      </c>
      <c r="O30" s="19">
        <v>1209</v>
      </c>
      <c r="P30" s="19">
        <v>2439</v>
      </c>
    </row>
    <row r="31" spans="1:16" x14ac:dyDescent="0.25">
      <c r="A31" s="40">
        <v>30</v>
      </c>
      <c r="B31" s="4" t="s">
        <v>134</v>
      </c>
      <c r="C31" s="4">
        <v>17</v>
      </c>
      <c r="D31" s="8">
        <v>34308</v>
      </c>
      <c r="E31" s="8">
        <v>615</v>
      </c>
      <c r="F31" s="8">
        <v>2018.12</v>
      </c>
      <c r="G31" s="41" t="s">
        <v>3919</v>
      </c>
      <c r="L31" s="18" t="s">
        <v>886</v>
      </c>
      <c r="M31" s="18">
        <v>8</v>
      </c>
      <c r="N31" s="19">
        <v>758</v>
      </c>
      <c r="O31" s="19">
        <v>53</v>
      </c>
      <c r="P31" s="19">
        <v>94.75</v>
      </c>
    </row>
    <row r="32" spans="1:16" x14ac:dyDescent="0.25">
      <c r="A32" s="40">
        <v>31</v>
      </c>
      <c r="B32" s="4" t="s">
        <v>1627</v>
      </c>
      <c r="C32" s="4">
        <v>11</v>
      </c>
      <c r="D32" s="8">
        <v>8996</v>
      </c>
      <c r="E32" s="8">
        <v>606</v>
      </c>
      <c r="F32" s="8">
        <v>817.82</v>
      </c>
      <c r="G32" s="41" t="s">
        <v>3904</v>
      </c>
      <c r="L32" s="18" t="s">
        <v>843</v>
      </c>
      <c r="M32" s="18">
        <v>7</v>
      </c>
      <c r="N32" s="19">
        <v>1554</v>
      </c>
      <c r="O32" s="19">
        <v>53</v>
      </c>
      <c r="P32" s="19">
        <v>222</v>
      </c>
    </row>
    <row r="33" spans="1:16" x14ac:dyDescent="0.25">
      <c r="A33" s="40">
        <v>32</v>
      </c>
      <c r="B33" s="4" t="s">
        <v>337</v>
      </c>
      <c r="C33" s="4">
        <v>17</v>
      </c>
      <c r="D33" s="8">
        <v>17974</v>
      </c>
      <c r="E33" s="8">
        <v>605</v>
      </c>
      <c r="F33" s="8">
        <v>1057.29</v>
      </c>
      <c r="G33" s="41" t="s">
        <v>3902</v>
      </c>
      <c r="L33" s="18" t="s">
        <v>1266</v>
      </c>
      <c r="M33" s="18">
        <v>6</v>
      </c>
      <c r="N33" s="19">
        <v>11910</v>
      </c>
      <c r="O33" s="19">
        <v>2073.5</v>
      </c>
      <c r="P33" s="19">
        <v>1985</v>
      </c>
    </row>
    <row r="34" spans="1:16" x14ac:dyDescent="0.25">
      <c r="A34" s="40">
        <v>33</v>
      </c>
      <c r="B34" s="4" t="s">
        <v>858</v>
      </c>
      <c r="C34" s="4">
        <v>11</v>
      </c>
      <c r="D34" s="8">
        <v>14636</v>
      </c>
      <c r="E34" s="8">
        <v>590</v>
      </c>
      <c r="F34" s="8">
        <v>1330.55</v>
      </c>
      <c r="G34" s="41" t="s">
        <v>3979</v>
      </c>
      <c r="L34" s="18" t="s">
        <v>296</v>
      </c>
      <c r="M34" s="18">
        <v>6</v>
      </c>
      <c r="N34" s="19">
        <v>6746</v>
      </c>
      <c r="O34" s="19">
        <v>179.5</v>
      </c>
      <c r="P34" s="19">
        <v>1124.33</v>
      </c>
    </row>
    <row r="35" spans="1:16" x14ac:dyDescent="0.25">
      <c r="A35" s="40">
        <v>34</v>
      </c>
      <c r="B35" s="4" t="s">
        <v>830</v>
      </c>
      <c r="C35" s="4">
        <v>9</v>
      </c>
      <c r="D35" s="8">
        <v>8531</v>
      </c>
      <c r="E35" s="8">
        <v>575</v>
      </c>
      <c r="F35" s="8">
        <v>947.89</v>
      </c>
      <c r="G35" s="41" t="s">
        <v>3932</v>
      </c>
      <c r="L35" s="18" t="s">
        <v>98</v>
      </c>
      <c r="M35" s="18">
        <v>17</v>
      </c>
      <c r="N35" s="19">
        <v>10618</v>
      </c>
      <c r="O35" s="19">
        <v>145</v>
      </c>
      <c r="P35" s="19">
        <v>624.59</v>
      </c>
    </row>
    <row r="36" spans="1:16" x14ac:dyDescent="0.25">
      <c r="A36" s="40">
        <v>35</v>
      </c>
      <c r="B36" s="4" t="s">
        <v>717</v>
      </c>
      <c r="C36" s="4">
        <v>8</v>
      </c>
      <c r="D36" s="8">
        <v>5334</v>
      </c>
      <c r="E36" s="8">
        <v>569</v>
      </c>
      <c r="F36" s="8">
        <v>666.75</v>
      </c>
      <c r="G36" s="41" t="s">
        <v>3939</v>
      </c>
      <c r="L36" s="18" t="s">
        <v>337</v>
      </c>
      <c r="M36" s="18">
        <v>17</v>
      </c>
      <c r="N36" s="19">
        <v>17974</v>
      </c>
      <c r="O36" s="19">
        <v>605</v>
      </c>
      <c r="P36" s="19">
        <v>1057.29</v>
      </c>
    </row>
    <row r="37" spans="1:16" x14ac:dyDescent="0.25">
      <c r="A37" s="40">
        <v>36</v>
      </c>
      <c r="B37" s="4" t="s">
        <v>83</v>
      </c>
      <c r="C37" s="4">
        <v>10</v>
      </c>
      <c r="D37" s="8">
        <v>8121</v>
      </c>
      <c r="E37" s="8">
        <v>564</v>
      </c>
      <c r="F37" s="8">
        <v>812.1</v>
      </c>
      <c r="G37" s="41" t="s">
        <v>3884</v>
      </c>
      <c r="L37" s="18" t="s">
        <v>1587</v>
      </c>
      <c r="M37" s="18">
        <v>4</v>
      </c>
      <c r="N37" s="19">
        <v>598</v>
      </c>
      <c r="O37" s="19">
        <v>136.5</v>
      </c>
      <c r="P37" s="19">
        <v>149.5</v>
      </c>
    </row>
    <row r="38" spans="1:16" x14ac:dyDescent="0.25">
      <c r="A38" s="40">
        <v>37</v>
      </c>
      <c r="B38" s="4" t="s">
        <v>111</v>
      </c>
      <c r="C38" s="4">
        <v>10</v>
      </c>
      <c r="D38" s="8">
        <v>7964</v>
      </c>
      <c r="E38" s="8">
        <v>558.5</v>
      </c>
      <c r="F38" s="8">
        <v>796.4</v>
      </c>
      <c r="G38" s="41" t="s">
        <v>3970</v>
      </c>
      <c r="L38" s="18" t="s">
        <v>1627</v>
      </c>
      <c r="M38" s="18">
        <v>11</v>
      </c>
      <c r="N38" s="19">
        <v>8996</v>
      </c>
      <c r="O38" s="19">
        <v>606</v>
      </c>
      <c r="P38" s="19">
        <v>817.82</v>
      </c>
    </row>
    <row r="39" spans="1:16" x14ac:dyDescent="0.25">
      <c r="A39" s="40">
        <v>38</v>
      </c>
      <c r="B39" s="4" t="s">
        <v>106</v>
      </c>
      <c r="C39" s="4">
        <v>14</v>
      </c>
      <c r="D39" s="8">
        <v>15244</v>
      </c>
      <c r="E39" s="8">
        <v>539.5</v>
      </c>
      <c r="F39" s="8">
        <v>1088.8599999999999</v>
      </c>
      <c r="G39" s="41" t="s">
        <v>3974</v>
      </c>
      <c r="L39" s="18" t="s">
        <v>67</v>
      </c>
      <c r="M39" s="18">
        <v>15</v>
      </c>
      <c r="N39" s="19">
        <v>23652</v>
      </c>
      <c r="O39" s="19">
        <v>1606</v>
      </c>
      <c r="P39" s="19">
        <v>1576.8</v>
      </c>
    </row>
    <row r="40" spans="1:16" x14ac:dyDescent="0.25">
      <c r="A40" s="40">
        <v>39</v>
      </c>
      <c r="B40" s="4" t="s">
        <v>151</v>
      </c>
      <c r="C40" s="4">
        <v>6</v>
      </c>
      <c r="D40" s="8">
        <v>8062</v>
      </c>
      <c r="E40" s="8">
        <v>527</v>
      </c>
      <c r="F40" s="8">
        <v>1343.67</v>
      </c>
      <c r="G40" s="41" t="s">
        <v>3930</v>
      </c>
      <c r="L40" s="18" t="s">
        <v>764</v>
      </c>
      <c r="M40" s="18">
        <v>9</v>
      </c>
      <c r="N40" s="19">
        <v>7857</v>
      </c>
      <c r="O40" s="19">
        <v>46</v>
      </c>
      <c r="P40" s="19">
        <v>873</v>
      </c>
    </row>
    <row r="41" spans="1:16" x14ac:dyDescent="0.25">
      <c r="A41" s="40">
        <v>40</v>
      </c>
      <c r="B41" s="4" t="s">
        <v>874</v>
      </c>
      <c r="C41" s="4">
        <v>13</v>
      </c>
      <c r="D41" s="8">
        <v>18522</v>
      </c>
      <c r="E41" s="8">
        <v>523</v>
      </c>
      <c r="F41" s="8">
        <v>1424.77</v>
      </c>
      <c r="G41" s="41" t="s">
        <v>3923</v>
      </c>
      <c r="L41" s="18" t="s">
        <v>313</v>
      </c>
      <c r="M41" s="18">
        <v>13</v>
      </c>
      <c r="N41" s="19">
        <v>3859</v>
      </c>
      <c r="O41" s="19">
        <v>90</v>
      </c>
      <c r="P41" s="19">
        <v>296.85000000000002</v>
      </c>
    </row>
    <row r="42" spans="1:16" x14ac:dyDescent="0.25">
      <c r="A42" s="40">
        <v>41</v>
      </c>
      <c r="B42" s="4" t="s">
        <v>40</v>
      </c>
      <c r="C42" s="4">
        <v>10</v>
      </c>
      <c r="D42" s="8">
        <v>9463</v>
      </c>
      <c r="E42" s="8">
        <v>492</v>
      </c>
      <c r="F42" s="42">
        <v>946.3</v>
      </c>
      <c r="G42" s="41" t="s">
        <v>3938</v>
      </c>
      <c r="L42" s="18" t="s">
        <v>878</v>
      </c>
      <c r="M42" s="18">
        <v>5</v>
      </c>
      <c r="N42" s="19">
        <v>2094</v>
      </c>
      <c r="O42" s="19">
        <v>199</v>
      </c>
      <c r="P42" s="19">
        <v>418.8</v>
      </c>
    </row>
    <row r="43" spans="1:16" x14ac:dyDescent="0.25">
      <c r="A43" s="40">
        <v>42</v>
      </c>
      <c r="B43" s="4" t="s">
        <v>157</v>
      </c>
      <c r="C43" s="4">
        <v>18</v>
      </c>
      <c r="D43" s="8">
        <v>13593</v>
      </c>
      <c r="E43" s="8">
        <v>486.5</v>
      </c>
      <c r="F43" s="8">
        <v>755.17</v>
      </c>
      <c r="G43" s="41" t="s">
        <v>3969</v>
      </c>
      <c r="L43" s="18" t="s">
        <v>448</v>
      </c>
      <c r="M43" s="18">
        <v>6</v>
      </c>
      <c r="N43" s="19">
        <v>4615</v>
      </c>
      <c r="O43" s="19">
        <v>284</v>
      </c>
      <c r="P43" s="35">
        <v>769.17</v>
      </c>
    </row>
    <row r="44" spans="1:16" x14ac:dyDescent="0.25">
      <c r="A44" s="40">
        <v>43</v>
      </c>
      <c r="B44" s="4" t="s">
        <v>564</v>
      </c>
      <c r="C44" s="4">
        <v>9</v>
      </c>
      <c r="D44" s="8">
        <v>5366</v>
      </c>
      <c r="E44" s="8">
        <v>465</v>
      </c>
      <c r="F44" s="8">
        <v>596.22</v>
      </c>
      <c r="G44" s="41" t="s">
        <v>3893</v>
      </c>
      <c r="L44" s="18" t="s">
        <v>471</v>
      </c>
      <c r="M44" s="18">
        <v>2</v>
      </c>
      <c r="N44" s="19">
        <v>438</v>
      </c>
      <c r="O44" s="19">
        <v>219</v>
      </c>
      <c r="P44" s="35">
        <v>219</v>
      </c>
    </row>
    <row r="45" spans="1:16" x14ac:dyDescent="0.25">
      <c r="A45" s="40">
        <v>44</v>
      </c>
      <c r="B45" s="4" t="s">
        <v>798</v>
      </c>
      <c r="C45" s="4">
        <v>14</v>
      </c>
      <c r="D45" s="8">
        <v>8208</v>
      </c>
      <c r="E45" s="8">
        <v>462.5</v>
      </c>
      <c r="F45" s="42">
        <v>586.29</v>
      </c>
      <c r="G45" s="41" t="s">
        <v>3962</v>
      </c>
      <c r="L45" s="18" t="s">
        <v>788</v>
      </c>
      <c r="M45" s="18">
        <v>15</v>
      </c>
      <c r="N45" s="19">
        <v>40598</v>
      </c>
      <c r="O45" s="19">
        <v>1888</v>
      </c>
      <c r="P45" s="19">
        <v>2706.53</v>
      </c>
    </row>
    <row r="46" spans="1:16" x14ac:dyDescent="0.25">
      <c r="A46" s="40">
        <v>45</v>
      </c>
      <c r="B46" s="4" t="s">
        <v>161</v>
      </c>
      <c r="C46" s="4">
        <v>22</v>
      </c>
      <c r="D46" s="8">
        <v>28939</v>
      </c>
      <c r="E46" s="8">
        <v>459.5</v>
      </c>
      <c r="F46" s="8">
        <v>1315.41</v>
      </c>
      <c r="G46" s="41" t="s">
        <v>3914</v>
      </c>
      <c r="L46" s="18" t="s">
        <v>867</v>
      </c>
      <c r="M46" s="18">
        <v>13</v>
      </c>
      <c r="N46" s="19">
        <v>12664</v>
      </c>
      <c r="O46" s="19">
        <v>334</v>
      </c>
      <c r="P46" s="19">
        <v>974.15</v>
      </c>
    </row>
    <row r="47" spans="1:16" ht="24" customHeight="1" x14ac:dyDescent="0.25">
      <c r="A47" s="40">
        <v>46</v>
      </c>
      <c r="B47" s="4" t="s">
        <v>146</v>
      </c>
      <c r="C47" s="4">
        <v>10</v>
      </c>
      <c r="D47" s="8">
        <v>6901</v>
      </c>
      <c r="E47" s="8">
        <v>452.5</v>
      </c>
      <c r="F47" s="8">
        <v>690.1</v>
      </c>
      <c r="G47" s="41" t="s">
        <v>3876</v>
      </c>
      <c r="L47" s="18" t="s">
        <v>1300</v>
      </c>
      <c r="M47" s="18">
        <v>4</v>
      </c>
      <c r="N47" s="19">
        <v>1548</v>
      </c>
      <c r="O47" s="19">
        <v>428.5</v>
      </c>
      <c r="P47" s="19">
        <v>387</v>
      </c>
    </row>
    <row r="48" spans="1:16" x14ac:dyDescent="0.25">
      <c r="A48" s="40">
        <v>47</v>
      </c>
      <c r="B48" s="4" t="s">
        <v>267</v>
      </c>
      <c r="C48" s="4">
        <v>4</v>
      </c>
      <c r="D48" s="8">
        <v>1771</v>
      </c>
      <c r="E48" s="8">
        <v>448.5</v>
      </c>
      <c r="F48" s="8">
        <v>442.75</v>
      </c>
      <c r="G48" s="41" t="s">
        <v>3940</v>
      </c>
      <c r="L48" s="18" t="s">
        <v>161</v>
      </c>
      <c r="M48" s="18">
        <v>22</v>
      </c>
      <c r="N48" s="19">
        <v>28939</v>
      </c>
      <c r="O48" s="19">
        <v>459.5</v>
      </c>
      <c r="P48" s="19">
        <v>1315.41</v>
      </c>
    </row>
    <row r="49" spans="1:16" x14ac:dyDescent="0.25">
      <c r="A49" s="40">
        <v>48</v>
      </c>
      <c r="B49" s="4" t="s">
        <v>1300</v>
      </c>
      <c r="C49" s="4">
        <v>4</v>
      </c>
      <c r="D49" s="8">
        <v>1548</v>
      </c>
      <c r="E49" s="8">
        <v>428.5</v>
      </c>
      <c r="F49" s="8">
        <v>387</v>
      </c>
      <c r="G49" s="41" t="s">
        <v>3913</v>
      </c>
      <c r="L49" s="18" t="s">
        <v>25</v>
      </c>
      <c r="M49" s="18">
        <v>10</v>
      </c>
      <c r="N49" s="19">
        <v>17910</v>
      </c>
      <c r="O49" s="19">
        <v>263.5</v>
      </c>
      <c r="P49" s="19">
        <v>1791</v>
      </c>
    </row>
    <row r="50" spans="1:16" x14ac:dyDescent="0.25">
      <c r="A50" s="40">
        <v>49</v>
      </c>
      <c r="B50" s="4" t="s">
        <v>152</v>
      </c>
      <c r="C50" s="4">
        <v>15</v>
      </c>
      <c r="D50" s="8">
        <v>27699</v>
      </c>
      <c r="E50" s="8">
        <v>415</v>
      </c>
      <c r="F50" s="8">
        <v>1846.6</v>
      </c>
      <c r="G50" s="41" t="s">
        <v>3878</v>
      </c>
      <c r="L50" s="18" t="s">
        <v>3077</v>
      </c>
      <c r="M50" s="18">
        <v>7</v>
      </c>
      <c r="N50" s="19">
        <v>7618</v>
      </c>
      <c r="O50" s="19">
        <v>1075</v>
      </c>
      <c r="P50" s="35">
        <v>1088.29</v>
      </c>
    </row>
    <row r="51" spans="1:16" x14ac:dyDescent="0.25">
      <c r="A51" s="40">
        <v>50</v>
      </c>
      <c r="B51" s="4" t="s">
        <v>304</v>
      </c>
      <c r="C51" s="4">
        <v>9</v>
      </c>
      <c r="D51" s="8">
        <v>4437</v>
      </c>
      <c r="E51" s="8">
        <v>384</v>
      </c>
      <c r="F51" s="8">
        <v>493</v>
      </c>
      <c r="G51" s="41" t="s">
        <v>3875</v>
      </c>
      <c r="L51" s="18" t="s">
        <v>331</v>
      </c>
      <c r="M51" s="18">
        <v>6</v>
      </c>
      <c r="N51" s="19">
        <v>20628</v>
      </c>
      <c r="O51" s="19">
        <v>1203</v>
      </c>
      <c r="P51" s="19">
        <v>3438</v>
      </c>
    </row>
    <row r="52" spans="1:16" x14ac:dyDescent="0.25">
      <c r="A52" s="40">
        <v>51</v>
      </c>
      <c r="B52" s="4" t="s">
        <v>225</v>
      </c>
      <c r="C52" s="4">
        <v>12</v>
      </c>
      <c r="D52" s="8">
        <v>7279</v>
      </c>
      <c r="E52" s="8">
        <v>377.5</v>
      </c>
      <c r="F52" s="8">
        <v>606.58000000000004</v>
      </c>
      <c r="G52" s="41" t="s">
        <v>3941</v>
      </c>
      <c r="L52" s="18" t="s">
        <v>41</v>
      </c>
      <c r="M52" s="18">
        <v>15</v>
      </c>
      <c r="N52" s="19">
        <v>74461</v>
      </c>
      <c r="O52" s="19">
        <v>1464</v>
      </c>
      <c r="P52" s="19">
        <v>4964.07</v>
      </c>
    </row>
    <row r="53" spans="1:16" x14ac:dyDescent="0.25">
      <c r="A53" s="40">
        <v>52</v>
      </c>
      <c r="B53" s="4" t="s">
        <v>145</v>
      </c>
      <c r="C53" s="4">
        <v>7</v>
      </c>
      <c r="D53" s="8">
        <v>8242</v>
      </c>
      <c r="E53" s="8">
        <v>355</v>
      </c>
      <c r="F53" s="8">
        <v>1177.43</v>
      </c>
      <c r="G53" s="41" t="s">
        <v>3883</v>
      </c>
      <c r="L53" s="18" t="s">
        <v>134</v>
      </c>
      <c r="M53" s="18">
        <v>17</v>
      </c>
      <c r="N53" s="19">
        <v>34308</v>
      </c>
      <c r="O53" s="19">
        <v>615</v>
      </c>
      <c r="P53" s="19">
        <v>2018.12</v>
      </c>
    </row>
    <row r="54" spans="1:16" x14ac:dyDescent="0.25">
      <c r="A54" s="40">
        <v>53</v>
      </c>
      <c r="B54" s="4" t="s">
        <v>988</v>
      </c>
      <c r="C54" s="4">
        <v>8</v>
      </c>
      <c r="D54" s="8">
        <v>5005</v>
      </c>
      <c r="E54" s="8">
        <v>344</v>
      </c>
      <c r="F54" s="8">
        <v>625.63</v>
      </c>
      <c r="G54" s="41" t="s">
        <v>3936</v>
      </c>
      <c r="L54" s="18" t="s">
        <v>88</v>
      </c>
      <c r="M54" s="18">
        <v>24</v>
      </c>
      <c r="N54" s="19">
        <v>106398</v>
      </c>
      <c r="O54" s="19">
        <v>2402.5</v>
      </c>
      <c r="P54" s="19">
        <v>4433.25</v>
      </c>
    </row>
    <row r="55" spans="1:16" ht="24" customHeight="1" x14ac:dyDescent="0.25">
      <c r="A55" s="40">
        <v>54</v>
      </c>
      <c r="B55" s="4" t="s">
        <v>867</v>
      </c>
      <c r="C55" s="4">
        <v>13</v>
      </c>
      <c r="D55" s="8">
        <v>12664</v>
      </c>
      <c r="E55" s="8">
        <v>334</v>
      </c>
      <c r="F55" s="8">
        <v>974.15</v>
      </c>
      <c r="G55" s="41" t="s">
        <v>3912</v>
      </c>
      <c r="L55" s="18" t="s">
        <v>94</v>
      </c>
      <c r="M55" s="18">
        <v>15</v>
      </c>
      <c r="N55" s="19">
        <v>35951</v>
      </c>
      <c r="O55" s="19">
        <v>1361</v>
      </c>
      <c r="P55" s="19">
        <v>2396.73</v>
      </c>
    </row>
    <row r="56" spans="1:16" x14ac:dyDescent="0.25">
      <c r="A56" s="40">
        <v>55</v>
      </c>
      <c r="B56" s="4" t="s">
        <v>1177</v>
      </c>
      <c r="C56" s="4">
        <v>2</v>
      </c>
      <c r="D56" s="8">
        <v>631</v>
      </c>
      <c r="E56" s="8">
        <v>315.5</v>
      </c>
      <c r="F56" s="8">
        <v>315.5</v>
      </c>
      <c r="G56" s="41" t="s">
        <v>3960</v>
      </c>
      <c r="L56" s="18" t="s">
        <v>901</v>
      </c>
      <c r="M56" s="18">
        <v>13</v>
      </c>
      <c r="N56" s="19">
        <v>7995</v>
      </c>
      <c r="O56" s="19">
        <v>150</v>
      </c>
      <c r="P56" s="19">
        <v>615</v>
      </c>
    </row>
    <row r="57" spans="1:16" x14ac:dyDescent="0.25">
      <c r="A57" s="40">
        <v>56</v>
      </c>
      <c r="B57" s="4" t="s">
        <v>1608</v>
      </c>
      <c r="C57" s="4">
        <v>13</v>
      </c>
      <c r="D57" s="8">
        <v>5161</v>
      </c>
      <c r="E57" s="8">
        <v>315</v>
      </c>
      <c r="F57" s="8">
        <v>397</v>
      </c>
      <c r="G57" s="41" t="s">
        <v>3977</v>
      </c>
      <c r="L57" s="18" t="s">
        <v>874</v>
      </c>
      <c r="M57" s="18">
        <v>13</v>
      </c>
      <c r="N57" s="19">
        <v>18522</v>
      </c>
      <c r="O57" s="19">
        <v>523</v>
      </c>
      <c r="P57" s="19">
        <v>1424.77</v>
      </c>
    </row>
    <row r="58" spans="1:16" x14ac:dyDescent="0.25">
      <c r="A58" s="40">
        <v>57</v>
      </c>
      <c r="B58" s="4" t="s">
        <v>212</v>
      </c>
      <c r="C58" s="4">
        <v>2</v>
      </c>
      <c r="D58" s="8">
        <v>611</v>
      </c>
      <c r="E58" s="8">
        <v>305.5</v>
      </c>
      <c r="F58" s="8">
        <v>305.5</v>
      </c>
      <c r="G58" s="41" t="s">
        <v>3892</v>
      </c>
      <c r="L58" s="18" t="s">
        <v>87</v>
      </c>
      <c r="M58" s="18">
        <v>15</v>
      </c>
      <c r="N58" s="19">
        <v>9815</v>
      </c>
      <c r="O58" s="19">
        <v>746</v>
      </c>
      <c r="P58" s="19">
        <v>654.33000000000004</v>
      </c>
    </row>
    <row r="59" spans="1:16" x14ac:dyDescent="0.25">
      <c r="A59" s="40">
        <v>58</v>
      </c>
      <c r="B59" s="4" t="s">
        <v>1921</v>
      </c>
      <c r="C59" s="4">
        <v>6</v>
      </c>
      <c r="D59" s="8">
        <v>2802</v>
      </c>
      <c r="E59" s="8">
        <v>289.5</v>
      </c>
      <c r="F59" s="8">
        <v>467</v>
      </c>
      <c r="G59" s="41" t="s">
        <v>3971</v>
      </c>
      <c r="L59" s="18" t="s">
        <v>114</v>
      </c>
      <c r="M59" s="18">
        <v>13</v>
      </c>
      <c r="N59" s="19">
        <v>19100</v>
      </c>
      <c r="O59" s="19">
        <v>842</v>
      </c>
      <c r="P59" s="19">
        <v>1469.23</v>
      </c>
    </row>
    <row r="60" spans="1:16" x14ac:dyDescent="0.25">
      <c r="A60" s="40">
        <v>59</v>
      </c>
      <c r="B60" s="4" t="s">
        <v>448</v>
      </c>
      <c r="C60" s="4">
        <v>6</v>
      </c>
      <c r="D60" s="8">
        <v>4615</v>
      </c>
      <c r="E60" s="8">
        <v>284</v>
      </c>
      <c r="F60" s="42">
        <v>769.17</v>
      </c>
      <c r="G60" s="41" t="s">
        <v>3909</v>
      </c>
      <c r="L60" s="18" t="s">
        <v>385</v>
      </c>
      <c r="M60" s="18">
        <v>7</v>
      </c>
      <c r="N60" s="19">
        <v>10342</v>
      </c>
      <c r="O60" s="19">
        <v>153</v>
      </c>
      <c r="P60" s="19">
        <v>1477.43</v>
      </c>
    </row>
    <row r="61" spans="1:16" x14ac:dyDescent="0.25">
      <c r="A61" s="40">
        <v>60</v>
      </c>
      <c r="B61" s="4" t="s">
        <v>318</v>
      </c>
      <c r="C61" s="4">
        <v>11</v>
      </c>
      <c r="D61" s="8">
        <v>4643</v>
      </c>
      <c r="E61" s="8">
        <v>275</v>
      </c>
      <c r="F61" s="8">
        <v>422.09</v>
      </c>
      <c r="G61" s="41" t="s">
        <v>3935</v>
      </c>
      <c r="L61" s="18" t="s">
        <v>277</v>
      </c>
      <c r="M61" s="18">
        <v>14</v>
      </c>
      <c r="N61" s="19">
        <v>51607</v>
      </c>
      <c r="O61" s="19">
        <v>677.5</v>
      </c>
      <c r="P61" s="19">
        <v>3686.21</v>
      </c>
    </row>
    <row r="62" spans="1:16" x14ac:dyDescent="0.25">
      <c r="A62" s="40">
        <v>61</v>
      </c>
      <c r="B62" s="4" t="s">
        <v>1614</v>
      </c>
      <c r="C62" s="4">
        <v>6</v>
      </c>
      <c r="D62" s="8">
        <v>3270</v>
      </c>
      <c r="E62" s="8">
        <v>269</v>
      </c>
      <c r="F62" s="8">
        <v>545</v>
      </c>
      <c r="G62" s="41" t="s">
        <v>3868</v>
      </c>
      <c r="L62" s="18" t="s">
        <v>927</v>
      </c>
      <c r="M62" s="18">
        <v>9</v>
      </c>
      <c r="N62" s="19">
        <v>2845</v>
      </c>
      <c r="O62" s="19">
        <v>112</v>
      </c>
      <c r="P62" s="19">
        <v>316.11</v>
      </c>
    </row>
    <row r="63" spans="1:16" x14ac:dyDescent="0.25">
      <c r="A63" s="40">
        <v>62</v>
      </c>
      <c r="B63" s="4" t="s">
        <v>25</v>
      </c>
      <c r="C63" s="4">
        <v>10</v>
      </c>
      <c r="D63" s="8">
        <v>17910</v>
      </c>
      <c r="E63" s="8">
        <v>263.5</v>
      </c>
      <c r="F63" s="8">
        <v>1791</v>
      </c>
      <c r="G63" s="41" t="s">
        <v>3915</v>
      </c>
      <c r="L63" s="18" t="s">
        <v>186</v>
      </c>
      <c r="M63" s="18">
        <v>12</v>
      </c>
      <c r="N63" s="19">
        <v>7811</v>
      </c>
      <c r="O63" s="19">
        <v>219.5</v>
      </c>
      <c r="P63" s="19">
        <v>650.91999999999996</v>
      </c>
    </row>
    <row r="64" spans="1:16" x14ac:dyDescent="0.25">
      <c r="A64" s="40">
        <v>63</v>
      </c>
      <c r="B64" s="4" t="s">
        <v>53</v>
      </c>
      <c r="C64" s="4">
        <v>6</v>
      </c>
      <c r="D64" s="8">
        <v>2682</v>
      </c>
      <c r="E64" s="8">
        <v>262</v>
      </c>
      <c r="F64" s="8">
        <v>447</v>
      </c>
      <c r="G64" s="41" t="s">
        <v>3948</v>
      </c>
      <c r="L64" s="18" t="s">
        <v>151</v>
      </c>
      <c r="M64" s="18">
        <v>6</v>
      </c>
      <c r="N64" s="19">
        <v>8062</v>
      </c>
      <c r="O64" s="19">
        <v>527</v>
      </c>
      <c r="P64" s="19">
        <v>1343.67</v>
      </c>
    </row>
    <row r="65" spans="1:16" x14ac:dyDescent="0.25">
      <c r="A65" s="40">
        <v>64</v>
      </c>
      <c r="B65" s="4" t="s">
        <v>82</v>
      </c>
      <c r="C65" s="4">
        <v>8</v>
      </c>
      <c r="D65" s="8">
        <v>3113</v>
      </c>
      <c r="E65" s="8">
        <v>256.5</v>
      </c>
      <c r="F65" s="8">
        <v>389.13</v>
      </c>
      <c r="G65" s="41" t="s">
        <v>3872</v>
      </c>
      <c r="L65" s="18" t="s">
        <v>759</v>
      </c>
      <c r="M65" s="18">
        <v>7</v>
      </c>
      <c r="N65" s="19">
        <v>2999</v>
      </c>
      <c r="O65" s="19">
        <v>173</v>
      </c>
      <c r="P65" s="19">
        <v>428.43</v>
      </c>
    </row>
    <row r="66" spans="1:16" x14ac:dyDescent="0.25">
      <c r="A66" s="40">
        <v>65</v>
      </c>
      <c r="B66" s="4" t="s">
        <v>693</v>
      </c>
      <c r="C66" s="4">
        <v>9</v>
      </c>
      <c r="D66" s="8">
        <v>6014</v>
      </c>
      <c r="E66" s="8">
        <v>233</v>
      </c>
      <c r="F66" s="8">
        <v>668.22</v>
      </c>
      <c r="G66" s="41" t="s">
        <v>3964</v>
      </c>
      <c r="L66" s="18" t="s">
        <v>830</v>
      </c>
      <c r="M66" s="18">
        <v>9</v>
      </c>
      <c r="N66" s="19">
        <v>8531</v>
      </c>
      <c r="O66" s="19">
        <v>575</v>
      </c>
      <c r="P66" s="19">
        <v>947.89</v>
      </c>
    </row>
    <row r="67" spans="1:16" x14ac:dyDescent="0.25">
      <c r="A67" s="40">
        <v>66</v>
      </c>
      <c r="B67" s="4" t="s">
        <v>794</v>
      </c>
      <c r="C67" s="4">
        <v>3</v>
      </c>
      <c r="D67" s="8">
        <v>500</v>
      </c>
      <c r="E67" s="8">
        <v>230</v>
      </c>
      <c r="F67" s="8">
        <v>166.67</v>
      </c>
      <c r="G67" s="41" t="s">
        <v>3959</v>
      </c>
      <c r="L67" s="18" t="s">
        <v>162</v>
      </c>
      <c r="M67" s="18">
        <v>7</v>
      </c>
      <c r="N67" s="19">
        <v>622</v>
      </c>
      <c r="O67" s="19">
        <v>44</v>
      </c>
      <c r="P67" s="19">
        <v>88.86</v>
      </c>
    </row>
    <row r="68" spans="1:16" x14ac:dyDescent="0.25">
      <c r="A68" s="40">
        <v>67</v>
      </c>
      <c r="B68" s="4" t="s">
        <v>60</v>
      </c>
      <c r="C68" s="4">
        <v>12</v>
      </c>
      <c r="D68" s="8">
        <v>8783</v>
      </c>
      <c r="E68" s="8">
        <v>228.5</v>
      </c>
      <c r="F68" s="8">
        <v>731.92</v>
      </c>
      <c r="G68" s="41" t="s">
        <v>3954</v>
      </c>
      <c r="L68" s="18" t="s">
        <v>775</v>
      </c>
      <c r="M68" s="18">
        <v>8</v>
      </c>
      <c r="N68" s="19">
        <v>2748</v>
      </c>
      <c r="O68" s="19">
        <v>112.5</v>
      </c>
      <c r="P68" s="19">
        <v>343.5</v>
      </c>
    </row>
    <row r="69" spans="1:16" x14ac:dyDescent="0.25">
      <c r="A69" s="40">
        <v>68</v>
      </c>
      <c r="B69" s="4" t="s">
        <v>186</v>
      </c>
      <c r="C69" s="4">
        <v>12</v>
      </c>
      <c r="D69" s="8">
        <v>7811</v>
      </c>
      <c r="E69" s="8">
        <v>219.5</v>
      </c>
      <c r="F69" s="8">
        <v>650.91999999999996</v>
      </c>
      <c r="G69" s="41" t="s">
        <v>3929</v>
      </c>
      <c r="L69" s="18" t="s">
        <v>318</v>
      </c>
      <c r="M69" s="18">
        <v>11</v>
      </c>
      <c r="N69" s="19">
        <v>4643</v>
      </c>
      <c r="O69" s="19">
        <v>275</v>
      </c>
      <c r="P69" s="19">
        <v>422.09</v>
      </c>
    </row>
    <row r="70" spans="1:16" x14ac:dyDescent="0.25">
      <c r="A70" s="40">
        <v>69</v>
      </c>
      <c r="B70" s="4" t="s">
        <v>471</v>
      </c>
      <c r="C70" s="4">
        <v>2</v>
      </c>
      <c r="D70" s="8">
        <v>438</v>
      </c>
      <c r="E70" s="8">
        <v>219</v>
      </c>
      <c r="F70" s="42">
        <v>219</v>
      </c>
      <c r="G70" s="41" t="s">
        <v>3910</v>
      </c>
      <c r="L70" s="18" t="s">
        <v>988</v>
      </c>
      <c r="M70" s="18">
        <v>8</v>
      </c>
      <c r="N70" s="19">
        <v>5005</v>
      </c>
      <c r="O70" s="19">
        <v>344</v>
      </c>
      <c r="P70" s="19">
        <v>625.63</v>
      </c>
    </row>
    <row r="71" spans="1:16" x14ac:dyDescent="0.25">
      <c r="A71" s="40">
        <v>70</v>
      </c>
      <c r="B71" s="4" t="s">
        <v>878</v>
      </c>
      <c r="C71" s="4">
        <v>5</v>
      </c>
      <c r="D71" s="8">
        <v>2094</v>
      </c>
      <c r="E71" s="8">
        <v>199</v>
      </c>
      <c r="F71" s="8">
        <v>418.8</v>
      </c>
      <c r="G71" s="41" t="s">
        <v>3908</v>
      </c>
      <c r="L71" s="18" t="s">
        <v>181</v>
      </c>
      <c r="M71" s="18">
        <v>19</v>
      </c>
      <c r="N71" s="19">
        <v>28401</v>
      </c>
      <c r="O71" s="19">
        <v>715</v>
      </c>
      <c r="P71" s="19">
        <v>1494.79</v>
      </c>
    </row>
    <row r="72" spans="1:16" x14ac:dyDescent="0.25">
      <c r="A72" s="40">
        <v>71</v>
      </c>
      <c r="B72" s="4" t="s">
        <v>104</v>
      </c>
      <c r="C72" s="4">
        <v>10</v>
      </c>
      <c r="D72" s="8">
        <v>2100</v>
      </c>
      <c r="E72" s="8">
        <v>184</v>
      </c>
      <c r="F72" s="8">
        <v>210</v>
      </c>
      <c r="G72" s="41" t="s">
        <v>3973</v>
      </c>
      <c r="L72" s="18" t="s">
        <v>40</v>
      </c>
      <c r="M72" s="18">
        <v>10</v>
      </c>
      <c r="N72" s="19">
        <v>9463</v>
      </c>
      <c r="O72" s="19">
        <v>492</v>
      </c>
      <c r="P72" s="35">
        <v>946.3</v>
      </c>
    </row>
    <row r="73" spans="1:16" x14ac:dyDescent="0.25">
      <c r="A73" s="40">
        <v>72</v>
      </c>
      <c r="B73" s="4" t="s">
        <v>1416</v>
      </c>
      <c r="C73" s="4">
        <v>2</v>
      </c>
      <c r="D73" s="8">
        <v>364</v>
      </c>
      <c r="E73" s="8">
        <v>182</v>
      </c>
      <c r="F73" s="8">
        <v>182</v>
      </c>
      <c r="G73" s="41" t="s">
        <v>3952</v>
      </c>
      <c r="L73" s="18" t="s">
        <v>717</v>
      </c>
      <c r="M73" s="18">
        <v>8</v>
      </c>
      <c r="N73" s="19">
        <v>5334</v>
      </c>
      <c r="O73" s="19">
        <v>569</v>
      </c>
      <c r="P73" s="19">
        <v>666.75</v>
      </c>
    </row>
    <row r="74" spans="1:16" x14ac:dyDescent="0.25">
      <c r="A74" s="40">
        <v>73</v>
      </c>
      <c r="B74" s="4" t="s">
        <v>296</v>
      </c>
      <c r="C74" s="4">
        <v>6</v>
      </c>
      <c r="D74" s="8">
        <v>6746</v>
      </c>
      <c r="E74" s="8">
        <v>179.5</v>
      </c>
      <c r="F74" s="8">
        <v>1124.33</v>
      </c>
      <c r="G74" s="41" t="s">
        <v>3900</v>
      </c>
      <c r="L74" s="18" t="s">
        <v>267</v>
      </c>
      <c r="M74" s="18">
        <v>4</v>
      </c>
      <c r="N74" s="19">
        <v>1771</v>
      </c>
      <c r="O74" s="19">
        <v>448.5</v>
      </c>
      <c r="P74" s="19">
        <v>442.75</v>
      </c>
    </row>
    <row r="75" spans="1:16" x14ac:dyDescent="0.25">
      <c r="A75" s="40">
        <v>74</v>
      </c>
      <c r="B75" s="4" t="s">
        <v>759</v>
      </c>
      <c r="C75" s="4">
        <v>7</v>
      </c>
      <c r="D75" s="8">
        <v>2999</v>
      </c>
      <c r="E75" s="8">
        <v>173</v>
      </c>
      <c r="F75" s="8">
        <v>428.43</v>
      </c>
      <c r="G75" s="41" t="s">
        <v>3931</v>
      </c>
      <c r="L75" s="18" t="s">
        <v>225</v>
      </c>
      <c r="M75" s="18">
        <v>12</v>
      </c>
      <c r="N75" s="19">
        <v>7279</v>
      </c>
      <c r="O75" s="19">
        <v>377.5</v>
      </c>
      <c r="P75" s="19">
        <v>606.58000000000004</v>
      </c>
    </row>
    <row r="76" spans="1:16" x14ac:dyDescent="0.25">
      <c r="A76" s="40">
        <v>75</v>
      </c>
      <c r="B76" s="4" t="s">
        <v>201</v>
      </c>
      <c r="C76" s="4">
        <v>6</v>
      </c>
      <c r="D76" s="8">
        <v>3035</v>
      </c>
      <c r="E76" s="8">
        <v>171.5</v>
      </c>
      <c r="F76" s="8">
        <v>505.83</v>
      </c>
      <c r="G76" s="41" t="s">
        <v>3880</v>
      </c>
      <c r="L76" s="18" t="s">
        <v>1327</v>
      </c>
      <c r="M76" s="18">
        <v>6</v>
      </c>
      <c r="N76" s="19">
        <v>3367</v>
      </c>
      <c r="O76" s="19">
        <v>149</v>
      </c>
      <c r="P76" s="19">
        <v>561.16999999999996</v>
      </c>
    </row>
    <row r="77" spans="1:16" x14ac:dyDescent="0.25">
      <c r="A77" s="40">
        <v>76</v>
      </c>
      <c r="B77" s="4" t="s">
        <v>47</v>
      </c>
      <c r="C77" s="4">
        <v>8</v>
      </c>
      <c r="D77" s="8">
        <v>1849</v>
      </c>
      <c r="E77" s="8">
        <v>165</v>
      </c>
      <c r="F77" s="8">
        <v>231.13</v>
      </c>
      <c r="G77" s="41" t="s">
        <v>3874</v>
      </c>
      <c r="L77" s="18" t="s">
        <v>59</v>
      </c>
      <c r="M77" s="18">
        <v>8</v>
      </c>
      <c r="N77" s="19">
        <v>12663</v>
      </c>
      <c r="O77" s="19">
        <v>1423.5</v>
      </c>
      <c r="P77" s="19">
        <v>1582.88</v>
      </c>
    </row>
    <row r="78" spans="1:16" x14ac:dyDescent="0.25">
      <c r="A78" s="40">
        <v>77</v>
      </c>
      <c r="B78" s="4" t="s">
        <v>818</v>
      </c>
      <c r="C78" s="4">
        <v>7</v>
      </c>
      <c r="D78" s="8">
        <v>3179</v>
      </c>
      <c r="E78" s="8">
        <v>160</v>
      </c>
      <c r="F78" s="8">
        <v>454.14</v>
      </c>
      <c r="G78" s="41" t="s">
        <v>3961</v>
      </c>
      <c r="L78" s="18" t="s">
        <v>825</v>
      </c>
      <c r="M78" s="18">
        <v>6</v>
      </c>
      <c r="N78" s="19">
        <v>3729</v>
      </c>
      <c r="O78" s="19">
        <v>717.5</v>
      </c>
      <c r="P78" s="19">
        <v>621.5</v>
      </c>
    </row>
    <row r="79" spans="1:16" x14ac:dyDescent="0.25">
      <c r="A79" s="40">
        <v>78</v>
      </c>
      <c r="B79" s="4" t="s">
        <v>2324</v>
      </c>
      <c r="C79" s="4">
        <v>4</v>
      </c>
      <c r="D79" s="8">
        <v>556</v>
      </c>
      <c r="E79" s="8">
        <v>155</v>
      </c>
      <c r="F79" s="8">
        <v>139</v>
      </c>
      <c r="G79" s="41" t="s">
        <v>3895</v>
      </c>
      <c r="L79" s="18" t="s">
        <v>1552</v>
      </c>
      <c r="M79" s="18">
        <v>5</v>
      </c>
      <c r="N79" s="19">
        <v>1215</v>
      </c>
      <c r="O79" s="19">
        <v>123</v>
      </c>
      <c r="P79" s="19">
        <v>243</v>
      </c>
    </row>
    <row r="80" spans="1:16" x14ac:dyDescent="0.25">
      <c r="A80" s="40">
        <v>79</v>
      </c>
      <c r="B80" s="4" t="s">
        <v>385</v>
      </c>
      <c r="C80" s="4">
        <v>7</v>
      </c>
      <c r="D80" s="8">
        <v>10342</v>
      </c>
      <c r="E80" s="8">
        <v>153</v>
      </c>
      <c r="F80" s="8">
        <v>1477.43</v>
      </c>
      <c r="G80" s="41" t="s">
        <v>3926</v>
      </c>
      <c r="L80" s="18" t="s">
        <v>77</v>
      </c>
      <c r="M80" s="18">
        <v>22</v>
      </c>
      <c r="N80" s="19">
        <v>32260</v>
      </c>
      <c r="O80" s="19">
        <v>784.5</v>
      </c>
      <c r="P80" s="19">
        <v>1466.36</v>
      </c>
    </row>
    <row r="81" spans="1:16" x14ac:dyDescent="0.25">
      <c r="A81" s="40">
        <v>80</v>
      </c>
      <c r="B81" s="4" t="s">
        <v>901</v>
      </c>
      <c r="C81" s="4">
        <v>13</v>
      </c>
      <c r="D81" s="8">
        <v>7995</v>
      </c>
      <c r="E81" s="8">
        <v>150</v>
      </c>
      <c r="F81" s="8">
        <v>615</v>
      </c>
      <c r="G81" s="41" t="s">
        <v>3922</v>
      </c>
      <c r="L81" s="18" t="s">
        <v>119</v>
      </c>
      <c r="M81" s="18">
        <v>11</v>
      </c>
      <c r="N81" s="19">
        <v>35630</v>
      </c>
      <c r="O81" s="19">
        <v>1066</v>
      </c>
      <c r="P81" s="19">
        <v>3239.09</v>
      </c>
    </row>
    <row r="82" spans="1:16" x14ac:dyDescent="0.25">
      <c r="A82" s="40">
        <v>81</v>
      </c>
      <c r="B82" s="4" t="s">
        <v>1327</v>
      </c>
      <c r="C82" s="4">
        <v>6</v>
      </c>
      <c r="D82" s="8">
        <v>3367</v>
      </c>
      <c r="E82" s="8">
        <v>149</v>
      </c>
      <c r="F82" s="8">
        <v>561.16999999999996</v>
      </c>
      <c r="G82" s="41" t="s">
        <v>3942</v>
      </c>
      <c r="L82" s="18" t="s">
        <v>53</v>
      </c>
      <c r="M82" s="18">
        <v>6</v>
      </c>
      <c r="N82" s="19">
        <v>2682</v>
      </c>
      <c r="O82" s="19">
        <v>262</v>
      </c>
      <c r="P82" s="19">
        <v>447</v>
      </c>
    </row>
    <row r="83" spans="1:16" x14ac:dyDescent="0.25">
      <c r="A83" s="40">
        <v>82</v>
      </c>
      <c r="B83" s="4" t="s">
        <v>98</v>
      </c>
      <c r="C83" s="4">
        <v>17</v>
      </c>
      <c r="D83" s="8">
        <v>10618</v>
      </c>
      <c r="E83" s="8">
        <v>145</v>
      </c>
      <c r="F83" s="8">
        <v>624.59</v>
      </c>
      <c r="G83" s="41" t="s">
        <v>3901</v>
      </c>
      <c r="L83" s="18" t="s">
        <v>1794</v>
      </c>
      <c r="M83" s="18">
        <v>5</v>
      </c>
      <c r="N83" s="19">
        <v>1608</v>
      </c>
      <c r="O83" s="19">
        <v>140</v>
      </c>
      <c r="P83" s="19">
        <v>321.60000000000002</v>
      </c>
    </row>
    <row r="84" spans="1:16" x14ac:dyDescent="0.25">
      <c r="A84" s="40">
        <v>83</v>
      </c>
      <c r="B84" s="4" t="s">
        <v>1794</v>
      </c>
      <c r="C84" s="4">
        <v>5</v>
      </c>
      <c r="D84" s="8">
        <v>1608</v>
      </c>
      <c r="E84" s="8">
        <v>140</v>
      </c>
      <c r="F84" s="8">
        <v>321.60000000000002</v>
      </c>
      <c r="G84" s="41" t="s">
        <v>3949</v>
      </c>
      <c r="L84" s="18" t="s">
        <v>916</v>
      </c>
      <c r="M84" s="18">
        <v>11</v>
      </c>
      <c r="N84" s="19">
        <v>1427</v>
      </c>
      <c r="O84" s="19">
        <v>85</v>
      </c>
      <c r="P84" s="19">
        <v>129.72999999999999</v>
      </c>
    </row>
    <row r="85" spans="1:16" x14ac:dyDescent="0.25">
      <c r="A85" s="40">
        <v>84</v>
      </c>
      <c r="B85" s="4" t="s">
        <v>1587</v>
      </c>
      <c r="C85" s="4">
        <v>4</v>
      </c>
      <c r="D85" s="8">
        <v>598</v>
      </c>
      <c r="E85" s="8">
        <v>136.5</v>
      </c>
      <c r="F85" s="8">
        <v>149.5</v>
      </c>
      <c r="G85" s="41" t="s">
        <v>3903</v>
      </c>
      <c r="L85" s="18" t="s">
        <v>55</v>
      </c>
      <c r="M85" s="18">
        <v>5</v>
      </c>
      <c r="N85" s="19">
        <v>1239</v>
      </c>
      <c r="O85" s="19">
        <v>116</v>
      </c>
      <c r="P85" s="19">
        <v>247.8</v>
      </c>
    </row>
    <row r="86" spans="1:16" x14ac:dyDescent="0.25">
      <c r="A86" s="40">
        <v>85</v>
      </c>
      <c r="B86" s="4" t="s">
        <v>382</v>
      </c>
      <c r="C86" s="4">
        <v>7</v>
      </c>
      <c r="D86" s="8">
        <v>8900</v>
      </c>
      <c r="E86" s="8">
        <v>133</v>
      </c>
      <c r="F86" s="8">
        <v>1271.43</v>
      </c>
      <c r="G86" s="41" t="s">
        <v>3967</v>
      </c>
      <c r="L86" s="18" t="s">
        <v>1416</v>
      </c>
      <c r="M86" s="18">
        <v>2</v>
      </c>
      <c r="N86" s="19">
        <v>364</v>
      </c>
      <c r="O86" s="19">
        <v>182</v>
      </c>
      <c r="P86" s="19">
        <v>182</v>
      </c>
    </row>
    <row r="87" spans="1:16" x14ac:dyDescent="0.25">
      <c r="A87" s="40">
        <v>86</v>
      </c>
      <c r="B87" s="4" t="s">
        <v>1552</v>
      </c>
      <c r="C87" s="4">
        <v>5</v>
      </c>
      <c r="D87" s="8">
        <v>1215</v>
      </c>
      <c r="E87" s="8">
        <v>123</v>
      </c>
      <c r="F87" s="8">
        <v>243</v>
      </c>
      <c r="G87" s="41" t="s">
        <v>3945</v>
      </c>
      <c r="L87" s="18" t="s">
        <v>1242</v>
      </c>
      <c r="M87" s="18">
        <v>5</v>
      </c>
      <c r="N87" s="19">
        <v>698</v>
      </c>
      <c r="O87" s="19">
        <v>29</v>
      </c>
      <c r="P87" s="19">
        <v>139.6</v>
      </c>
    </row>
    <row r="88" spans="1:16" ht="24" customHeight="1" x14ac:dyDescent="0.25">
      <c r="A88" s="40">
        <v>87</v>
      </c>
      <c r="B88" s="4" t="s">
        <v>369</v>
      </c>
      <c r="C88" s="4">
        <v>11</v>
      </c>
      <c r="D88" s="8">
        <v>2688</v>
      </c>
      <c r="E88" s="8">
        <v>116</v>
      </c>
      <c r="F88" s="8">
        <v>244.36</v>
      </c>
      <c r="G88" s="41" t="s">
        <v>3888</v>
      </c>
      <c r="L88" s="18" t="s">
        <v>60</v>
      </c>
      <c r="M88" s="18">
        <v>12</v>
      </c>
      <c r="N88" s="19">
        <v>8783</v>
      </c>
      <c r="O88" s="19">
        <v>228.5</v>
      </c>
      <c r="P88" s="19">
        <v>731.92</v>
      </c>
    </row>
    <row r="89" spans="1:16" x14ac:dyDescent="0.25">
      <c r="A89" s="40">
        <v>88</v>
      </c>
      <c r="B89" s="4" t="s">
        <v>55</v>
      </c>
      <c r="C89" s="4">
        <v>5</v>
      </c>
      <c r="D89" s="8">
        <v>1239</v>
      </c>
      <c r="E89" s="8">
        <v>116</v>
      </c>
      <c r="F89" s="8">
        <v>247.8</v>
      </c>
      <c r="G89" s="41" t="s">
        <v>3951</v>
      </c>
      <c r="L89" s="18" t="s">
        <v>220</v>
      </c>
      <c r="M89" s="18">
        <v>12</v>
      </c>
      <c r="N89" s="19">
        <v>20630</v>
      </c>
      <c r="O89" s="19">
        <v>709.5</v>
      </c>
      <c r="P89" s="19">
        <v>1719.17</v>
      </c>
    </row>
    <row r="90" spans="1:16" x14ac:dyDescent="0.25">
      <c r="A90" s="40">
        <v>89</v>
      </c>
      <c r="B90" s="4" t="s">
        <v>775</v>
      </c>
      <c r="C90" s="4">
        <v>8</v>
      </c>
      <c r="D90" s="8">
        <v>2748</v>
      </c>
      <c r="E90" s="8">
        <v>112.5</v>
      </c>
      <c r="F90" s="8">
        <v>343.5</v>
      </c>
      <c r="G90" s="41" t="s">
        <v>3934</v>
      </c>
      <c r="L90" s="18" t="s">
        <v>728</v>
      </c>
      <c r="M90" s="18">
        <v>5</v>
      </c>
      <c r="N90" s="19">
        <v>14322</v>
      </c>
      <c r="O90" s="19">
        <v>885</v>
      </c>
      <c r="P90" s="19">
        <v>2864.4</v>
      </c>
    </row>
    <row r="91" spans="1:16" x14ac:dyDescent="0.25">
      <c r="A91" s="40">
        <v>90</v>
      </c>
      <c r="B91" s="4" t="s">
        <v>927</v>
      </c>
      <c r="C91" s="4">
        <v>9</v>
      </c>
      <c r="D91" s="8">
        <v>2845</v>
      </c>
      <c r="E91" s="8">
        <v>112</v>
      </c>
      <c r="F91" s="8">
        <v>316.11</v>
      </c>
      <c r="G91" s="41" t="s">
        <v>3928</v>
      </c>
      <c r="L91" s="18" t="s">
        <v>1688</v>
      </c>
      <c r="M91" s="18">
        <v>8</v>
      </c>
      <c r="N91" s="19">
        <v>3449</v>
      </c>
      <c r="O91" s="19">
        <v>29</v>
      </c>
      <c r="P91" s="19">
        <v>431.13</v>
      </c>
    </row>
    <row r="92" spans="1:16" x14ac:dyDescent="0.25">
      <c r="A92" s="40">
        <v>91</v>
      </c>
      <c r="B92" s="4" t="s">
        <v>1032</v>
      </c>
      <c r="C92" s="4">
        <v>8</v>
      </c>
      <c r="D92" s="8">
        <v>3537</v>
      </c>
      <c r="E92" s="8">
        <v>105</v>
      </c>
      <c r="F92" s="8">
        <v>442.13</v>
      </c>
      <c r="G92" s="41" t="s">
        <v>3879</v>
      </c>
      <c r="L92" s="18" t="s">
        <v>779</v>
      </c>
      <c r="M92" s="18">
        <v>12</v>
      </c>
      <c r="N92" s="19">
        <v>26288</v>
      </c>
      <c r="O92" s="19">
        <v>930</v>
      </c>
      <c r="P92" s="19">
        <v>2190.67</v>
      </c>
    </row>
    <row r="93" spans="1:16" x14ac:dyDescent="0.25">
      <c r="A93" s="40">
        <v>92</v>
      </c>
      <c r="B93" s="4" t="s">
        <v>353</v>
      </c>
      <c r="C93" s="4">
        <v>2</v>
      </c>
      <c r="D93" s="8">
        <v>205</v>
      </c>
      <c r="E93" s="8">
        <v>102.5</v>
      </c>
      <c r="F93" s="8">
        <v>102.5</v>
      </c>
      <c r="G93" s="41" t="s">
        <v>3882</v>
      </c>
      <c r="L93" s="18" t="s">
        <v>794</v>
      </c>
      <c r="M93" s="18">
        <v>3</v>
      </c>
      <c r="N93" s="19">
        <v>500</v>
      </c>
      <c r="O93" s="19">
        <v>230</v>
      </c>
      <c r="P93" s="19">
        <v>166.67</v>
      </c>
    </row>
    <row r="94" spans="1:16" x14ac:dyDescent="0.25">
      <c r="A94" s="40">
        <v>93</v>
      </c>
      <c r="B94" s="4" t="s">
        <v>313</v>
      </c>
      <c r="C94" s="4">
        <v>13</v>
      </c>
      <c r="D94" s="8">
        <v>3859</v>
      </c>
      <c r="E94" s="8">
        <v>90</v>
      </c>
      <c r="F94" s="8">
        <v>296.85000000000002</v>
      </c>
      <c r="G94" s="41" t="s">
        <v>3907</v>
      </c>
      <c r="L94" s="18" t="s">
        <v>1177</v>
      </c>
      <c r="M94" s="18">
        <v>2</v>
      </c>
      <c r="N94" s="19">
        <v>631</v>
      </c>
      <c r="O94" s="19">
        <v>315.5</v>
      </c>
      <c r="P94" s="19">
        <v>315.5</v>
      </c>
    </row>
    <row r="95" spans="1:16" x14ac:dyDescent="0.25">
      <c r="A95" s="40">
        <v>94</v>
      </c>
      <c r="B95" s="4" t="s">
        <v>916</v>
      </c>
      <c r="C95" s="4">
        <v>11</v>
      </c>
      <c r="D95" s="8">
        <v>1427</v>
      </c>
      <c r="E95" s="8">
        <v>85</v>
      </c>
      <c r="F95" s="8">
        <v>129.72999999999999</v>
      </c>
      <c r="G95" s="41" t="s">
        <v>3950</v>
      </c>
      <c r="L95" s="18" t="s">
        <v>818</v>
      </c>
      <c r="M95" s="18">
        <v>7</v>
      </c>
      <c r="N95" s="19">
        <v>3179</v>
      </c>
      <c r="O95" s="19">
        <v>160</v>
      </c>
      <c r="P95" s="19">
        <v>454.14</v>
      </c>
    </row>
    <row r="96" spans="1:16" x14ac:dyDescent="0.25">
      <c r="A96" s="40">
        <v>95</v>
      </c>
      <c r="B96" s="4" t="s">
        <v>290</v>
      </c>
      <c r="C96" s="4">
        <v>9</v>
      </c>
      <c r="D96" s="8">
        <v>23006</v>
      </c>
      <c r="E96" s="8">
        <v>83</v>
      </c>
      <c r="F96" s="8">
        <v>2556.2199999999998</v>
      </c>
      <c r="G96" s="41" t="s">
        <v>3966</v>
      </c>
      <c r="L96" s="18" t="s">
        <v>798</v>
      </c>
      <c r="M96" s="18">
        <v>14</v>
      </c>
      <c r="N96" s="19">
        <v>8208</v>
      </c>
      <c r="O96" s="19">
        <v>462.5</v>
      </c>
      <c r="P96" s="35">
        <v>586.29</v>
      </c>
    </row>
    <row r="97" spans="1:17" ht="24" customHeight="1" x14ac:dyDescent="0.25">
      <c r="A97" s="40">
        <v>96</v>
      </c>
      <c r="B97" s="4" t="s">
        <v>359</v>
      </c>
      <c r="C97" s="4">
        <v>8</v>
      </c>
      <c r="D97" s="8">
        <v>693</v>
      </c>
      <c r="E97" s="8">
        <v>69.5</v>
      </c>
      <c r="F97" s="8">
        <v>86.63</v>
      </c>
      <c r="G97" s="41" t="s">
        <v>3976</v>
      </c>
      <c r="L97" s="18" t="s">
        <v>2430</v>
      </c>
      <c r="M97" s="18">
        <v>3</v>
      </c>
      <c r="N97" s="19">
        <v>182</v>
      </c>
      <c r="O97" s="19">
        <v>45</v>
      </c>
      <c r="P97" s="19">
        <v>60.67</v>
      </c>
    </row>
    <row r="98" spans="1:17" x14ac:dyDescent="0.25">
      <c r="A98" s="40">
        <v>97</v>
      </c>
      <c r="B98" s="4" t="s">
        <v>739</v>
      </c>
      <c r="C98" s="4">
        <v>6</v>
      </c>
      <c r="D98" s="8">
        <v>1305</v>
      </c>
      <c r="E98" s="8">
        <v>64.5</v>
      </c>
      <c r="F98" s="8">
        <v>217.5</v>
      </c>
      <c r="G98" s="41" t="s">
        <v>3889</v>
      </c>
      <c r="L98" s="18" t="s">
        <v>693</v>
      </c>
      <c r="M98" s="18">
        <v>9</v>
      </c>
      <c r="N98" s="19">
        <v>6014</v>
      </c>
      <c r="O98" s="19">
        <v>233</v>
      </c>
      <c r="P98" s="19">
        <v>668.22</v>
      </c>
    </row>
    <row r="99" spans="1:17" x14ac:dyDescent="0.25">
      <c r="A99" s="40">
        <v>98</v>
      </c>
      <c r="B99" s="4" t="s">
        <v>1673</v>
      </c>
      <c r="C99" s="4">
        <v>4</v>
      </c>
      <c r="D99" s="8">
        <v>889</v>
      </c>
      <c r="E99" s="8">
        <v>64</v>
      </c>
      <c r="F99" s="8">
        <v>222.25</v>
      </c>
      <c r="G99" s="41" t="s">
        <v>3887</v>
      </c>
      <c r="L99" s="18" t="s">
        <v>259</v>
      </c>
      <c r="M99" s="18">
        <v>19</v>
      </c>
      <c r="N99" s="19">
        <v>19355</v>
      </c>
      <c r="O99" s="19">
        <v>991</v>
      </c>
      <c r="P99" s="19">
        <v>1018.68</v>
      </c>
    </row>
    <row r="100" spans="1:17" x14ac:dyDescent="0.25">
      <c r="A100" s="40">
        <v>99</v>
      </c>
      <c r="B100" s="4" t="s">
        <v>886</v>
      </c>
      <c r="C100" s="4">
        <v>8</v>
      </c>
      <c r="D100" s="8">
        <v>758</v>
      </c>
      <c r="E100" s="8">
        <v>53</v>
      </c>
      <c r="F100" s="8">
        <v>94.75</v>
      </c>
      <c r="G100" s="41" t="s">
        <v>3897</v>
      </c>
      <c r="L100" s="18" t="s">
        <v>290</v>
      </c>
      <c r="M100" s="18">
        <v>9</v>
      </c>
      <c r="N100" s="19">
        <v>23006</v>
      </c>
      <c r="O100" s="19">
        <v>83</v>
      </c>
      <c r="P100" s="19">
        <v>2556.2199999999998</v>
      </c>
    </row>
    <row r="101" spans="1:17" x14ac:dyDescent="0.25">
      <c r="A101" s="40">
        <v>100</v>
      </c>
      <c r="B101" s="4" t="s">
        <v>843</v>
      </c>
      <c r="C101" s="4">
        <v>7</v>
      </c>
      <c r="D101" s="8">
        <v>1554</v>
      </c>
      <c r="E101" s="8">
        <v>53</v>
      </c>
      <c r="F101" s="8">
        <v>222</v>
      </c>
      <c r="G101" s="41" t="s">
        <v>3898</v>
      </c>
      <c r="L101" s="18" t="s">
        <v>382</v>
      </c>
      <c r="M101" s="18">
        <v>7</v>
      </c>
      <c r="N101" s="19">
        <v>8900</v>
      </c>
      <c r="O101" s="19">
        <v>133</v>
      </c>
      <c r="P101" s="19">
        <v>1271.43</v>
      </c>
    </row>
    <row r="102" spans="1:17" x14ac:dyDescent="0.25">
      <c r="A102" s="40">
        <v>101</v>
      </c>
      <c r="B102" s="4" t="s">
        <v>1379</v>
      </c>
      <c r="C102" s="4">
        <v>9</v>
      </c>
      <c r="D102" s="8">
        <v>711</v>
      </c>
      <c r="E102" s="8">
        <v>48</v>
      </c>
      <c r="F102" s="8">
        <v>79</v>
      </c>
      <c r="G102" s="41" t="s">
        <v>3890</v>
      </c>
      <c r="L102" s="18" t="s">
        <v>168</v>
      </c>
      <c r="M102" s="18">
        <v>14</v>
      </c>
      <c r="N102" s="19">
        <v>25331</v>
      </c>
      <c r="O102" s="19">
        <v>754</v>
      </c>
      <c r="P102" s="19">
        <v>1809.36</v>
      </c>
    </row>
    <row r="103" spans="1:17" x14ac:dyDescent="0.25">
      <c r="A103" s="40">
        <v>102</v>
      </c>
      <c r="B103" s="4" t="s">
        <v>764</v>
      </c>
      <c r="C103" s="4">
        <v>9</v>
      </c>
      <c r="D103" s="8">
        <v>7857</v>
      </c>
      <c r="E103" s="8">
        <v>46</v>
      </c>
      <c r="F103" s="8">
        <v>873</v>
      </c>
      <c r="G103" s="41" t="s">
        <v>3906</v>
      </c>
      <c r="L103" s="18" t="s">
        <v>157</v>
      </c>
      <c r="M103" s="18">
        <v>18</v>
      </c>
      <c r="N103" s="19">
        <v>13593</v>
      </c>
      <c r="O103" s="19">
        <v>486.5</v>
      </c>
      <c r="P103" s="19">
        <v>755.17</v>
      </c>
    </row>
    <row r="104" spans="1:17" x14ac:dyDescent="0.25">
      <c r="A104" s="40">
        <v>103</v>
      </c>
      <c r="B104" s="4" t="s">
        <v>2430</v>
      </c>
      <c r="C104" s="4">
        <v>3</v>
      </c>
      <c r="D104" s="8">
        <v>182</v>
      </c>
      <c r="E104" s="8">
        <v>45</v>
      </c>
      <c r="F104" s="8">
        <v>60.67</v>
      </c>
      <c r="G104" s="41" t="s">
        <v>3963</v>
      </c>
      <c r="L104" s="18" t="s">
        <v>111</v>
      </c>
      <c r="M104" s="18">
        <v>10</v>
      </c>
      <c r="N104" s="19">
        <v>7964</v>
      </c>
      <c r="O104" s="19">
        <v>558.5</v>
      </c>
      <c r="P104" s="19">
        <v>796.4</v>
      </c>
    </row>
    <row r="105" spans="1:17" x14ac:dyDescent="0.25">
      <c r="A105" s="40">
        <v>104</v>
      </c>
      <c r="B105" s="4" t="s">
        <v>162</v>
      </c>
      <c r="C105" s="4">
        <v>7</v>
      </c>
      <c r="D105" s="8">
        <v>622</v>
      </c>
      <c r="E105" s="8">
        <v>44</v>
      </c>
      <c r="F105" s="8">
        <v>88.86</v>
      </c>
      <c r="G105" s="41" t="s">
        <v>3933</v>
      </c>
      <c r="L105" s="18" t="s">
        <v>1921</v>
      </c>
      <c r="M105" s="18">
        <v>6</v>
      </c>
      <c r="N105" s="19">
        <v>2802</v>
      </c>
      <c r="O105" s="19">
        <v>289.5</v>
      </c>
      <c r="P105" s="19">
        <v>467</v>
      </c>
    </row>
    <row r="106" spans="1:17" x14ac:dyDescent="0.25">
      <c r="A106" s="40">
        <v>105</v>
      </c>
      <c r="B106" s="4" t="s">
        <v>2015</v>
      </c>
      <c r="C106" s="4">
        <v>2</v>
      </c>
      <c r="D106" s="8">
        <v>75</v>
      </c>
      <c r="E106" s="8">
        <v>37.5</v>
      </c>
      <c r="F106" s="8">
        <v>37.5</v>
      </c>
      <c r="G106" s="41" t="s">
        <v>3881</v>
      </c>
      <c r="L106" s="18" t="s">
        <v>192</v>
      </c>
      <c r="M106" s="18">
        <v>15</v>
      </c>
      <c r="N106" s="19">
        <v>49607</v>
      </c>
      <c r="O106" s="19">
        <v>3097</v>
      </c>
      <c r="P106" s="19">
        <v>3307.13</v>
      </c>
    </row>
    <row r="107" spans="1:17" x14ac:dyDescent="0.25">
      <c r="A107" s="40">
        <v>106</v>
      </c>
      <c r="B107" s="4" t="s">
        <v>1076</v>
      </c>
      <c r="C107" s="4">
        <v>9</v>
      </c>
      <c r="D107" s="8">
        <v>1933</v>
      </c>
      <c r="E107" s="8">
        <v>32</v>
      </c>
      <c r="F107" s="8">
        <v>214.78</v>
      </c>
      <c r="G107" s="41" t="s">
        <v>3873</v>
      </c>
      <c r="L107" s="18" t="s">
        <v>104</v>
      </c>
      <c r="M107" s="18">
        <v>10</v>
      </c>
      <c r="N107" s="19">
        <v>2100</v>
      </c>
      <c r="O107" s="19">
        <v>184</v>
      </c>
      <c r="P107" s="19">
        <v>210</v>
      </c>
    </row>
    <row r="108" spans="1:17" x14ac:dyDescent="0.25">
      <c r="A108" s="40">
        <v>107</v>
      </c>
      <c r="B108" s="4" t="s">
        <v>1242</v>
      </c>
      <c r="C108" s="4">
        <v>5</v>
      </c>
      <c r="D108" s="8">
        <v>698</v>
      </c>
      <c r="E108" s="8">
        <v>29</v>
      </c>
      <c r="F108" s="8">
        <v>139.6</v>
      </c>
      <c r="G108" s="41" t="s">
        <v>3953</v>
      </c>
      <c r="L108" s="18" t="s">
        <v>106</v>
      </c>
      <c r="M108" s="18">
        <v>14</v>
      </c>
      <c r="N108" s="19">
        <v>15244</v>
      </c>
      <c r="O108" s="19">
        <v>539.5</v>
      </c>
      <c r="P108" s="19">
        <v>1088.8599999999999</v>
      </c>
    </row>
    <row r="109" spans="1:17" x14ac:dyDescent="0.25">
      <c r="A109" s="40">
        <v>108</v>
      </c>
      <c r="B109" s="4" t="s">
        <v>1688</v>
      </c>
      <c r="C109" s="4">
        <v>8</v>
      </c>
      <c r="D109" s="8">
        <v>3449</v>
      </c>
      <c r="E109" s="8">
        <v>29</v>
      </c>
      <c r="F109" s="8">
        <v>431.13</v>
      </c>
      <c r="G109" s="41" t="s">
        <v>3957</v>
      </c>
      <c r="L109" s="18" t="s">
        <v>1255</v>
      </c>
      <c r="M109" s="18">
        <v>4</v>
      </c>
      <c r="N109" s="19">
        <v>4372</v>
      </c>
      <c r="O109" s="19">
        <v>640.5</v>
      </c>
      <c r="P109" s="19">
        <v>1093</v>
      </c>
    </row>
    <row r="110" spans="1:17" ht="24" customHeight="1" x14ac:dyDescent="0.25">
      <c r="A110" s="40">
        <v>109</v>
      </c>
      <c r="B110" s="4" t="s">
        <v>364</v>
      </c>
      <c r="C110" s="4">
        <v>7</v>
      </c>
      <c r="D110" s="8">
        <v>461</v>
      </c>
      <c r="E110" s="8">
        <v>24</v>
      </c>
      <c r="F110" s="42">
        <v>65.86</v>
      </c>
      <c r="G110" s="41" t="s">
        <v>3870</v>
      </c>
      <c r="L110" s="19" t="s">
        <v>359</v>
      </c>
      <c r="M110" s="18">
        <v>8</v>
      </c>
      <c r="N110" s="19">
        <v>693</v>
      </c>
      <c r="O110" s="19">
        <v>69.5</v>
      </c>
      <c r="P110" s="19">
        <v>86.63</v>
      </c>
    </row>
    <row r="111" spans="1:17" x14ac:dyDescent="0.25">
      <c r="A111" s="40">
        <v>110</v>
      </c>
      <c r="B111" s="4" t="s">
        <v>1409</v>
      </c>
      <c r="C111" s="4">
        <v>6</v>
      </c>
      <c r="D111" s="8">
        <v>361</v>
      </c>
      <c r="E111" s="8">
        <v>20.5</v>
      </c>
      <c r="F111" s="8">
        <v>60.17</v>
      </c>
      <c r="G111" s="41" t="s">
        <v>3894</v>
      </c>
      <c r="L111" s="19" t="s">
        <v>1608</v>
      </c>
      <c r="M111" s="18">
        <v>13</v>
      </c>
      <c r="N111" s="19">
        <v>5161</v>
      </c>
      <c r="O111" s="19">
        <v>315</v>
      </c>
      <c r="P111" s="19">
        <v>397</v>
      </c>
    </row>
    <row r="112" spans="1:17" x14ac:dyDescent="0.25">
      <c r="A112" s="40">
        <v>111</v>
      </c>
      <c r="B112" s="4" t="s">
        <v>2207</v>
      </c>
      <c r="C112" s="4">
        <v>7</v>
      </c>
      <c r="D112" s="8">
        <v>1212</v>
      </c>
      <c r="E112" s="8">
        <v>15</v>
      </c>
      <c r="F112" s="8">
        <v>173.14</v>
      </c>
      <c r="G112" s="41" t="s">
        <v>3871</v>
      </c>
      <c r="L112" s="19" t="s">
        <v>835</v>
      </c>
      <c r="M112" s="18">
        <v>8</v>
      </c>
      <c r="N112" s="18">
        <v>1228</v>
      </c>
      <c r="O112" s="18">
        <v>15</v>
      </c>
      <c r="P112" s="18">
        <v>153.5</v>
      </c>
      <c r="Q112" s="18"/>
    </row>
    <row r="113" spans="1:17" x14ac:dyDescent="0.25">
      <c r="A113" s="40">
        <v>112</v>
      </c>
      <c r="B113" s="4" t="s">
        <v>835</v>
      </c>
      <c r="C113" s="4">
        <v>8</v>
      </c>
      <c r="D113" s="8">
        <v>1228</v>
      </c>
      <c r="E113" s="8">
        <v>15</v>
      </c>
      <c r="F113" s="8">
        <v>153.5</v>
      </c>
      <c r="G113" s="41" t="s">
        <v>3978</v>
      </c>
      <c r="L113" s="19" t="s">
        <v>858</v>
      </c>
      <c r="M113" s="18">
        <v>11</v>
      </c>
      <c r="N113" s="18">
        <v>14636</v>
      </c>
      <c r="O113" s="18">
        <v>590</v>
      </c>
      <c r="P113" s="18">
        <v>1330.55</v>
      </c>
      <c r="Q113" s="18"/>
    </row>
    <row r="114" spans="1:17" x14ac:dyDescent="0.25">
      <c r="G114" s="21"/>
      <c r="L114" s="19" t="s">
        <v>3073</v>
      </c>
      <c r="M114" s="18">
        <v>1076</v>
      </c>
      <c r="N114" s="18">
        <v>1368230</v>
      </c>
      <c r="O114" s="18">
        <v>390.5</v>
      </c>
      <c r="P114" s="18">
        <v>1271.5899999999999</v>
      </c>
      <c r="Q114" s="18"/>
    </row>
    <row r="115" spans="1:17" x14ac:dyDescent="0.25">
      <c r="L115" s="19"/>
      <c r="Q115" s="18"/>
    </row>
    <row r="116" spans="1:17" x14ac:dyDescent="0.25">
      <c r="L116" s="19"/>
      <c r="Q116" s="18"/>
    </row>
    <row r="117" spans="1:17" x14ac:dyDescent="0.25">
      <c r="Q117" s="18"/>
    </row>
    <row r="118" spans="1:17" x14ac:dyDescent="0.25">
      <c r="Q118" s="18"/>
    </row>
    <row r="119" spans="1:17" x14ac:dyDescent="0.25">
      <c r="Q119" s="18"/>
    </row>
    <row r="120" spans="1:17" x14ac:dyDescent="0.25">
      <c r="Q120" s="18"/>
    </row>
    <row r="121" spans="1:17" x14ac:dyDescent="0.25">
      <c r="Q121" s="18"/>
    </row>
    <row r="122" spans="1:17" x14ac:dyDescent="0.25">
      <c r="G122" s="1"/>
      <c r="Q122" s="18"/>
    </row>
    <row r="123" spans="1:17" x14ac:dyDescent="0.25">
      <c r="Q123" s="18"/>
    </row>
    <row r="124" spans="1:17" x14ac:dyDescent="0.25">
      <c r="Q124" s="18"/>
    </row>
    <row r="125" spans="1:17" x14ac:dyDescent="0.25">
      <c r="Q125" s="18"/>
    </row>
  </sheetData>
  <sortState ref="A3:G114">
    <sortCondition descending="1" ref="E3:E114"/>
  </sortState>
  <hyperlinks>
    <hyperlink ref="G62" r:id="rId1"/>
    <hyperlink ref="G7" r:id="rId2"/>
    <hyperlink ref="G110" r:id="rId3"/>
    <hyperlink ref="G112" r:id="rId4"/>
    <hyperlink ref="G65" r:id="rId5"/>
    <hyperlink ref="G107" r:id="rId6"/>
    <hyperlink ref="G77" r:id="rId7"/>
    <hyperlink ref="G51" r:id="rId8"/>
    <hyperlink ref="G47" r:id="rId9"/>
    <hyperlink ref="G3" r:id="rId10"/>
    <hyperlink ref="G50" r:id="rId11"/>
    <hyperlink ref="G92" r:id="rId12"/>
    <hyperlink ref="G76" r:id="rId13"/>
    <hyperlink ref="G106" r:id="rId14"/>
    <hyperlink ref="G93" r:id="rId15"/>
    <hyperlink ref="G53" r:id="rId16"/>
    <hyperlink ref="G37" r:id="rId17"/>
    <hyperlink ref="G24" r:id="rId18"/>
    <hyperlink ref="G14" r:id="rId19" location="/academic-programs/urban-planning-design/urban-planning/index.html"/>
    <hyperlink ref="G99" r:id="rId20"/>
    <hyperlink ref="G88" r:id="rId21"/>
    <hyperlink ref="G98" r:id="rId22"/>
    <hyperlink ref="G102" r:id="rId23"/>
    <hyperlink ref="G29" r:id="rId24"/>
    <hyperlink ref="G58" r:id="rId25"/>
    <hyperlink ref="G44" r:id="rId26"/>
    <hyperlink ref="G111" r:id="rId27"/>
    <hyperlink ref="G79" r:id="rId28"/>
    <hyperlink ref="G12" r:id="rId29"/>
    <hyperlink ref="G100" r:id="rId30"/>
    <hyperlink ref="G101" r:id="rId31"/>
    <hyperlink ref="G5" r:id="rId32"/>
    <hyperlink ref="G74" r:id="rId33"/>
    <hyperlink ref="G83" r:id="rId34"/>
    <hyperlink ref="G33" r:id="rId35"/>
    <hyperlink ref="G85" r:id="rId36"/>
    <hyperlink ref="G8" r:id="rId37"/>
    <hyperlink ref="G103" r:id="rId38"/>
    <hyperlink ref="G94" r:id="rId39"/>
    <hyperlink ref="G71" r:id="rId40"/>
    <hyperlink ref="G60" r:id="rId41"/>
    <hyperlink ref="G70" r:id="rId42"/>
    <hyperlink ref="G6" r:id="rId43"/>
    <hyperlink ref="G55" r:id="rId44"/>
    <hyperlink ref="G49" r:id="rId45"/>
    <hyperlink ref="G46" r:id="rId46"/>
    <hyperlink ref="G63" r:id="rId47"/>
    <hyperlink ref="G15" r:id="rId48"/>
    <hyperlink ref="G13" r:id="rId49"/>
    <hyperlink ref="G9" r:id="rId50"/>
    <hyperlink ref="G31" r:id="rId51"/>
    <hyperlink ref="G4" r:id="rId52"/>
    <hyperlink ref="G11" r:id="rId53"/>
    <hyperlink ref="G81" r:id="rId54"/>
    <hyperlink ref="G41" r:id="rId55"/>
    <hyperlink ref="G23" r:id="rId56"/>
    <hyperlink ref="G20" r:id="rId57"/>
    <hyperlink ref="G80" r:id="rId58"/>
    <hyperlink ref="G28" r:id="rId59"/>
    <hyperlink ref="G91" r:id="rId60"/>
    <hyperlink ref="G69" r:id="rId61"/>
    <hyperlink ref="G40" r:id="rId62"/>
    <hyperlink ref="G75" r:id="rId63"/>
    <hyperlink ref="G35" r:id="rId64"/>
    <hyperlink ref="G105" r:id="rId65"/>
    <hyperlink ref="G90" r:id="rId66"/>
    <hyperlink ref="G61" r:id="rId67"/>
    <hyperlink ref="G54" r:id="rId68"/>
    <hyperlink ref="G26" r:id="rId69"/>
    <hyperlink ref="G42" r:id="rId70"/>
    <hyperlink ref="G36" r:id="rId71"/>
    <hyperlink ref="G48" r:id="rId72"/>
    <hyperlink ref="G52" r:id="rId73"/>
    <hyperlink ref="G82" r:id="rId74"/>
    <hyperlink ref="G10" r:id="rId75"/>
    <hyperlink ref="G25" r:id="rId76"/>
    <hyperlink ref="G87" r:id="rId77"/>
    <hyperlink ref="G32" r:id="rId78"/>
    <hyperlink ref="G16" r:id="rId79"/>
    <hyperlink ref="G64" r:id="rId80"/>
    <hyperlink ref="G84" r:id="rId81"/>
    <hyperlink ref="G95" r:id="rId82"/>
    <hyperlink ref="G89" r:id="rId83"/>
    <hyperlink ref="G73" r:id="rId84"/>
    <hyperlink ref="G108" r:id="rId85"/>
    <hyperlink ref="G68" r:id="rId86"/>
    <hyperlink ref="G27" r:id="rId87"/>
    <hyperlink ref="G19" r:id="rId88"/>
    <hyperlink ref="G109" r:id="rId89"/>
    <hyperlink ref="G18" r:id="rId90"/>
    <hyperlink ref="G67" r:id="rId91"/>
    <hyperlink ref="G56" r:id="rId92"/>
    <hyperlink ref="G78" r:id="rId93"/>
    <hyperlink ref="G45" r:id="rId94"/>
    <hyperlink ref="G104" r:id="rId95"/>
    <hyperlink ref="G66" r:id="rId96"/>
    <hyperlink ref="G17" r:id="rId97"/>
    <hyperlink ref="G96" r:id="rId98"/>
    <hyperlink ref="G86" r:id="rId99"/>
    <hyperlink ref="G22" r:id="rId100"/>
    <hyperlink ref="G43" r:id="rId101"/>
    <hyperlink ref="G38" r:id="rId102"/>
    <hyperlink ref="G59" r:id="rId103"/>
    <hyperlink ref="G2" r:id="rId104"/>
    <hyperlink ref="G72" r:id="rId105"/>
    <hyperlink ref="G39" r:id="rId106"/>
    <hyperlink ref="G30" r:id="rId107"/>
    <hyperlink ref="G97" r:id="rId108"/>
    <hyperlink ref="G57" r:id="rId109"/>
    <hyperlink ref="G113" r:id="rId110"/>
    <hyperlink ref="G34" r:id="rId111"/>
  </hyperlinks>
  <pageMargins left="0.7" right="0.7" top="0.75" bottom="0.75" header="0.3" footer="0.3"/>
  <pageSetup orientation="portrait" horizontalDpi="4294967293" verticalDpi="4294967293" r:id="rId11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Cites</vt:lpstr>
      <vt:lpstr>Top Faculty</vt:lpstr>
      <vt:lpstr>Sorting</vt:lpstr>
      <vt:lpstr>Current Schools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sanchezt</dc:creator>
  <cp:lastModifiedBy>Mikhail Garmashov</cp:lastModifiedBy>
  <dcterms:created xsi:type="dcterms:W3CDTF">2016-01-24T18:39:31Z</dcterms:created>
  <dcterms:modified xsi:type="dcterms:W3CDTF">2018-06-30T18:09:58Z</dcterms:modified>
</cp:coreProperties>
</file>